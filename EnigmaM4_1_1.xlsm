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berto\Desktop\Enigma_TWB\EnigmaM4_1_0\2024\"/>
    </mc:Choice>
  </mc:AlternateContent>
  <xr:revisionPtr revIDLastSave="0" documentId="13_ncr:1_{B372CC9C-4B69-43D5-8C6B-E3410BBA9060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About" sheetId="9" r:id="rId1"/>
    <sheet name="Enigma" sheetId="7" r:id="rId2"/>
    <sheet name="Settings" sheetId="8" r:id="rId3"/>
    <sheet name="Keyboard" sheetId="6" r:id="rId4"/>
    <sheet name="Results" sheetId="10" r:id="rId5"/>
    <sheet name="Wk" sheetId="2" r:id="rId6"/>
    <sheet name="Wk_Rotors" sheetId="3" r:id="rId7"/>
    <sheet name="Wk_Rotors_Reverse" sheetId="4" r:id="rId8"/>
    <sheet name="Wk_Reflectors" sheetId="5" r:id="rId9"/>
  </sheets>
  <definedNames>
    <definedName name="nCurPosRotorGreek">Keyboard!$E$6</definedName>
    <definedName name="nCurPosRotorLeft">Keyboard!$I$6</definedName>
    <definedName name="nCurPosRotorMiddle">Keyboard!$M$6</definedName>
    <definedName name="nCurPosRotorRight">Keyboard!$Q$6</definedName>
    <definedName name="nDash">Wk!$N$33</definedName>
    <definedName name="nInitialPositionsAToZ">Settings!$U$35:$U$60</definedName>
    <definedName name="nInputLetter">Enigma!$AG$23</definedName>
    <definedName name="nInputLetter2">Keyboard!#REF!</definedName>
    <definedName name="nKeyboardLetter">Keyboard!$V$5</definedName>
    <definedName name="nLampLetter">Enigma!$AI$33</definedName>
    <definedName name="nLampLetter2">Keyboard!$L$42</definedName>
    <definedName name="nLet2Num">Wk!$D$2:$E$27</definedName>
    <definedName name="nMessageInput">Keyboard!$D$21</definedName>
    <definedName name="nMessageOutput">Keyboard!$D$22</definedName>
    <definedName name="nNum2Let">Wk!$A$2:$B$79</definedName>
    <definedName name="nOutputLetter">Enigma!$AG$37</definedName>
    <definedName name="nPlug">Wk!$Q$2:$R$21</definedName>
    <definedName name="nPlug01">Settings!$F$22</definedName>
    <definedName name="nPlug02">Settings!$F$23</definedName>
    <definedName name="nPlug03">Settings!$F$24</definedName>
    <definedName name="nPlug04">Settings!$F$25</definedName>
    <definedName name="nPlug05">Settings!$F$26</definedName>
    <definedName name="nPlug06">Settings!$F$27</definedName>
    <definedName name="nPlug07">Settings!$F$28</definedName>
    <definedName name="nPlug08">Settings!$F$29</definedName>
    <definedName name="nPlug09">Settings!$F$30</definedName>
    <definedName name="nPlug10">Settings!$F$31</definedName>
    <definedName name="nRefl_In">Enigma!$D$29</definedName>
    <definedName name="nRefl_Out">Enigma!$D$31</definedName>
    <definedName name="nReflector">Wk_Reflectors!$A$2:$D$53</definedName>
    <definedName name="nReflectorsValid">Settings!$T$35:$T$36</definedName>
    <definedName name="nReflectorWide">Settings!$G$4</definedName>
    <definedName name="nResGreek">Results!$C$2</definedName>
    <definedName name="nResInput">Results!$C$7</definedName>
    <definedName name="nResLeft">Results!$C$3</definedName>
    <definedName name="nResMiddle">Results!$C$4</definedName>
    <definedName name="nResOutput">Results!$C$8</definedName>
    <definedName name="nResRight">Results!$C$5</definedName>
    <definedName name="nRFT">Enigma!$C$17:$C$19</definedName>
    <definedName name="nRG_ConIn">Enigma!$J$18</definedName>
    <definedName name="nRG_ConOut">Enigma!$J$22</definedName>
    <definedName name="nRG_SigIn">Enigma!$J$14</definedName>
    <definedName name="nRG_SigOut">Enigma!$F$29</definedName>
    <definedName name="nRingSettingGreek">Settings!$F$12</definedName>
    <definedName name="nRingSettingLeft">Settings!$I$12</definedName>
    <definedName name="nRingSettingMiddle">Settings!$L$12</definedName>
    <definedName name="nRingSettingRight">Settings!$O$12</definedName>
    <definedName name="nRingSettings1To26">Settings!$S$35:$S$60</definedName>
    <definedName name="nRL_ConIn">Enigma!$Q$18</definedName>
    <definedName name="nRL_ConOut">Enigma!$Q$22</definedName>
    <definedName name="nRL_SigIn">Enigma!$Q$14</definedName>
    <definedName name="nRL_SigOut">Enigma!$M$29</definedName>
    <definedName name="nRM_ConIn">Enigma!$X$18</definedName>
    <definedName name="NRM_ConOut">Enigma!$X$22</definedName>
    <definedName name="nRM_SigIn">Enigma!$X$14</definedName>
    <definedName name="nRM_SigOut">Enigma!$T$29</definedName>
    <definedName name="nRotor">Wk_Rotors!$A$2:$E$261</definedName>
    <definedName name="nRotorGreek">Settings!$F$10</definedName>
    <definedName name="nRotorGreekHistory">Keyboard!$D$16</definedName>
    <definedName name="nRotorGreekIndex">Keyboard!$E$5</definedName>
    <definedName name="nRotorGreekInit">Settings!$G$14</definedName>
    <definedName name="nRotorLeft">Settings!$I$10</definedName>
    <definedName name="nRotorLeftHistory">Keyboard!$D$17</definedName>
    <definedName name="nRotorLeftIndex">Keyboard!$I$5</definedName>
    <definedName name="nRotorLeftInit">Settings!$J$14</definedName>
    <definedName name="nRotorMiddle">Settings!$L$10</definedName>
    <definedName name="nRotorMiddleHistory">Keyboard!$D$18</definedName>
    <definedName name="nRotorMiddleIndex">Keyboard!$M$5</definedName>
    <definedName name="nRotorMiddleInit">Settings!$M$14</definedName>
    <definedName name="nRotorRev">Wk_Rotors_Reverse!$A$2:$E$261</definedName>
    <definedName name="nRotorRight">Settings!$O$10</definedName>
    <definedName name="nRotorRightHistory">Keyboard!$D$19</definedName>
    <definedName name="nRotorRightIndex">Keyboard!$Q$5</definedName>
    <definedName name="nRotorRightInit">Settings!$P$14</definedName>
    <definedName name="nRotors1To5">Settings!$R$35:$R$39</definedName>
    <definedName name="nRotorsGreekValid">Settings!$V$35:$V$36</definedName>
    <definedName name="nRotorsValid">Settings!$R$35:$R$42</definedName>
    <definedName name="nRR_ConIn">Enigma!$AE$18</definedName>
    <definedName name="nRR_ConOut">Enigma!$AE$22</definedName>
    <definedName name="nRR_SigIn">Enigma!$AE$14</definedName>
    <definedName name="nRR_SigOut">Enigma!$AA$29</definedName>
    <definedName name="nRRG_ConIn">Enigma!$F$47</definedName>
    <definedName name="nRRG_ConOut">Enigma!$F$51</definedName>
    <definedName name="nRRG_SigIn">Enigma!$F$43</definedName>
    <definedName name="nRRG_SigOut">Enigma!$J$58</definedName>
    <definedName name="nRRL_ConIn">Enigma!$M$47</definedName>
    <definedName name="nRRL_ConOut">Enigma!$M$51</definedName>
    <definedName name="nRRL_SigIn">Enigma!$M$43</definedName>
    <definedName name="nRRL_SigOut">Enigma!$Q$58</definedName>
    <definedName name="nRRM_ConIn">Enigma!$T$47</definedName>
    <definedName name="nRRM_ConOut">Enigma!$T$51</definedName>
    <definedName name="nRRM_SigIn">Enigma!$T$43</definedName>
    <definedName name="nRRM_SigOut">Enigma!$X$58</definedName>
    <definedName name="nRRR_ConIn">Enigma!$AA$47</definedName>
    <definedName name="nRRR_ConOut">Enigma!$AA$51</definedName>
    <definedName name="nRRR_SigIn">Enigma!$AA$43</definedName>
    <definedName name="nRRR_SigOut">Enigma!$AE$58</definedName>
    <definedName name="nRS_A">Wk!$G$2:$K$27</definedName>
    <definedName name="nRS_N">Wk!$H$2:$K$27</definedName>
    <definedName name="nSpacing">Keyboard!$C$14</definedName>
    <definedName name="nSpacingValid">Keyboard!$AC$11:$AC$13</definedName>
    <definedName name="nStepRotorLeft">Enigma!$V$12</definedName>
    <definedName name="nStepRotorMiddle">Enigma!$AC$12</definedName>
    <definedName name="nTurnover">Wk!$M$2:$O$17</definedName>
    <definedName name="nTurnover2">Wk!$M$20:$N$30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3" i="2" l="1"/>
  <c r="H1" i="10"/>
  <c r="F1" i="10"/>
  <c r="D1" i="10"/>
  <c r="B1" i="10"/>
  <c r="B17" i="6"/>
  <c r="B18" i="6"/>
  <c r="B19" i="6"/>
  <c r="B16" i="6"/>
  <c r="H4" i="7"/>
  <c r="H33" i="7" s="1"/>
  <c r="H3" i="7"/>
  <c r="H32" i="7" s="1"/>
  <c r="G261" i="4"/>
  <c r="F261" i="4"/>
  <c r="A261" i="4"/>
  <c r="G260" i="4"/>
  <c r="F260" i="4"/>
  <c r="A260" i="4"/>
  <c r="G259" i="4"/>
  <c r="F259" i="4"/>
  <c r="A259" i="4"/>
  <c r="G258" i="4"/>
  <c r="F258" i="4"/>
  <c r="A258" i="4"/>
  <c r="G257" i="4"/>
  <c r="F257" i="4"/>
  <c r="A257" i="4"/>
  <c r="G256" i="4"/>
  <c r="F256" i="4"/>
  <c r="A256" i="4"/>
  <c r="G255" i="4"/>
  <c r="F255" i="4"/>
  <c r="A255" i="4"/>
  <c r="G254" i="4"/>
  <c r="F254" i="4"/>
  <c r="A254" i="4"/>
  <c r="G253" i="4"/>
  <c r="F253" i="4"/>
  <c r="A253" i="4"/>
  <c r="G252" i="4"/>
  <c r="F252" i="4"/>
  <c r="A252" i="4"/>
  <c r="G251" i="4"/>
  <c r="F251" i="4"/>
  <c r="A251" i="4"/>
  <c r="G250" i="4"/>
  <c r="F250" i="4"/>
  <c r="A250" i="4"/>
  <c r="G249" i="4"/>
  <c r="F249" i="4"/>
  <c r="A249" i="4"/>
  <c r="G248" i="4"/>
  <c r="F248" i="4"/>
  <c r="A248" i="4"/>
  <c r="G247" i="4"/>
  <c r="F247" i="4"/>
  <c r="A247" i="4"/>
  <c r="G246" i="4"/>
  <c r="F246" i="4"/>
  <c r="A246" i="4"/>
  <c r="G245" i="4"/>
  <c r="F245" i="4"/>
  <c r="A245" i="4"/>
  <c r="G244" i="4"/>
  <c r="F244" i="4"/>
  <c r="A244" i="4"/>
  <c r="G243" i="4"/>
  <c r="F243" i="4"/>
  <c r="A243" i="4"/>
  <c r="G242" i="4"/>
  <c r="F242" i="4"/>
  <c r="A242" i="4"/>
  <c r="G241" i="4"/>
  <c r="F241" i="4"/>
  <c r="A241" i="4"/>
  <c r="G240" i="4"/>
  <c r="F240" i="4"/>
  <c r="A240" i="4"/>
  <c r="G239" i="4"/>
  <c r="F239" i="4"/>
  <c r="A239" i="4"/>
  <c r="G238" i="4"/>
  <c r="F238" i="4"/>
  <c r="A238" i="4"/>
  <c r="G237" i="4"/>
  <c r="F237" i="4"/>
  <c r="A237" i="4"/>
  <c r="G236" i="4"/>
  <c r="F236" i="4"/>
  <c r="A236" i="4"/>
  <c r="G235" i="4"/>
  <c r="F235" i="4"/>
  <c r="A235" i="4"/>
  <c r="G234" i="4"/>
  <c r="F234" i="4"/>
  <c r="A234" i="4"/>
  <c r="G233" i="4"/>
  <c r="F233" i="4"/>
  <c r="A233" i="4"/>
  <c r="G232" i="4"/>
  <c r="F232" i="4"/>
  <c r="A232" i="4"/>
  <c r="G231" i="4"/>
  <c r="F231" i="4"/>
  <c r="A231" i="4"/>
  <c r="G230" i="4"/>
  <c r="F230" i="4"/>
  <c r="A230" i="4"/>
  <c r="G229" i="4"/>
  <c r="F229" i="4"/>
  <c r="A229" i="4"/>
  <c r="G228" i="4"/>
  <c r="F228" i="4"/>
  <c r="A228" i="4"/>
  <c r="G227" i="4"/>
  <c r="F227" i="4"/>
  <c r="A227" i="4"/>
  <c r="G226" i="4"/>
  <c r="F226" i="4"/>
  <c r="A226" i="4"/>
  <c r="G225" i="4"/>
  <c r="F225" i="4"/>
  <c r="A225" i="4"/>
  <c r="G224" i="4"/>
  <c r="F224" i="4"/>
  <c r="A224" i="4"/>
  <c r="G223" i="4"/>
  <c r="F223" i="4"/>
  <c r="A223" i="4"/>
  <c r="G222" i="4"/>
  <c r="F222" i="4"/>
  <c r="A222" i="4"/>
  <c r="G221" i="4"/>
  <c r="F221" i="4"/>
  <c r="A221" i="4"/>
  <c r="G220" i="4"/>
  <c r="F220" i="4"/>
  <c r="A220" i="4"/>
  <c r="G219" i="4"/>
  <c r="F219" i="4"/>
  <c r="A219" i="4"/>
  <c r="G218" i="4"/>
  <c r="F218" i="4"/>
  <c r="A218" i="4"/>
  <c r="G217" i="4"/>
  <c r="F217" i="4"/>
  <c r="A217" i="4"/>
  <c r="G216" i="4"/>
  <c r="F216" i="4"/>
  <c r="A216" i="4"/>
  <c r="G215" i="4"/>
  <c r="F215" i="4"/>
  <c r="A215" i="4"/>
  <c r="G214" i="4"/>
  <c r="F214" i="4"/>
  <c r="A214" i="4"/>
  <c r="G213" i="4"/>
  <c r="F213" i="4"/>
  <c r="A213" i="4"/>
  <c r="G212" i="4"/>
  <c r="F212" i="4"/>
  <c r="A212" i="4"/>
  <c r="G211" i="4"/>
  <c r="F211" i="4"/>
  <c r="A211" i="4"/>
  <c r="G210" i="4"/>
  <c r="F210" i="4"/>
  <c r="A210" i="4"/>
  <c r="G209" i="4"/>
  <c r="F209" i="4"/>
  <c r="A209" i="4"/>
  <c r="G208" i="4"/>
  <c r="F208" i="4"/>
  <c r="A208" i="4"/>
  <c r="G207" i="4"/>
  <c r="F207" i="4"/>
  <c r="A207" i="4"/>
  <c r="G206" i="4"/>
  <c r="F206" i="4"/>
  <c r="A206" i="4"/>
  <c r="G205" i="4"/>
  <c r="F205" i="4"/>
  <c r="A205" i="4"/>
  <c r="G204" i="4"/>
  <c r="F204" i="4"/>
  <c r="A204" i="4"/>
  <c r="G203" i="4"/>
  <c r="F203" i="4"/>
  <c r="A203" i="4"/>
  <c r="G202" i="4"/>
  <c r="F202" i="4"/>
  <c r="A202" i="4"/>
  <c r="G201" i="4"/>
  <c r="F201" i="4"/>
  <c r="A201" i="4"/>
  <c r="G200" i="4"/>
  <c r="F200" i="4"/>
  <c r="A200" i="4"/>
  <c r="G199" i="4"/>
  <c r="F199" i="4"/>
  <c r="A199" i="4"/>
  <c r="G198" i="4"/>
  <c r="F198" i="4"/>
  <c r="A198" i="4"/>
  <c r="G197" i="4"/>
  <c r="F197" i="4"/>
  <c r="A197" i="4"/>
  <c r="G196" i="4"/>
  <c r="F196" i="4"/>
  <c r="A196" i="4"/>
  <c r="G195" i="4"/>
  <c r="F195" i="4"/>
  <c r="A195" i="4"/>
  <c r="G194" i="4"/>
  <c r="F194" i="4"/>
  <c r="A194" i="4"/>
  <c r="G193" i="4"/>
  <c r="F193" i="4"/>
  <c r="A193" i="4"/>
  <c r="G192" i="4"/>
  <c r="F192" i="4"/>
  <c r="A192" i="4"/>
  <c r="G191" i="4"/>
  <c r="F191" i="4"/>
  <c r="A191" i="4"/>
  <c r="G190" i="4"/>
  <c r="F190" i="4"/>
  <c r="A190" i="4"/>
  <c r="G189" i="4"/>
  <c r="F189" i="4"/>
  <c r="A189" i="4"/>
  <c r="G188" i="4"/>
  <c r="F188" i="4"/>
  <c r="A188" i="4"/>
  <c r="G187" i="4"/>
  <c r="F187" i="4"/>
  <c r="A187" i="4"/>
  <c r="G186" i="4"/>
  <c r="F186" i="4"/>
  <c r="A186" i="4"/>
  <c r="G185" i="4"/>
  <c r="F185" i="4"/>
  <c r="A185" i="4"/>
  <c r="G184" i="4"/>
  <c r="F184" i="4"/>
  <c r="A184" i="4"/>
  <c r="G183" i="4"/>
  <c r="F183" i="4"/>
  <c r="A183" i="4"/>
  <c r="G182" i="4"/>
  <c r="F182" i="4"/>
  <c r="A182" i="4"/>
  <c r="G181" i="4"/>
  <c r="F181" i="4"/>
  <c r="A181" i="4"/>
  <c r="G180" i="4"/>
  <c r="F180" i="4"/>
  <c r="A180" i="4"/>
  <c r="G179" i="4"/>
  <c r="F179" i="4"/>
  <c r="A179" i="4"/>
  <c r="G178" i="4"/>
  <c r="F178" i="4"/>
  <c r="A178" i="4"/>
  <c r="G177" i="4"/>
  <c r="F177" i="4"/>
  <c r="A177" i="4"/>
  <c r="G176" i="4"/>
  <c r="F176" i="4"/>
  <c r="A176" i="4"/>
  <c r="G175" i="4"/>
  <c r="F175" i="4"/>
  <c r="A175" i="4"/>
  <c r="G174" i="4"/>
  <c r="F174" i="4"/>
  <c r="A174" i="4"/>
  <c r="G173" i="4"/>
  <c r="F173" i="4"/>
  <c r="A173" i="4"/>
  <c r="G172" i="4"/>
  <c r="F172" i="4"/>
  <c r="A172" i="4"/>
  <c r="G171" i="4"/>
  <c r="F171" i="4"/>
  <c r="A171" i="4"/>
  <c r="G170" i="4"/>
  <c r="F170" i="4"/>
  <c r="A170" i="4"/>
  <c r="G169" i="4"/>
  <c r="F169" i="4"/>
  <c r="A169" i="4"/>
  <c r="G168" i="4"/>
  <c r="F168" i="4"/>
  <c r="A168" i="4"/>
  <c r="G167" i="4"/>
  <c r="F167" i="4"/>
  <c r="A167" i="4"/>
  <c r="G166" i="4"/>
  <c r="F166" i="4"/>
  <c r="A166" i="4"/>
  <c r="G165" i="4"/>
  <c r="F165" i="4"/>
  <c r="A165" i="4"/>
  <c r="G164" i="4"/>
  <c r="F164" i="4"/>
  <c r="A164" i="4"/>
  <c r="G163" i="4"/>
  <c r="F163" i="4"/>
  <c r="A163" i="4"/>
  <c r="G162" i="4"/>
  <c r="F162" i="4"/>
  <c r="A162" i="4"/>
  <c r="G161" i="4"/>
  <c r="F161" i="4"/>
  <c r="A161" i="4"/>
  <c r="G160" i="4"/>
  <c r="F160" i="4"/>
  <c r="A160" i="4"/>
  <c r="G159" i="4"/>
  <c r="F159" i="4"/>
  <c r="A159" i="4"/>
  <c r="G158" i="4"/>
  <c r="F158" i="4"/>
  <c r="A158" i="4"/>
  <c r="G157" i="4"/>
  <c r="F157" i="4"/>
  <c r="A157" i="4"/>
  <c r="G156" i="4"/>
  <c r="F156" i="4"/>
  <c r="A156" i="4"/>
  <c r="G155" i="4"/>
  <c r="F155" i="4"/>
  <c r="A155" i="4"/>
  <c r="G154" i="4"/>
  <c r="F154" i="4"/>
  <c r="A154" i="4"/>
  <c r="G153" i="4"/>
  <c r="F153" i="4"/>
  <c r="A153" i="4"/>
  <c r="G152" i="4"/>
  <c r="F152" i="4"/>
  <c r="A152" i="4"/>
  <c r="G151" i="4"/>
  <c r="F151" i="4"/>
  <c r="A151" i="4"/>
  <c r="G150" i="4"/>
  <c r="F150" i="4"/>
  <c r="A150" i="4"/>
  <c r="G149" i="4"/>
  <c r="F149" i="4"/>
  <c r="A149" i="4"/>
  <c r="G148" i="4"/>
  <c r="F148" i="4"/>
  <c r="A148" i="4"/>
  <c r="G147" i="4"/>
  <c r="F147" i="4"/>
  <c r="A147" i="4"/>
  <c r="G146" i="4"/>
  <c r="F146" i="4"/>
  <c r="A146" i="4"/>
  <c r="G145" i="4"/>
  <c r="F145" i="4"/>
  <c r="A145" i="4"/>
  <c r="G144" i="4"/>
  <c r="F144" i="4"/>
  <c r="A144" i="4"/>
  <c r="G143" i="4"/>
  <c r="F143" i="4"/>
  <c r="A143" i="4"/>
  <c r="G142" i="4"/>
  <c r="F142" i="4"/>
  <c r="A142" i="4"/>
  <c r="G141" i="4"/>
  <c r="F141" i="4"/>
  <c r="A141" i="4"/>
  <c r="G140" i="4"/>
  <c r="F140" i="4"/>
  <c r="A140" i="4"/>
  <c r="G139" i="4"/>
  <c r="F139" i="4"/>
  <c r="A139" i="4"/>
  <c r="G138" i="4"/>
  <c r="F138" i="4"/>
  <c r="A138" i="4"/>
  <c r="G137" i="4"/>
  <c r="F137" i="4"/>
  <c r="A137" i="4"/>
  <c r="G136" i="4"/>
  <c r="F136" i="4"/>
  <c r="A136" i="4"/>
  <c r="G135" i="4"/>
  <c r="F135" i="4"/>
  <c r="A135" i="4"/>
  <c r="G134" i="4"/>
  <c r="F134" i="4"/>
  <c r="A134" i="4"/>
  <c r="G133" i="4"/>
  <c r="F133" i="4"/>
  <c r="A133" i="4"/>
  <c r="G132" i="4"/>
  <c r="F132" i="4"/>
  <c r="A132" i="4"/>
  <c r="G261" i="3"/>
  <c r="F261" i="3"/>
  <c r="A261" i="3"/>
  <c r="G260" i="3"/>
  <c r="F260" i="3"/>
  <c r="A260" i="3"/>
  <c r="G259" i="3"/>
  <c r="F259" i="3"/>
  <c r="A259" i="3"/>
  <c r="G258" i="3"/>
  <c r="F258" i="3"/>
  <c r="A258" i="3"/>
  <c r="G257" i="3"/>
  <c r="F257" i="3"/>
  <c r="A257" i="3"/>
  <c r="G256" i="3"/>
  <c r="F256" i="3"/>
  <c r="A256" i="3"/>
  <c r="G255" i="3"/>
  <c r="F255" i="3"/>
  <c r="A255" i="3"/>
  <c r="G254" i="3"/>
  <c r="F254" i="3"/>
  <c r="A254" i="3"/>
  <c r="G253" i="3"/>
  <c r="F253" i="3"/>
  <c r="A253" i="3"/>
  <c r="G252" i="3"/>
  <c r="F252" i="3"/>
  <c r="A252" i="3"/>
  <c r="G251" i="3"/>
  <c r="F251" i="3"/>
  <c r="A251" i="3"/>
  <c r="G250" i="3"/>
  <c r="F250" i="3"/>
  <c r="A250" i="3"/>
  <c r="G249" i="3"/>
  <c r="F249" i="3"/>
  <c r="A249" i="3"/>
  <c r="G248" i="3"/>
  <c r="F248" i="3"/>
  <c r="A248" i="3"/>
  <c r="G247" i="3"/>
  <c r="F247" i="3"/>
  <c r="A247" i="3"/>
  <c r="G246" i="3"/>
  <c r="F246" i="3"/>
  <c r="A246" i="3"/>
  <c r="G245" i="3"/>
  <c r="F245" i="3"/>
  <c r="A245" i="3"/>
  <c r="G244" i="3"/>
  <c r="F244" i="3"/>
  <c r="A244" i="3"/>
  <c r="G243" i="3"/>
  <c r="F243" i="3"/>
  <c r="A243" i="3"/>
  <c r="G242" i="3"/>
  <c r="F242" i="3"/>
  <c r="A242" i="3"/>
  <c r="G241" i="3"/>
  <c r="F241" i="3"/>
  <c r="A241" i="3"/>
  <c r="G240" i="3"/>
  <c r="F240" i="3"/>
  <c r="A240" i="3"/>
  <c r="G239" i="3"/>
  <c r="F239" i="3"/>
  <c r="A239" i="3"/>
  <c r="G238" i="3"/>
  <c r="F238" i="3"/>
  <c r="A238" i="3"/>
  <c r="G237" i="3"/>
  <c r="F237" i="3"/>
  <c r="A237" i="3"/>
  <c r="G236" i="3"/>
  <c r="F236" i="3"/>
  <c r="A236" i="3"/>
  <c r="G235" i="3"/>
  <c r="F235" i="3"/>
  <c r="A235" i="3"/>
  <c r="G234" i="3"/>
  <c r="F234" i="3"/>
  <c r="A234" i="3"/>
  <c r="G233" i="3"/>
  <c r="F233" i="3"/>
  <c r="A233" i="3"/>
  <c r="G232" i="3"/>
  <c r="F232" i="3"/>
  <c r="A232" i="3"/>
  <c r="G231" i="3"/>
  <c r="F231" i="3"/>
  <c r="A231" i="3"/>
  <c r="G230" i="3"/>
  <c r="F230" i="3"/>
  <c r="A230" i="3"/>
  <c r="G229" i="3"/>
  <c r="F229" i="3"/>
  <c r="A229" i="3"/>
  <c r="G228" i="3"/>
  <c r="F228" i="3"/>
  <c r="A228" i="3"/>
  <c r="G227" i="3"/>
  <c r="F227" i="3"/>
  <c r="A227" i="3"/>
  <c r="G226" i="3"/>
  <c r="F226" i="3"/>
  <c r="A226" i="3"/>
  <c r="G225" i="3"/>
  <c r="F225" i="3"/>
  <c r="A225" i="3"/>
  <c r="G224" i="3"/>
  <c r="F224" i="3"/>
  <c r="A224" i="3"/>
  <c r="G223" i="3"/>
  <c r="F223" i="3"/>
  <c r="A223" i="3"/>
  <c r="G222" i="3"/>
  <c r="F222" i="3"/>
  <c r="A222" i="3"/>
  <c r="G221" i="3"/>
  <c r="F221" i="3"/>
  <c r="A221" i="3"/>
  <c r="G220" i="3"/>
  <c r="F220" i="3"/>
  <c r="A220" i="3"/>
  <c r="G219" i="3"/>
  <c r="F219" i="3"/>
  <c r="A219" i="3"/>
  <c r="G218" i="3"/>
  <c r="F218" i="3"/>
  <c r="A218" i="3"/>
  <c r="G217" i="3"/>
  <c r="F217" i="3"/>
  <c r="A217" i="3"/>
  <c r="G216" i="3"/>
  <c r="F216" i="3"/>
  <c r="A216" i="3"/>
  <c r="G215" i="3"/>
  <c r="F215" i="3"/>
  <c r="A215" i="3"/>
  <c r="G214" i="3"/>
  <c r="F214" i="3"/>
  <c r="A214" i="3"/>
  <c r="G213" i="3"/>
  <c r="F213" i="3"/>
  <c r="A213" i="3"/>
  <c r="G212" i="3"/>
  <c r="F212" i="3"/>
  <c r="A212" i="3"/>
  <c r="G211" i="3"/>
  <c r="F211" i="3"/>
  <c r="A211" i="3"/>
  <c r="G210" i="3"/>
  <c r="F210" i="3"/>
  <c r="A210" i="3"/>
  <c r="G12" i="8"/>
  <c r="G14" i="8"/>
  <c r="G5" i="6"/>
  <c r="G6" i="6" s="1"/>
  <c r="E6" i="6" s="1"/>
  <c r="H8" i="7" s="1"/>
  <c r="H37" i="7" s="1"/>
  <c r="G4" i="8"/>
  <c r="G209" i="3"/>
  <c r="F209" i="3"/>
  <c r="A209" i="3"/>
  <c r="G208" i="3"/>
  <c r="F208" i="3"/>
  <c r="A208" i="3"/>
  <c r="G207" i="3"/>
  <c r="F207" i="3"/>
  <c r="A207" i="3"/>
  <c r="G206" i="3"/>
  <c r="F206" i="3"/>
  <c r="A206" i="3"/>
  <c r="G205" i="3"/>
  <c r="F205" i="3"/>
  <c r="A205" i="3"/>
  <c r="G204" i="3"/>
  <c r="F204" i="3"/>
  <c r="A204" i="3"/>
  <c r="G203" i="3"/>
  <c r="F203" i="3"/>
  <c r="A203" i="3"/>
  <c r="G202" i="3"/>
  <c r="F202" i="3"/>
  <c r="A202" i="3"/>
  <c r="G201" i="3"/>
  <c r="F201" i="3"/>
  <c r="A201" i="3"/>
  <c r="G200" i="3"/>
  <c r="F200" i="3"/>
  <c r="A200" i="3"/>
  <c r="G199" i="3"/>
  <c r="F199" i="3"/>
  <c r="A199" i="3"/>
  <c r="G198" i="3"/>
  <c r="F198" i="3"/>
  <c r="A198" i="3"/>
  <c r="G197" i="3"/>
  <c r="F197" i="3"/>
  <c r="A197" i="3"/>
  <c r="G196" i="3"/>
  <c r="F196" i="3"/>
  <c r="A196" i="3"/>
  <c r="G195" i="3"/>
  <c r="F195" i="3"/>
  <c r="A195" i="3"/>
  <c r="G194" i="3"/>
  <c r="F194" i="3"/>
  <c r="A194" i="3"/>
  <c r="G193" i="3"/>
  <c r="F193" i="3"/>
  <c r="A193" i="3"/>
  <c r="G192" i="3"/>
  <c r="F192" i="3"/>
  <c r="A192" i="3"/>
  <c r="G191" i="3"/>
  <c r="F191" i="3"/>
  <c r="A191" i="3"/>
  <c r="G190" i="3"/>
  <c r="F190" i="3"/>
  <c r="A190" i="3"/>
  <c r="G189" i="3"/>
  <c r="F189" i="3"/>
  <c r="A189" i="3"/>
  <c r="G188" i="3"/>
  <c r="F188" i="3"/>
  <c r="A188" i="3"/>
  <c r="G187" i="3"/>
  <c r="F187" i="3"/>
  <c r="A187" i="3"/>
  <c r="G186" i="3"/>
  <c r="F186" i="3"/>
  <c r="A186" i="3"/>
  <c r="G185" i="3"/>
  <c r="F185" i="3"/>
  <c r="A185" i="3"/>
  <c r="G184" i="3"/>
  <c r="F184" i="3"/>
  <c r="A184" i="3"/>
  <c r="G183" i="3"/>
  <c r="F183" i="3"/>
  <c r="A183" i="3"/>
  <c r="G182" i="3"/>
  <c r="F182" i="3"/>
  <c r="A182" i="3"/>
  <c r="G181" i="3"/>
  <c r="F181" i="3"/>
  <c r="A181" i="3"/>
  <c r="G180" i="3"/>
  <c r="F180" i="3"/>
  <c r="A180" i="3"/>
  <c r="G179" i="3"/>
  <c r="F179" i="3"/>
  <c r="A179" i="3"/>
  <c r="G178" i="3"/>
  <c r="F178" i="3"/>
  <c r="A178" i="3"/>
  <c r="G177" i="3"/>
  <c r="F177" i="3"/>
  <c r="A177" i="3"/>
  <c r="G176" i="3"/>
  <c r="F176" i="3"/>
  <c r="A176" i="3"/>
  <c r="G175" i="3"/>
  <c r="F175" i="3"/>
  <c r="A175" i="3"/>
  <c r="G174" i="3"/>
  <c r="F174" i="3"/>
  <c r="A174" i="3"/>
  <c r="G173" i="3"/>
  <c r="F173" i="3"/>
  <c r="A173" i="3"/>
  <c r="G172" i="3"/>
  <c r="F172" i="3"/>
  <c r="A172" i="3"/>
  <c r="G171" i="3"/>
  <c r="F171" i="3"/>
  <c r="A171" i="3"/>
  <c r="G170" i="3"/>
  <c r="F170" i="3"/>
  <c r="A170" i="3"/>
  <c r="G169" i="3"/>
  <c r="F169" i="3"/>
  <c r="A169" i="3"/>
  <c r="G168" i="3"/>
  <c r="F168" i="3"/>
  <c r="A168" i="3"/>
  <c r="G167" i="3"/>
  <c r="F167" i="3"/>
  <c r="A167" i="3"/>
  <c r="G166" i="3"/>
  <c r="F166" i="3"/>
  <c r="A166" i="3"/>
  <c r="G165" i="3"/>
  <c r="F165" i="3"/>
  <c r="A165" i="3"/>
  <c r="G164" i="3"/>
  <c r="F164" i="3"/>
  <c r="A164" i="3"/>
  <c r="G163" i="3"/>
  <c r="F163" i="3"/>
  <c r="A163" i="3"/>
  <c r="G162" i="3"/>
  <c r="F162" i="3"/>
  <c r="A162" i="3"/>
  <c r="G161" i="3"/>
  <c r="F161" i="3"/>
  <c r="A161" i="3"/>
  <c r="G160" i="3"/>
  <c r="F160" i="3"/>
  <c r="A160" i="3"/>
  <c r="G159" i="3"/>
  <c r="F159" i="3"/>
  <c r="A159" i="3"/>
  <c r="G158" i="3"/>
  <c r="F158" i="3"/>
  <c r="A158" i="3"/>
  <c r="G157" i="3"/>
  <c r="F157" i="3"/>
  <c r="A157" i="3"/>
  <c r="G156" i="3"/>
  <c r="F156" i="3"/>
  <c r="A156" i="3"/>
  <c r="G155" i="3"/>
  <c r="F155" i="3"/>
  <c r="A155" i="3"/>
  <c r="G154" i="3"/>
  <c r="F154" i="3"/>
  <c r="A154" i="3"/>
  <c r="G153" i="3"/>
  <c r="F153" i="3"/>
  <c r="A153" i="3"/>
  <c r="G152" i="3"/>
  <c r="F152" i="3"/>
  <c r="A152" i="3"/>
  <c r="G151" i="3"/>
  <c r="F151" i="3"/>
  <c r="A151" i="3"/>
  <c r="G150" i="3"/>
  <c r="F150" i="3"/>
  <c r="A150" i="3"/>
  <c r="G149" i="3"/>
  <c r="F149" i="3"/>
  <c r="A149" i="3"/>
  <c r="G148" i="3"/>
  <c r="F148" i="3"/>
  <c r="A148" i="3"/>
  <c r="G147" i="3"/>
  <c r="F147" i="3"/>
  <c r="A147" i="3"/>
  <c r="G146" i="3"/>
  <c r="F146" i="3"/>
  <c r="A146" i="3"/>
  <c r="G145" i="3"/>
  <c r="F145" i="3"/>
  <c r="A145" i="3"/>
  <c r="G144" i="3"/>
  <c r="F144" i="3"/>
  <c r="A144" i="3"/>
  <c r="G143" i="3"/>
  <c r="F143" i="3"/>
  <c r="A143" i="3"/>
  <c r="G142" i="3"/>
  <c r="F142" i="3"/>
  <c r="A142" i="3"/>
  <c r="G141" i="3"/>
  <c r="F141" i="3"/>
  <c r="A141" i="3"/>
  <c r="G140" i="3"/>
  <c r="F140" i="3"/>
  <c r="A140" i="3"/>
  <c r="G139" i="3"/>
  <c r="F139" i="3"/>
  <c r="A139" i="3"/>
  <c r="G138" i="3"/>
  <c r="F138" i="3"/>
  <c r="A138" i="3"/>
  <c r="G137" i="3"/>
  <c r="F137" i="3"/>
  <c r="A137" i="3"/>
  <c r="G136" i="3"/>
  <c r="F136" i="3"/>
  <c r="A136" i="3"/>
  <c r="G135" i="3"/>
  <c r="F135" i="3"/>
  <c r="A135" i="3"/>
  <c r="G134" i="3"/>
  <c r="F134" i="3"/>
  <c r="A134" i="3"/>
  <c r="G133" i="3"/>
  <c r="F133" i="3"/>
  <c r="A133" i="3"/>
  <c r="G132" i="3"/>
  <c r="F132" i="3"/>
  <c r="A132" i="3"/>
  <c r="J1" i="10"/>
  <c r="B22" i="6"/>
  <c r="B21" i="6"/>
  <c r="AB17" i="6"/>
  <c r="AA19" i="6"/>
  <c r="AA17" i="6"/>
  <c r="AA18" i="6"/>
  <c r="AB18" i="6"/>
  <c r="AI27" i="7"/>
  <c r="H218" i="4" l="1"/>
  <c r="I218" i="4" s="1"/>
  <c r="E218" i="4" s="1"/>
  <c r="H231" i="3"/>
  <c r="I231" i="3" s="1"/>
  <c r="E231" i="3" s="1"/>
  <c r="H208" i="3"/>
  <c r="I208" i="3" s="1"/>
  <c r="E208" i="3" s="1"/>
  <c r="H210" i="4"/>
  <c r="I210" i="4" s="1"/>
  <c r="E210" i="4" s="1"/>
  <c r="H136" i="3"/>
  <c r="I136" i="3" s="1"/>
  <c r="E136" i="3" s="1"/>
  <c r="H160" i="3"/>
  <c r="I160" i="3" s="1"/>
  <c r="E160" i="3" s="1"/>
  <c r="H176" i="3"/>
  <c r="I176" i="3" s="1"/>
  <c r="E176" i="3" s="1"/>
  <c r="H192" i="3"/>
  <c r="I192" i="3" s="1"/>
  <c r="E192" i="3" s="1"/>
  <c r="H138" i="4"/>
  <c r="I138" i="4" s="1"/>
  <c r="E138" i="4" s="1"/>
  <c r="H239" i="3"/>
  <c r="I239" i="3" s="1"/>
  <c r="E239" i="3" s="1"/>
  <c r="H200" i="3"/>
  <c r="I200" i="3" s="1"/>
  <c r="E200" i="3" s="1"/>
  <c r="H170" i="4"/>
  <c r="I170" i="4" s="1"/>
  <c r="E170" i="4" s="1"/>
  <c r="H237" i="3"/>
  <c r="I237" i="3" s="1"/>
  <c r="E237" i="3" s="1"/>
  <c r="H146" i="4"/>
  <c r="I146" i="4" s="1"/>
  <c r="E146" i="4" s="1"/>
  <c r="H154" i="4"/>
  <c r="I154" i="4" s="1"/>
  <c r="E154" i="4" s="1"/>
  <c r="H162" i="4"/>
  <c r="I162" i="4" s="1"/>
  <c r="E162" i="4" s="1"/>
  <c r="H178" i="4"/>
  <c r="I178" i="4" s="1"/>
  <c r="E178" i="4" s="1"/>
  <c r="H202" i="3"/>
  <c r="I202" i="3" s="1"/>
  <c r="E202" i="3" s="1"/>
  <c r="H140" i="4"/>
  <c r="I140" i="4" s="1"/>
  <c r="E140" i="4" s="1"/>
  <c r="H156" i="4"/>
  <c r="I156" i="4" s="1"/>
  <c r="E156" i="4" s="1"/>
  <c r="H212" i="4"/>
  <c r="I212" i="4" s="1"/>
  <c r="E212" i="4" s="1"/>
  <c r="H235" i="3"/>
  <c r="I235" i="3" s="1"/>
  <c r="E235" i="3" s="1"/>
  <c r="H140" i="3"/>
  <c r="I140" i="3" s="1"/>
  <c r="E140" i="3" s="1"/>
  <c r="H188" i="3"/>
  <c r="I188" i="3" s="1"/>
  <c r="E188" i="3" s="1"/>
  <c r="H196" i="3"/>
  <c r="I196" i="3" s="1"/>
  <c r="E196" i="3" s="1"/>
  <c r="H204" i="3"/>
  <c r="I204" i="3" s="1"/>
  <c r="E204" i="3" s="1"/>
  <c r="H134" i="4"/>
  <c r="I134" i="4" s="1"/>
  <c r="E134" i="4" s="1"/>
  <c r="H142" i="4"/>
  <c r="I142" i="4" s="1"/>
  <c r="E142" i="4" s="1"/>
  <c r="H150" i="4"/>
  <c r="I150" i="4" s="1"/>
  <c r="E150" i="4" s="1"/>
  <c r="H158" i="4"/>
  <c r="I158" i="4" s="1"/>
  <c r="E158" i="4" s="1"/>
  <c r="H166" i="4"/>
  <c r="I166" i="4" s="1"/>
  <c r="E166" i="4" s="1"/>
  <c r="H174" i="4"/>
  <c r="I174" i="4" s="1"/>
  <c r="E174" i="4" s="1"/>
  <c r="H182" i="4"/>
  <c r="I182" i="4" s="1"/>
  <c r="E182" i="4" s="1"/>
  <c r="H214" i="4"/>
  <c r="I214" i="4" s="1"/>
  <c r="E214" i="4" s="1"/>
  <c r="H222" i="4"/>
  <c r="I222" i="4" s="1"/>
  <c r="E222" i="4" s="1"/>
  <c r="H217" i="3"/>
  <c r="I217" i="3" s="1"/>
  <c r="E217" i="3" s="1"/>
  <c r="H220" i="4"/>
  <c r="I220" i="4" s="1"/>
  <c r="E220" i="4" s="1"/>
  <c r="H243" i="3"/>
  <c r="I243" i="3" s="1"/>
  <c r="E243" i="3" s="1"/>
  <c r="H138" i="3"/>
  <c r="I138" i="3" s="1"/>
  <c r="E138" i="3" s="1"/>
  <c r="H162" i="3"/>
  <c r="I162" i="3" s="1"/>
  <c r="E162" i="3" s="1"/>
  <c r="H132" i="4"/>
  <c r="I132" i="4" s="1"/>
  <c r="E132" i="4" s="1"/>
  <c r="H148" i="4"/>
  <c r="I148" i="4" s="1"/>
  <c r="E148" i="4" s="1"/>
  <c r="H164" i="4"/>
  <c r="I164" i="4" s="1"/>
  <c r="E164" i="4" s="1"/>
  <c r="H172" i="4"/>
  <c r="I172" i="4" s="1"/>
  <c r="E172" i="4" s="1"/>
  <c r="H158" i="3"/>
  <c r="I158" i="3" s="1"/>
  <c r="E158" i="3" s="1"/>
  <c r="H166" i="3"/>
  <c r="I166" i="3" s="1"/>
  <c r="E166" i="3" s="1"/>
  <c r="H198" i="3"/>
  <c r="I198" i="3" s="1"/>
  <c r="E198" i="3" s="1"/>
  <c r="H206" i="3"/>
  <c r="H136" i="4"/>
  <c r="I136" i="4" s="1"/>
  <c r="E136" i="4" s="1"/>
  <c r="H144" i="4"/>
  <c r="I144" i="4" s="1"/>
  <c r="E144" i="4" s="1"/>
  <c r="H152" i="4"/>
  <c r="I152" i="4" s="1"/>
  <c r="E152" i="4" s="1"/>
  <c r="H160" i="4"/>
  <c r="I160" i="4" s="1"/>
  <c r="E160" i="4" s="1"/>
  <c r="H168" i="4"/>
  <c r="I168" i="4" s="1"/>
  <c r="E168" i="4" s="1"/>
  <c r="H176" i="4"/>
  <c r="I176" i="4" s="1"/>
  <c r="E176" i="4" s="1"/>
  <c r="H216" i="4"/>
  <c r="I216" i="4" s="1"/>
  <c r="E216" i="4" s="1"/>
  <c r="H241" i="3"/>
  <c r="I241" i="3" s="1"/>
  <c r="E241" i="3" s="1"/>
  <c r="H180" i="4"/>
  <c r="I180" i="4" s="1"/>
  <c r="E180" i="4" s="1"/>
  <c r="H9" i="7"/>
  <c r="H5" i="7"/>
  <c r="H34" i="7" s="1"/>
  <c r="H184" i="4"/>
  <c r="I184" i="4" s="1"/>
  <c r="E184" i="4" s="1"/>
  <c r="H186" i="4"/>
  <c r="I186" i="4" s="1"/>
  <c r="E186" i="4" s="1"/>
  <c r="H188" i="4"/>
  <c r="I188" i="4" s="1"/>
  <c r="E188" i="4" s="1"/>
  <c r="H190" i="4"/>
  <c r="I190" i="4" s="1"/>
  <c r="E190" i="4" s="1"/>
  <c r="H192" i="4"/>
  <c r="I192" i="4" s="1"/>
  <c r="E192" i="4" s="1"/>
  <c r="H194" i="4"/>
  <c r="I194" i="4" s="1"/>
  <c r="E194" i="4" s="1"/>
  <c r="H196" i="4"/>
  <c r="I196" i="4" s="1"/>
  <c r="E196" i="4" s="1"/>
  <c r="H198" i="4"/>
  <c r="I198" i="4" s="1"/>
  <c r="E198" i="4" s="1"/>
  <c r="H200" i="4"/>
  <c r="I200" i="4" s="1"/>
  <c r="E200" i="4" s="1"/>
  <c r="H202" i="4"/>
  <c r="I202" i="4" s="1"/>
  <c r="E202" i="4" s="1"/>
  <c r="H204" i="4"/>
  <c r="I204" i="4" s="1"/>
  <c r="E204" i="4" s="1"/>
  <c r="H206" i="4"/>
  <c r="I206" i="4" s="1"/>
  <c r="E206" i="4" s="1"/>
  <c r="H208" i="4"/>
  <c r="I208" i="4" s="1"/>
  <c r="E208" i="4" s="1"/>
  <c r="H133" i="4"/>
  <c r="I133" i="4" s="1"/>
  <c r="E133" i="4" s="1"/>
  <c r="H261" i="4"/>
  <c r="I261" i="4" s="1"/>
  <c r="E261" i="4" s="1"/>
  <c r="H224" i="4"/>
  <c r="I224" i="4" s="1"/>
  <c r="E224" i="4" s="1"/>
  <c r="H226" i="4"/>
  <c r="I226" i="4" s="1"/>
  <c r="E226" i="4" s="1"/>
  <c r="H228" i="4"/>
  <c r="I228" i="4" s="1"/>
  <c r="E228" i="4" s="1"/>
  <c r="H230" i="4"/>
  <c r="I230" i="4" s="1"/>
  <c r="E230" i="4" s="1"/>
  <c r="H232" i="4"/>
  <c r="I232" i="4" s="1"/>
  <c r="E232" i="4" s="1"/>
  <c r="H234" i="4"/>
  <c r="I234" i="4" s="1"/>
  <c r="E234" i="4" s="1"/>
  <c r="H236" i="4"/>
  <c r="I236" i="4" s="1"/>
  <c r="E236" i="4" s="1"/>
  <c r="H238" i="4"/>
  <c r="I238" i="4" s="1"/>
  <c r="E238" i="4" s="1"/>
  <c r="H240" i="4"/>
  <c r="I240" i="4" s="1"/>
  <c r="E240" i="4" s="1"/>
  <c r="H242" i="4"/>
  <c r="I242" i="4" s="1"/>
  <c r="E242" i="4" s="1"/>
  <c r="H244" i="4"/>
  <c r="I244" i="4" s="1"/>
  <c r="E244" i="4" s="1"/>
  <c r="H246" i="4"/>
  <c r="I246" i="4" s="1"/>
  <c r="E246" i="4" s="1"/>
  <c r="H248" i="4"/>
  <c r="I248" i="4" s="1"/>
  <c r="E248" i="4" s="1"/>
  <c r="H250" i="4"/>
  <c r="I250" i="4" s="1"/>
  <c r="E250" i="4" s="1"/>
  <c r="H252" i="4"/>
  <c r="I252" i="4" s="1"/>
  <c r="E252" i="4" s="1"/>
  <c r="H254" i="4"/>
  <c r="I254" i="4" s="1"/>
  <c r="E254" i="4" s="1"/>
  <c r="H256" i="4"/>
  <c r="I256" i="4" s="1"/>
  <c r="E256" i="4" s="1"/>
  <c r="H258" i="4"/>
  <c r="I258" i="4" s="1"/>
  <c r="E258" i="4" s="1"/>
  <c r="H260" i="4"/>
  <c r="I260" i="4" s="1"/>
  <c r="E260" i="4" s="1"/>
  <c r="H135" i="4"/>
  <c r="I135" i="4" s="1"/>
  <c r="E135" i="4" s="1"/>
  <c r="H137" i="4"/>
  <c r="I137" i="4" s="1"/>
  <c r="E137" i="4" s="1"/>
  <c r="H139" i="4"/>
  <c r="I139" i="4" s="1"/>
  <c r="E139" i="4" s="1"/>
  <c r="H141" i="4"/>
  <c r="I141" i="4" s="1"/>
  <c r="E141" i="4" s="1"/>
  <c r="H143" i="4"/>
  <c r="I143" i="4" s="1"/>
  <c r="E143" i="4" s="1"/>
  <c r="H145" i="4"/>
  <c r="I145" i="4" s="1"/>
  <c r="E145" i="4" s="1"/>
  <c r="H147" i="4"/>
  <c r="I147" i="4" s="1"/>
  <c r="E147" i="4" s="1"/>
  <c r="H149" i="4"/>
  <c r="I149" i="4" s="1"/>
  <c r="E149" i="4" s="1"/>
  <c r="H151" i="4"/>
  <c r="I151" i="4" s="1"/>
  <c r="E151" i="4" s="1"/>
  <c r="H153" i="4"/>
  <c r="I153" i="4" s="1"/>
  <c r="E153" i="4" s="1"/>
  <c r="H155" i="4"/>
  <c r="I155" i="4" s="1"/>
  <c r="E155" i="4" s="1"/>
  <c r="H157" i="4"/>
  <c r="I157" i="4" s="1"/>
  <c r="E157" i="4" s="1"/>
  <c r="H159" i="4"/>
  <c r="I159" i="4" s="1"/>
  <c r="E159" i="4" s="1"/>
  <c r="H161" i="4"/>
  <c r="I161" i="4" s="1"/>
  <c r="E161" i="4" s="1"/>
  <c r="H163" i="4"/>
  <c r="I163" i="4" s="1"/>
  <c r="E163" i="4" s="1"/>
  <c r="H165" i="4"/>
  <c r="I165" i="4" s="1"/>
  <c r="E165" i="4" s="1"/>
  <c r="H167" i="4"/>
  <c r="I167" i="4" s="1"/>
  <c r="E167" i="4" s="1"/>
  <c r="H169" i="4"/>
  <c r="I169" i="4" s="1"/>
  <c r="E169" i="4" s="1"/>
  <c r="H171" i="4"/>
  <c r="I171" i="4" s="1"/>
  <c r="E171" i="4" s="1"/>
  <c r="H173" i="4"/>
  <c r="I173" i="4" s="1"/>
  <c r="E173" i="4" s="1"/>
  <c r="H175" i="4"/>
  <c r="I175" i="4" s="1"/>
  <c r="E175" i="4" s="1"/>
  <c r="H177" i="4"/>
  <c r="I177" i="4" s="1"/>
  <c r="E177" i="4" s="1"/>
  <c r="H179" i="4"/>
  <c r="I179" i="4" s="1"/>
  <c r="E179" i="4" s="1"/>
  <c r="H181" i="4"/>
  <c r="I181" i="4" s="1"/>
  <c r="E181" i="4" s="1"/>
  <c r="H183" i="4"/>
  <c r="I183" i="4" s="1"/>
  <c r="E183" i="4" s="1"/>
  <c r="H185" i="4"/>
  <c r="I185" i="4" s="1"/>
  <c r="E185" i="4" s="1"/>
  <c r="H187" i="4"/>
  <c r="I187" i="4" s="1"/>
  <c r="E187" i="4" s="1"/>
  <c r="H189" i="4"/>
  <c r="I189" i="4" s="1"/>
  <c r="E189" i="4" s="1"/>
  <c r="H191" i="4"/>
  <c r="I191" i="4" s="1"/>
  <c r="E191" i="4" s="1"/>
  <c r="H193" i="4"/>
  <c r="I193" i="4" s="1"/>
  <c r="E193" i="4" s="1"/>
  <c r="H195" i="4"/>
  <c r="I195" i="4" s="1"/>
  <c r="E195" i="4" s="1"/>
  <c r="H197" i="4"/>
  <c r="I197" i="4" s="1"/>
  <c r="E197" i="4" s="1"/>
  <c r="H199" i="4"/>
  <c r="I199" i="4" s="1"/>
  <c r="E199" i="4" s="1"/>
  <c r="H201" i="4"/>
  <c r="I201" i="4" s="1"/>
  <c r="E201" i="4" s="1"/>
  <c r="H203" i="4"/>
  <c r="I203" i="4" s="1"/>
  <c r="E203" i="4" s="1"/>
  <c r="H205" i="4"/>
  <c r="I205" i="4" s="1"/>
  <c r="E205" i="4" s="1"/>
  <c r="H207" i="4"/>
  <c r="I207" i="4" s="1"/>
  <c r="E207" i="4" s="1"/>
  <c r="H209" i="4"/>
  <c r="I209" i="4" s="1"/>
  <c r="E209" i="4" s="1"/>
  <c r="H211" i="4"/>
  <c r="I211" i="4" s="1"/>
  <c r="E211" i="4" s="1"/>
  <c r="H213" i="4"/>
  <c r="I213" i="4" s="1"/>
  <c r="E213" i="4" s="1"/>
  <c r="H215" i="4"/>
  <c r="I215" i="4" s="1"/>
  <c r="E215" i="4" s="1"/>
  <c r="H217" i="4"/>
  <c r="I217" i="4" s="1"/>
  <c r="E217" i="4" s="1"/>
  <c r="H219" i="4"/>
  <c r="I219" i="4" s="1"/>
  <c r="E219" i="4" s="1"/>
  <c r="H221" i="4"/>
  <c r="I221" i="4" s="1"/>
  <c r="E221" i="4" s="1"/>
  <c r="H223" i="4"/>
  <c r="I223" i="4" s="1"/>
  <c r="E223" i="4" s="1"/>
  <c r="H225" i="4"/>
  <c r="I225" i="4" s="1"/>
  <c r="E225" i="4" s="1"/>
  <c r="H227" i="4"/>
  <c r="I227" i="4" s="1"/>
  <c r="E227" i="4" s="1"/>
  <c r="H229" i="4"/>
  <c r="I229" i="4" s="1"/>
  <c r="E229" i="4" s="1"/>
  <c r="H231" i="4"/>
  <c r="I231" i="4" s="1"/>
  <c r="E231" i="4" s="1"/>
  <c r="H233" i="4"/>
  <c r="I233" i="4" s="1"/>
  <c r="E233" i="4" s="1"/>
  <c r="H235" i="4"/>
  <c r="I235" i="4" s="1"/>
  <c r="E235" i="4" s="1"/>
  <c r="H237" i="4"/>
  <c r="I237" i="4" s="1"/>
  <c r="E237" i="4" s="1"/>
  <c r="H239" i="4"/>
  <c r="I239" i="4" s="1"/>
  <c r="E239" i="4" s="1"/>
  <c r="H241" i="4"/>
  <c r="I241" i="4" s="1"/>
  <c r="E241" i="4" s="1"/>
  <c r="H243" i="4"/>
  <c r="I243" i="4" s="1"/>
  <c r="E243" i="4" s="1"/>
  <c r="H245" i="4"/>
  <c r="I245" i="4" s="1"/>
  <c r="E245" i="4" s="1"/>
  <c r="H247" i="4"/>
  <c r="I247" i="4" s="1"/>
  <c r="E247" i="4" s="1"/>
  <c r="H249" i="4"/>
  <c r="I249" i="4" s="1"/>
  <c r="E249" i="4" s="1"/>
  <c r="H251" i="4"/>
  <c r="I251" i="4" s="1"/>
  <c r="E251" i="4" s="1"/>
  <c r="H253" i="4"/>
  <c r="I253" i="4" s="1"/>
  <c r="E253" i="4" s="1"/>
  <c r="H255" i="4"/>
  <c r="I255" i="4" s="1"/>
  <c r="E255" i="4" s="1"/>
  <c r="H257" i="4"/>
  <c r="I257" i="4" s="1"/>
  <c r="E257" i="4" s="1"/>
  <c r="H259" i="4"/>
  <c r="I259" i="4" s="1"/>
  <c r="E259" i="4" s="1"/>
  <c r="H259" i="3"/>
  <c r="I259" i="3" s="1"/>
  <c r="E259" i="3" s="1"/>
  <c r="H257" i="3"/>
  <c r="I257" i="3" s="1"/>
  <c r="E257" i="3" s="1"/>
  <c r="H255" i="3"/>
  <c r="I255" i="3" s="1"/>
  <c r="E255" i="3" s="1"/>
  <c r="H253" i="3"/>
  <c r="I253" i="3" s="1"/>
  <c r="E253" i="3" s="1"/>
  <c r="H251" i="3"/>
  <c r="I251" i="3" s="1"/>
  <c r="E251" i="3" s="1"/>
  <c r="H249" i="3"/>
  <c r="I249" i="3" s="1"/>
  <c r="E249" i="3" s="1"/>
  <c r="H247" i="3"/>
  <c r="I247" i="3" s="1"/>
  <c r="E247" i="3" s="1"/>
  <c r="H245" i="3"/>
  <c r="I245" i="3" s="1"/>
  <c r="E245" i="3" s="1"/>
  <c r="H233" i="3"/>
  <c r="I233" i="3" s="1"/>
  <c r="E233" i="3" s="1"/>
  <c r="H229" i="3"/>
  <c r="I229" i="3" s="1"/>
  <c r="E229" i="3" s="1"/>
  <c r="H227" i="3"/>
  <c r="I227" i="3" s="1"/>
  <c r="E227" i="3" s="1"/>
  <c r="H225" i="3"/>
  <c r="I225" i="3" s="1"/>
  <c r="E225" i="3" s="1"/>
  <c r="H223" i="3"/>
  <c r="I223" i="3" s="1"/>
  <c r="E223" i="3" s="1"/>
  <c r="H221" i="3"/>
  <c r="I221" i="3" s="1"/>
  <c r="E221" i="3" s="1"/>
  <c r="H219" i="3"/>
  <c r="I219" i="3" s="1"/>
  <c r="E219" i="3" s="1"/>
  <c r="H215" i="3"/>
  <c r="I215" i="3" s="1"/>
  <c r="E215" i="3" s="1"/>
  <c r="H213" i="3"/>
  <c r="I213" i="3" s="1"/>
  <c r="E213" i="3" s="1"/>
  <c r="H211" i="3"/>
  <c r="I211" i="3" s="1"/>
  <c r="E211" i="3" s="1"/>
  <c r="H210" i="3"/>
  <c r="I210" i="3" s="1"/>
  <c r="E210" i="3" s="1"/>
  <c r="H212" i="3"/>
  <c r="I212" i="3" s="1"/>
  <c r="E212" i="3" s="1"/>
  <c r="H214" i="3"/>
  <c r="I214" i="3" s="1"/>
  <c r="E214" i="3" s="1"/>
  <c r="H216" i="3"/>
  <c r="I216" i="3" s="1"/>
  <c r="E216" i="3" s="1"/>
  <c r="H218" i="3"/>
  <c r="I218" i="3" s="1"/>
  <c r="E218" i="3" s="1"/>
  <c r="H220" i="3"/>
  <c r="I220" i="3" s="1"/>
  <c r="E220" i="3" s="1"/>
  <c r="H222" i="3"/>
  <c r="I222" i="3" s="1"/>
  <c r="E222" i="3" s="1"/>
  <c r="H224" i="3"/>
  <c r="I224" i="3" s="1"/>
  <c r="E224" i="3" s="1"/>
  <c r="H226" i="3"/>
  <c r="I226" i="3" s="1"/>
  <c r="E226" i="3" s="1"/>
  <c r="H228" i="3"/>
  <c r="I228" i="3" s="1"/>
  <c r="E228" i="3" s="1"/>
  <c r="H230" i="3"/>
  <c r="I230" i="3" s="1"/>
  <c r="E230" i="3" s="1"/>
  <c r="H232" i="3"/>
  <c r="I232" i="3" s="1"/>
  <c r="E232" i="3" s="1"/>
  <c r="H234" i="3"/>
  <c r="I234" i="3" s="1"/>
  <c r="E234" i="3" s="1"/>
  <c r="H236" i="3"/>
  <c r="I236" i="3" s="1"/>
  <c r="E236" i="3" s="1"/>
  <c r="H238" i="3"/>
  <c r="I238" i="3" s="1"/>
  <c r="E238" i="3" s="1"/>
  <c r="H240" i="3"/>
  <c r="I240" i="3" s="1"/>
  <c r="E240" i="3" s="1"/>
  <c r="H242" i="3"/>
  <c r="I242" i="3" s="1"/>
  <c r="E242" i="3" s="1"/>
  <c r="H244" i="3"/>
  <c r="I244" i="3" s="1"/>
  <c r="E244" i="3" s="1"/>
  <c r="H246" i="3"/>
  <c r="I246" i="3" s="1"/>
  <c r="E246" i="3" s="1"/>
  <c r="H248" i="3"/>
  <c r="I248" i="3" s="1"/>
  <c r="E248" i="3" s="1"/>
  <c r="H250" i="3"/>
  <c r="I250" i="3" s="1"/>
  <c r="E250" i="3" s="1"/>
  <c r="H252" i="3"/>
  <c r="I252" i="3" s="1"/>
  <c r="E252" i="3" s="1"/>
  <c r="H254" i="3"/>
  <c r="I254" i="3" s="1"/>
  <c r="E254" i="3" s="1"/>
  <c r="H256" i="3"/>
  <c r="I256" i="3" s="1"/>
  <c r="E256" i="3" s="1"/>
  <c r="H258" i="3"/>
  <c r="I258" i="3" s="1"/>
  <c r="E258" i="3" s="1"/>
  <c r="H260" i="3"/>
  <c r="I260" i="3" s="1"/>
  <c r="E260" i="3" s="1"/>
  <c r="H261" i="3"/>
  <c r="I261" i="3" s="1"/>
  <c r="E261" i="3" s="1"/>
  <c r="H194" i="3"/>
  <c r="I194" i="3" s="1"/>
  <c r="E194" i="3" s="1"/>
  <c r="H190" i="3"/>
  <c r="I190" i="3" s="1"/>
  <c r="E190" i="3" s="1"/>
  <c r="H186" i="3"/>
  <c r="I186" i="3" s="1"/>
  <c r="E186" i="3" s="1"/>
  <c r="H184" i="3"/>
  <c r="I184" i="3" s="1"/>
  <c r="E184" i="3" s="1"/>
  <c r="H182" i="3"/>
  <c r="I182" i="3" s="1"/>
  <c r="E182" i="3" s="1"/>
  <c r="H180" i="3"/>
  <c r="I180" i="3" s="1"/>
  <c r="E180" i="3" s="1"/>
  <c r="H178" i="3"/>
  <c r="I178" i="3" s="1"/>
  <c r="E178" i="3" s="1"/>
  <c r="H174" i="3"/>
  <c r="I174" i="3" s="1"/>
  <c r="E174" i="3" s="1"/>
  <c r="H172" i="3"/>
  <c r="I172" i="3" s="1"/>
  <c r="E172" i="3" s="1"/>
  <c r="H170" i="3"/>
  <c r="I170" i="3" s="1"/>
  <c r="E170" i="3" s="1"/>
  <c r="H168" i="3"/>
  <c r="I168" i="3" s="1"/>
  <c r="E168" i="3" s="1"/>
  <c r="H164" i="3"/>
  <c r="I164" i="3" s="1"/>
  <c r="E164" i="3" s="1"/>
  <c r="H156" i="3"/>
  <c r="I156" i="3" s="1"/>
  <c r="E156" i="3" s="1"/>
  <c r="H154" i="3"/>
  <c r="I154" i="3" s="1"/>
  <c r="E154" i="3" s="1"/>
  <c r="H152" i="3"/>
  <c r="I152" i="3" s="1"/>
  <c r="E152" i="3" s="1"/>
  <c r="H150" i="3"/>
  <c r="I150" i="3" s="1"/>
  <c r="E150" i="3" s="1"/>
  <c r="H148" i="3"/>
  <c r="I148" i="3" s="1"/>
  <c r="E148" i="3" s="1"/>
  <c r="H146" i="3"/>
  <c r="I146" i="3" s="1"/>
  <c r="E146" i="3" s="1"/>
  <c r="H144" i="3"/>
  <c r="I144" i="3" s="1"/>
  <c r="E144" i="3" s="1"/>
  <c r="H142" i="3"/>
  <c r="I142" i="3" s="1"/>
  <c r="E142" i="3" s="1"/>
  <c r="H134" i="3"/>
  <c r="I134" i="3" s="1"/>
  <c r="E134" i="3" s="1"/>
  <c r="H132" i="3"/>
  <c r="H133" i="3"/>
  <c r="I133" i="3" s="1"/>
  <c r="E133" i="3" s="1"/>
  <c r="H135" i="3"/>
  <c r="I135" i="3" s="1"/>
  <c r="E135" i="3" s="1"/>
  <c r="H137" i="3"/>
  <c r="I137" i="3" s="1"/>
  <c r="E137" i="3" s="1"/>
  <c r="H139" i="3"/>
  <c r="H141" i="3"/>
  <c r="I141" i="3" s="1"/>
  <c r="E141" i="3" s="1"/>
  <c r="H143" i="3"/>
  <c r="I143" i="3" s="1"/>
  <c r="E143" i="3" s="1"/>
  <c r="H145" i="3"/>
  <c r="I145" i="3" s="1"/>
  <c r="E145" i="3" s="1"/>
  <c r="H147" i="3"/>
  <c r="I147" i="3" s="1"/>
  <c r="E147" i="3" s="1"/>
  <c r="H149" i="3"/>
  <c r="I149" i="3" s="1"/>
  <c r="E149" i="3" s="1"/>
  <c r="H151" i="3"/>
  <c r="I151" i="3" s="1"/>
  <c r="H153" i="3"/>
  <c r="I153" i="3" s="1"/>
  <c r="H155" i="3"/>
  <c r="I155" i="3" s="1"/>
  <c r="H157" i="3"/>
  <c r="I157" i="3" s="1"/>
  <c r="E157" i="3" s="1"/>
  <c r="H159" i="3"/>
  <c r="I159" i="3" s="1"/>
  <c r="E159" i="3" s="1"/>
  <c r="H161" i="3"/>
  <c r="I161" i="3" s="1"/>
  <c r="E161" i="3" s="1"/>
  <c r="H163" i="3"/>
  <c r="I163" i="3" s="1"/>
  <c r="H165" i="3"/>
  <c r="I165" i="3" s="1"/>
  <c r="H167" i="3"/>
  <c r="H169" i="3"/>
  <c r="I169" i="3" s="1"/>
  <c r="E169" i="3" s="1"/>
  <c r="H171" i="3"/>
  <c r="I171" i="3" s="1"/>
  <c r="E171" i="3" s="1"/>
  <c r="H173" i="3"/>
  <c r="I173" i="3" s="1"/>
  <c r="E173" i="3" s="1"/>
  <c r="H175" i="3"/>
  <c r="I175" i="3" s="1"/>
  <c r="E175" i="3" s="1"/>
  <c r="H177" i="3"/>
  <c r="I177" i="3" s="1"/>
  <c r="E177" i="3" s="1"/>
  <c r="H179" i="3"/>
  <c r="I179" i="3" s="1"/>
  <c r="E179" i="3" s="1"/>
  <c r="H181" i="3"/>
  <c r="I181" i="3" s="1"/>
  <c r="E181" i="3" s="1"/>
  <c r="H183" i="3"/>
  <c r="I183" i="3" s="1"/>
  <c r="H185" i="3"/>
  <c r="I185" i="3" s="1"/>
  <c r="H187" i="3"/>
  <c r="H189" i="3"/>
  <c r="I189" i="3" s="1"/>
  <c r="E189" i="3" s="1"/>
  <c r="H191" i="3"/>
  <c r="I191" i="3" s="1"/>
  <c r="E191" i="3" s="1"/>
  <c r="H193" i="3"/>
  <c r="I193" i="3" s="1"/>
  <c r="E193" i="3" s="1"/>
  <c r="H195" i="3"/>
  <c r="I195" i="3" s="1"/>
  <c r="E195" i="3" s="1"/>
  <c r="H197" i="3"/>
  <c r="I197" i="3" s="1"/>
  <c r="H199" i="3"/>
  <c r="H201" i="3"/>
  <c r="I201" i="3" s="1"/>
  <c r="E201" i="3" s="1"/>
  <c r="H203" i="3"/>
  <c r="I203" i="3" s="1"/>
  <c r="E203" i="3" s="1"/>
  <c r="H205" i="3"/>
  <c r="I205" i="3" s="1"/>
  <c r="E205" i="3" s="1"/>
  <c r="H207" i="3"/>
  <c r="I207" i="3" s="1"/>
  <c r="E207" i="3" s="1"/>
  <c r="H209" i="3"/>
  <c r="I209" i="3" s="1"/>
  <c r="E209" i="3" s="1"/>
  <c r="I132" i="3"/>
  <c r="E132" i="3" s="1"/>
  <c r="I206" i="3"/>
  <c r="E206" i="3" s="1"/>
  <c r="AB19" i="6"/>
  <c r="AG35" i="7"/>
  <c r="AG34" i="7"/>
  <c r="AG33" i="7"/>
  <c r="AG32" i="7"/>
  <c r="AG31" i="7"/>
  <c r="AG29" i="7"/>
  <c r="AG28" i="7"/>
  <c r="AG27" i="7"/>
  <c r="AG26" i="7"/>
  <c r="AG25" i="7"/>
  <c r="R20" i="2"/>
  <c r="Q21" i="2" s="1"/>
  <c r="Q20" i="2"/>
  <c r="R21" i="2" s="1"/>
  <c r="R18" i="2"/>
  <c r="Q19" i="2" s="1"/>
  <c r="Q18" i="2"/>
  <c r="R19" i="2" s="1"/>
  <c r="R16" i="2"/>
  <c r="Q17" i="2" s="1"/>
  <c r="Q16" i="2"/>
  <c r="R17" i="2" s="1"/>
  <c r="R14" i="2"/>
  <c r="Q15" i="2" s="1"/>
  <c r="Q14" i="2"/>
  <c r="R15" i="2" s="1"/>
  <c r="R12" i="2"/>
  <c r="Q13" i="2" s="1"/>
  <c r="Q12" i="2"/>
  <c r="R13" i="2" s="1"/>
  <c r="R10" i="2"/>
  <c r="Q11" i="2" s="1"/>
  <c r="Q10" i="2"/>
  <c r="R11" i="2" s="1"/>
  <c r="R8" i="2"/>
  <c r="Q9" i="2" s="1"/>
  <c r="Q8" i="2"/>
  <c r="R9" i="2" s="1"/>
  <c r="R6" i="2"/>
  <c r="Q7" i="2" s="1"/>
  <c r="Q6" i="2"/>
  <c r="R7" i="2" s="1"/>
  <c r="R4" i="2"/>
  <c r="Q5" i="2" s="1"/>
  <c r="Q4" i="2"/>
  <c r="R5" i="2" s="1"/>
  <c r="R2" i="2"/>
  <c r="Q3" i="2" s="1"/>
  <c r="Q2" i="2"/>
  <c r="R3" i="2" s="1"/>
  <c r="P14" i="8"/>
  <c r="M14" i="8"/>
  <c r="J14" i="8"/>
  <c r="D28" i="7"/>
  <c r="P12" i="8"/>
  <c r="M12" i="8"/>
  <c r="J12" i="8"/>
  <c r="AC4" i="7"/>
  <c r="AC33" i="7" s="1"/>
  <c r="V4" i="7"/>
  <c r="V33" i="7" s="1"/>
  <c r="O4" i="7"/>
  <c r="O5" i="7" s="1"/>
  <c r="O34" i="7" s="1"/>
  <c r="AC3" i="7"/>
  <c r="V3" i="7"/>
  <c r="O3" i="7"/>
  <c r="O32" i="7" s="1"/>
  <c r="S5" i="6"/>
  <c r="S6" i="6" s="1"/>
  <c r="Q6" i="6" s="1"/>
  <c r="AC8" i="7" s="1"/>
  <c r="O5" i="6"/>
  <c r="O6" i="6" s="1"/>
  <c r="M6" i="6" s="1"/>
  <c r="V8" i="7" s="1"/>
  <c r="K5" i="6"/>
  <c r="K6" i="6" s="1"/>
  <c r="I6" i="6" s="1"/>
  <c r="O8" i="7" s="1"/>
  <c r="O9" i="7" s="1"/>
  <c r="M9" i="7" s="1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28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" i="5"/>
  <c r="G131" i="4"/>
  <c r="F131" i="4"/>
  <c r="A131" i="4"/>
  <c r="G130" i="4"/>
  <c r="F130" i="4"/>
  <c r="A130" i="4"/>
  <c r="G129" i="4"/>
  <c r="F129" i="4"/>
  <c r="A129" i="4"/>
  <c r="G128" i="4"/>
  <c r="F128" i="4"/>
  <c r="A128" i="4"/>
  <c r="G127" i="4"/>
  <c r="F127" i="4"/>
  <c r="A127" i="4"/>
  <c r="G126" i="4"/>
  <c r="F126" i="4"/>
  <c r="A126" i="4"/>
  <c r="G125" i="4"/>
  <c r="F125" i="4"/>
  <c r="A125" i="4"/>
  <c r="G124" i="4"/>
  <c r="F124" i="4"/>
  <c r="A124" i="4"/>
  <c r="G123" i="4"/>
  <c r="F123" i="4"/>
  <c r="A123" i="4"/>
  <c r="G122" i="4"/>
  <c r="F122" i="4"/>
  <c r="A122" i="4"/>
  <c r="G121" i="4"/>
  <c r="F121" i="4"/>
  <c r="A121" i="4"/>
  <c r="G120" i="4"/>
  <c r="F120" i="4"/>
  <c r="A120" i="4"/>
  <c r="G119" i="4"/>
  <c r="F119" i="4"/>
  <c r="A119" i="4"/>
  <c r="G118" i="4"/>
  <c r="F118" i="4"/>
  <c r="A118" i="4"/>
  <c r="G117" i="4"/>
  <c r="F117" i="4"/>
  <c r="A117" i="4"/>
  <c r="G116" i="4"/>
  <c r="F116" i="4"/>
  <c r="A116" i="4"/>
  <c r="G115" i="4"/>
  <c r="F115" i="4"/>
  <c r="A115" i="4"/>
  <c r="G114" i="4"/>
  <c r="F114" i="4"/>
  <c r="A114" i="4"/>
  <c r="G113" i="4"/>
  <c r="F113" i="4"/>
  <c r="A113" i="4"/>
  <c r="G112" i="4"/>
  <c r="F112" i="4"/>
  <c r="A112" i="4"/>
  <c r="G111" i="4"/>
  <c r="F111" i="4"/>
  <c r="A111" i="4"/>
  <c r="G110" i="4"/>
  <c r="F110" i="4"/>
  <c r="A110" i="4"/>
  <c r="G109" i="4"/>
  <c r="F109" i="4"/>
  <c r="A109" i="4"/>
  <c r="G108" i="4"/>
  <c r="F108" i="4"/>
  <c r="A108" i="4"/>
  <c r="G107" i="4"/>
  <c r="F107" i="4"/>
  <c r="A107" i="4"/>
  <c r="G106" i="4"/>
  <c r="F106" i="4"/>
  <c r="A106" i="4"/>
  <c r="G105" i="4"/>
  <c r="F105" i="4"/>
  <c r="A105" i="4"/>
  <c r="G104" i="4"/>
  <c r="F104" i="4"/>
  <c r="A104" i="4"/>
  <c r="G103" i="4"/>
  <c r="F103" i="4"/>
  <c r="A103" i="4"/>
  <c r="G102" i="4"/>
  <c r="F102" i="4"/>
  <c r="A102" i="4"/>
  <c r="G101" i="4"/>
  <c r="F101" i="4"/>
  <c r="A101" i="4"/>
  <c r="G100" i="4"/>
  <c r="F100" i="4"/>
  <c r="A100" i="4"/>
  <c r="G99" i="4"/>
  <c r="F99" i="4"/>
  <c r="A99" i="4"/>
  <c r="G98" i="4"/>
  <c r="F98" i="4"/>
  <c r="A98" i="4"/>
  <c r="G97" i="4"/>
  <c r="F97" i="4"/>
  <c r="A97" i="4"/>
  <c r="G96" i="4"/>
  <c r="F96" i="4"/>
  <c r="A96" i="4"/>
  <c r="G95" i="4"/>
  <c r="F95" i="4"/>
  <c r="A95" i="4"/>
  <c r="G94" i="4"/>
  <c r="F94" i="4"/>
  <c r="A94" i="4"/>
  <c r="G93" i="4"/>
  <c r="F93" i="4"/>
  <c r="A93" i="4"/>
  <c r="G92" i="4"/>
  <c r="F92" i="4"/>
  <c r="A92" i="4"/>
  <c r="G91" i="4"/>
  <c r="F91" i="4"/>
  <c r="A91" i="4"/>
  <c r="G90" i="4"/>
  <c r="F90" i="4"/>
  <c r="A90" i="4"/>
  <c r="G89" i="4"/>
  <c r="F89" i="4"/>
  <c r="A89" i="4"/>
  <c r="G88" i="4"/>
  <c r="F88" i="4"/>
  <c r="A88" i="4"/>
  <c r="G87" i="4"/>
  <c r="F87" i="4"/>
  <c r="A87" i="4"/>
  <c r="G86" i="4"/>
  <c r="F86" i="4"/>
  <c r="A86" i="4"/>
  <c r="G85" i="4"/>
  <c r="F85" i="4"/>
  <c r="A85" i="4"/>
  <c r="G84" i="4"/>
  <c r="F84" i="4"/>
  <c r="A84" i="4"/>
  <c r="G83" i="4"/>
  <c r="F83" i="4"/>
  <c r="A83" i="4"/>
  <c r="G82" i="4"/>
  <c r="F82" i="4"/>
  <c r="A82" i="4"/>
  <c r="G81" i="4"/>
  <c r="F81" i="4"/>
  <c r="A81" i="4"/>
  <c r="G80" i="4"/>
  <c r="F80" i="4"/>
  <c r="A80" i="4"/>
  <c r="G79" i="4"/>
  <c r="F79" i="4"/>
  <c r="A79" i="4"/>
  <c r="G78" i="4"/>
  <c r="F78" i="4"/>
  <c r="A78" i="4"/>
  <c r="G77" i="4"/>
  <c r="F77" i="4"/>
  <c r="A77" i="4"/>
  <c r="G76" i="4"/>
  <c r="F76" i="4"/>
  <c r="A76" i="4"/>
  <c r="G75" i="4"/>
  <c r="F75" i="4"/>
  <c r="A75" i="4"/>
  <c r="G74" i="4"/>
  <c r="F74" i="4"/>
  <c r="A74" i="4"/>
  <c r="G73" i="4"/>
  <c r="F73" i="4"/>
  <c r="A73" i="4"/>
  <c r="G72" i="4"/>
  <c r="F72" i="4"/>
  <c r="A72" i="4"/>
  <c r="G71" i="4"/>
  <c r="F71" i="4"/>
  <c r="A71" i="4"/>
  <c r="G70" i="4"/>
  <c r="F70" i="4"/>
  <c r="A70" i="4"/>
  <c r="G69" i="4"/>
  <c r="F69" i="4"/>
  <c r="A69" i="4"/>
  <c r="G68" i="4"/>
  <c r="F68" i="4"/>
  <c r="A68" i="4"/>
  <c r="G67" i="4"/>
  <c r="F67" i="4"/>
  <c r="A67" i="4"/>
  <c r="G66" i="4"/>
  <c r="F66" i="4"/>
  <c r="A66" i="4"/>
  <c r="G65" i="4"/>
  <c r="F65" i="4"/>
  <c r="A65" i="4"/>
  <c r="G64" i="4"/>
  <c r="F64" i="4"/>
  <c r="A64" i="4"/>
  <c r="G63" i="4"/>
  <c r="F63" i="4"/>
  <c r="A63" i="4"/>
  <c r="G62" i="4"/>
  <c r="F62" i="4"/>
  <c r="A62" i="4"/>
  <c r="G61" i="4"/>
  <c r="F61" i="4"/>
  <c r="A61" i="4"/>
  <c r="G60" i="4"/>
  <c r="F60" i="4"/>
  <c r="A60" i="4"/>
  <c r="G59" i="4"/>
  <c r="F59" i="4"/>
  <c r="A59" i="4"/>
  <c r="G58" i="4"/>
  <c r="F58" i="4"/>
  <c r="A58" i="4"/>
  <c r="G57" i="4"/>
  <c r="F57" i="4"/>
  <c r="A57" i="4"/>
  <c r="G56" i="4"/>
  <c r="F56" i="4"/>
  <c r="A56" i="4"/>
  <c r="G55" i="4"/>
  <c r="F55" i="4"/>
  <c r="A55" i="4"/>
  <c r="G54" i="4"/>
  <c r="F54" i="4"/>
  <c r="A54" i="4"/>
  <c r="G53" i="4"/>
  <c r="F53" i="4"/>
  <c r="A53" i="4"/>
  <c r="G52" i="4"/>
  <c r="F52" i="4"/>
  <c r="A52" i="4"/>
  <c r="G51" i="4"/>
  <c r="F51" i="4"/>
  <c r="A51" i="4"/>
  <c r="G50" i="4"/>
  <c r="F50" i="4"/>
  <c r="A50" i="4"/>
  <c r="G49" i="4"/>
  <c r="F49" i="4"/>
  <c r="A49" i="4"/>
  <c r="G48" i="4"/>
  <c r="F48" i="4"/>
  <c r="A48" i="4"/>
  <c r="G47" i="4"/>
  <c r="F47" i="4"/>
  <c r="A47" i="4"/>
  <c r="G46" i="4"/>
  <c r="F46" i="4"/>
  <c r="A46" i="4"/>
  <c r="G45" i="4"/>
  <c r="F45" i="4"/>
  <c r="A45" i="4"/>
  <c r="G44" i="4"/>
  <c r="F44" i="4"/>
  <c r="A44" i="4"/>
  <c r="G43" i="4"/>
  <c r="F43" i="4"/>
  <c r="A43" i="4"/>
  <c r="G42" i="4"/>
  <c r="F42" i="4"/>
  <c r="A42" i="4"/>
  <c r="G41" i="4"/>
  <c r="F41" i="4"/>
  <c r="A41" i="4"/>
  <c r="G40" i="4"/>
  <c r="F40" i="4"/>
  <c r="A40" i="4"/>
  <c r="G39" i="4"/>
  <c r="F39" i="4"/>
  <c r="A39" i="4"/>
  <c r="G38" i="4"/>
  <c r="F38" i="4"/>
  <c r="A38" i="4"/>
  <c r="G37" i="4"/>
  <c r="F37" i="4"/>
  <c r="A37" i="4"/>
  <c r="G36" i="4"/>
  <c r="F36" i="4"/>
  <c r="A36" i="4"/>
  <c r="G35" i="4"/>
  <c r="F35" i="4"/>
  <c r="A35" i="4"/>
  <c r="G34" i="4"/>
  <c r="F34" i="4"/>
  <c r="A34" i="4"/>
  <c r="G33" i="4"/>
  <c r="F33" i="4"/>
  <c r="A33" i="4"/>
  <c r="G32" i="4"/>
  <c r="F32" i="4"/>
  <c r="A32" i="4"/>
  <c r="G31" i="4"/>
  <c r="F31" i="4"/>
  <c r="A31" i="4"/>
  <c r="G30" i="4"/>
  <c r="F30" i="4"/>
  <c r="A30" i="4"/>
  <c r="G29" i="4"/>
  <c r="F29" i="4"/>
  <c r="A29" i="4"/>
  <c r="G28" i="4"/>
  <c r="F28" i="4"/>
  <c r="A28" i="4"/>
  <c r="G27" i="4"/>
  <c r="F27" i="4"/>
  <c r="A27" i="4"/>
  <c r="G26" i="4"/>
  <c r="F26" i="4"/>
  <c r="A26" i="4"/>
  <c r="G25" i="4"/>
  <c r="F25" i="4"/>
  <c r="A25" i="4"/>
  <c r="G24" i="4"/>
  <c r="F24" i="4"/>
  <c r="A24" i="4"/>
  <c r="G23" i="4"/>
  <c r="F23" i="4"/>
  <c r="A23" i="4"/>
  <c r="G22" i="4"/>
  <c r="F22" i="4"/>
  <c r="A22" i="4"/>
  <c r="G21" i="4"/>
  <c r="F21" i="4"/>
  <c r="A21" i="4"/>
  <c r="G20" i="4"/>
  <c r="F20" i="4"/>
  <c r="A20" i="4"/>
  <c r="G19" i="4"/>
  <c r="F19" i="4"/>
  <c r="A19" i="4"/>
  <c r="G18" i="4"/>
  <c r="F18" i="4"/>
  <c r="A18" i="4"/>
  <c r="G17" i="4"/>
  <c r="F17" i="4"/>
  <c r="A17" i="4"/>
  <c r="G16" i="4"/>
  <c r="F16" i="4"/>
  <c r="A16" i="4"/>
  <c r="G15" i="4"/>
  <c r="F15" i="4"/>
  <c r="A15" i="4"/>
  <c r="G14" i="4"/>
  <c r="F14" i="4"/>
  <c r="A14" i="4"/>
  <c r="G13" i="4"/>
  <c r="F13" i="4"/>
  <c r="A13" i="4"/>
  <c r="G12" i="4"/>
  <c r="F12" i="4"/>
  <c r="A12" i="4"/>
  <c r="G11" i="4"/>
  <c r="F11" i="4"/>
  <c r="A11" i="4"/>
  <c r="G10" i="4"/>
  <c r="F10" i="4"/>
  <c r="A10" i="4"/>
  <c r="G9" i="4"/>
  <c r="F9" i="4"/>
  <c r="A9" i="4"/>
  <c r="G8" i="4"/>
  <c r="F8" i="4"/>
  <c r="A8" i="4"/>
  <c r="G7" i="4"/>
  <c r="F7" i="4"/>
  <c r="A7" i="4"/>
  <c r="G6" i="4"/>
  <c r="F6" i="4"/>
  <c r="A6" i="4"/>
  <c r="G5" i="4"/>
  <c r="F5" i="4"/>
  <c r="A5" i="4"/>
  <c r="G4" i="4"/>
  <c r="F4" i="4"/>
  <c r="A4" i="4"/>
  <c r="G3" i="4"/>
  <c r="F3" i="4"/>
  <c r="A3" i="4"/>
  <c r="G2" i="4"/>
  <c r="F2" i="4"/>
  <c r="A2" i="4"/>
  <c r="F106" i="3"/>
  <c r="G106" i="3"/>
  <c r="F107" i="3"/>
  <c r="G107" i="3"/>
  <c r="F108" i="3"/>
  <c r="G108" i="3"/>
  <c r="F109" i="3"/>
  <c r="G109" i="3"/>
  <c r="F110" i="3"/>
  <c r="G110" i="3"/>
  <c r="F111" i="3"/>
  <c r="G111" i="3"/>
  <c r="F112" i="3"/>
  <c r="G112" i="3"/>
  <c r="F113" i="3"/>
  <c r="G113" i="3"/>
  <c r="F114" i="3"/>
  <c r="G114" i="3"/>
  <c r="F115" i="3"/>
  <c r="G115" i="3"/>
  <c r="F116" i="3"/>
  <c r="G116" i="3"/>
  <c r="F117" i="3"/>
  <c r="G117" i="3"/>
  <c r="F118" i="3"/>
  <c r="G118" i="3"/>
  <c r="F119" i="3"/>
  <c r="G119" i="3"/>
  <c r="F120" i="3"/>
  <c r="G120" i="3"/>
  <c r="F121" i="3"/>
  <c r="G121" i="3"/>
  <c r="F122" i="3"/>
  <c r="G122" i="3"/>
  <c r="F123" i="3"/>
  <c r="G123" i="3"/>
  <c r="F124" i="3"/>
  <c r="G124" i="3"/>
  <c r="F125" i="3"/>
  <c r="G125" i="3"/>
  <c r="F126" i="3"/>
  <c r="G126" i="3"/>
  <c r="F127" i="3"/>
  <c r="G127" i="3"/>
  <c r="F128" i="3"/>
  <c r="G128" i="3"/>
  <c r="F129" i="3"/>
  <c r="G129" i="3"/>
  <c r="F130" i="3"/>
  <c r="G130" i="3"/>
  <c r="F131" i="3"/>
  <c r="G131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F94" i="3"/>
  <c r="G94" i="3"/>
  <c r="F95" i="3"/>
  <c r="G95" i="3"/>
  <c r="F96" i="3"/>
  <c r="G96" i="3"/>
  <c r="F97" i="3"/>
  <c r="G97" i="3"/>
  <c r="F98" i="3"/>
  <c r="G98" i="3"/>
  <c r="F99" i="3"/>
  <c r="G99" i="3"/>
  <c r="F100" i="3"/>
  <c r="G100" i="3"/>
  <c r="F101" i="3"/>
  <c r="G101" i="3"/>
  <c r="F102" i="3"/>
  <c r="G102" i="3"/>
  <c r="F103" i="3"/>
  <c r="G103" i="3"/>
  <c r="F104" i="3"/>
  <c r="G104" i="3"/>
  <c r="F105" i="3"/>
  <c r="G105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F54" i="3"/>
  <c r="G54" i="3"/>
  <c r="F55" i="3"/>
  <c r="G55" i="3"/>
  <c r="F56" i="3"/>
  <c r="G56" i="3"/>
  <c r="F57" i="3"/>
  <c r="G57" i="3"/>
  <c r="F58" i="3"/>
  <c r="G58" i="3"/>
  <c r="F59" i="3"/>
  <c r="G59" i="3"/>
  <c r="F60" i="3"/>
  <c r="G60" i="3"/>
  <c r="F61" i="3"/>
  <c r="G61" i="3"/>
  <c r="F62" i="3"/>
  <c r="G62" i="3"/>
  <c r="F63" i="3"/>
  <c r="G63" i="3"/>
  <c r="F64" i="3"/>
  <c r="G64" i="3"/>
  <c r="F65" i="3"/>
  <c r="G65" i="3"/>
  <c r="F66" i="3"/>
  <c r="G66" i="3"/>
  <c r="F67" i="3"/>
  <c r="G67" i="3"/>
  <c r="F68" i="3"/>
  <c r="G68" i="3"/>
  <c r="F69" i="3"/>
  <c r="G69" i="3"/>
  <c r="F70" i="3"/>
  <c r="G70" i="3"/>
  <c r="F71" i="3"/>
  <c r="G71" i="3"/>
  <c r="F72" i="3"/>
  <c r="G72" i="3"/>
  <c r="F73" i="3"/>
  <c r="G73" i="3"/>
  <c r="F74" i="3"/>
  <c r="G74" i="3"/>
  <c r="F75" i="3"/>
  <c r="G75" i="3"/>
  <c r="F76" i="3"/>
  <c r="G76" i="3"/>
  <c r="F77" i="3"/>
  <c r="G77" i="3"/>
  <c r="F78" i="3"/>
  <c r="G78" i="3"/>
  <c r="F79" i="3"/>
  <c r="G79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47" i="3"/>
  <c r="G47" i="3"/>
  <c r="F48" i="3"/>
  <c r="G48" i="3"/>
  <c r="F49" i="3"/>
  <c r="G49" i="3"/>
  <c r="F50" i="3"/>
  <c r="G50" i="3"/>
  <c r="F51" i="3"/>
  <c r="G51" i="3"/>
  <c r="F52" i="3"/>
  <c r="G52" i="3"/>
  <c r="F53" i="3"/>
  <c r="G53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" i="3"/>
  <c r="I3" i="2"/>
  <c r="J3" i="2" s="1"/>
  <c r="K3" i="2" s="1"/>
  <c r="I4" i="2"/>
  <c r="J4" i="2" s="1"/>
  <c r="K4" i="2" s="1"/>
  <c r="I5" i="2"/>
  <c r="J5" i="2" s="1"/>
  <c r="K5" i="2" s="1"/>
  <c r="I6" i="2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1" i="2"/>
  <c r="J11" i="2" s="1"/>
  <c r="K11" i="2" s="1"/>
  <c r="I12" i="2"/>
  <c r="J12" i="2" s="1"/>
  <c r="K12" i="2" s="1"/>
  <c r="I13" i="2"/>
  <c r="J13" i="2" s="1"/>
  <c r="K13" i="2" s="1"/>
  <c r="I14" i="2"/>
  <c r="J14" i="2" s="1"/>
  <c r="K14" i="2" s="1"/>
  <c r="I15" i="2"/>
  <c r="J15" i="2" s="1"/>
  <c r="K15" i="2" s="1"/>
  <c r="I16" i="2"/>
  <c r="J16" i="2" s="1"/>
  <c r="K16" i="2" s="1"/>
  <c r="I17" i="2"/>
  <c r="J17" i="2" s="1"/>
  <c r="K17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24" i="2"/>
  <c r="J24" i="2" s="1"/>
  <c r="K24" i="2" s="1"/>
  <c r="I25" i="2"/>
  <c r="J25" i="2" s="1"/>
  <c r="K25" i="2" s="1"/>
  <c r="I26" i="2"/>
  <c r="J26" i="2" s="1"/>
  <c r="K26" i="2" s="1"/>
  <c r="I27" i="2"/>
  <c r="J27" i="2" s="1"/>
  <c r="K27" i="2" s="1"/>
  <c r="I2" i="2"/>
  <c r="J2" i="2" s="1"/>
  <c r="K2" i="2" s="1"/>
  <c r="H10" i="7" s="1"/>
  <c r="V13" i="7" l="1"/>
  <c r="AC13" i="7"/>
  <c r="AC11" i="7"/>
  <c r="V11" i="7"/>
  <c r="H112" i="3"/>
  <c r="I112" i="3" s="1"/>
  <c r="E112" i="3" s="1"/>
  <c r="H5" i="4"/>
  <c r="I5" i="4" s="1"/>
  <c r="H13" i="4"/>
  <c r="I13" i="4" s="1"/>
  <c r="E13" i="4" s="1"/>
  <c r="H30" i="4"/>
  <c r="I30" i="4" s="1"/>
  <c r="H62" i="4"/>
  <c r="I62" i="4" s="1"/>
  <c r="I199" i="3"/>
  <c r="E199" i="3" s="1"/>
  <c r="H10" i="4"/>
  <c r="I10" i="4" s="1"/>
  <c r="E10" i="4" s="1"/>
  <c r="I167" i="3"/>
  <c r="E167" i="3" s="1"/>
  <c r="H17" i="4"/>
  <c r="I17" i="4" s="1"/>
  <c r="H33" i="4"/>
  <c r="I33" i="4" s="1"/>
  <c r="E33" i="4" s="1"/>
  <c r="H64" i="4"/>
  <c r="I64" i="4" s="1"/>
  <c r="E64" i="4" s="1"/>
  <c r="H80" i="4"/>
  <c r="I80" i="4" s="1"/>
  <c r="E80" i="4" s="1"/>
  <c r="E155" i="3"/>
  <c r="E185" i="3"/>
  <c r="E153" i="3"/>
  <c r="E163" i="3"/>
  <c r="I139" i="3"/>
  <c r="E139" i="3" s="1"/>
  <c r="E197" i="3"/>
  <c r="E165" i="3"/>
  <c r="I187" i="3"/>
  <c r="E187" i="3" s="1"/>
  <c r="E183" i="3"/>
  <c r="E151" i="3"/>
  <c r="F10" i="7"/>
  <c r="H39" i="7"/>
  <c r="J39" i="7" s="1"/>
  <c r="F9" i="7"/>
  <c r="H38" i="7"/>
  <c r="J38" i="7" s="1"/>
  <c r="V37" i="7"/>
  <c r="AC37" i="7"/>
  <c r="H28" i="4"/>
  <c r="I28" i="4" s="1"/>
  <c r="H108" i="4"/>
  <c r="I108" i="4" s="1"/>
  <c r="E108" i="4" s="1"/>
  <c r="H25" i="4"/>
  <c r="I25" i="4" s="1"/>
  <c r="H57" i="4"/>
  <c r="I57" i="4" s="1"/>
  <c r="H73" i="4"/>
  <c r="I73" i="4" s="1"/>
  <c r="E73" i="4" s="1"/>
  <c r="AA21" i="6"/>
  <c r="AA22" i="6"/>
  <c r="H65" i="3"/>
  <c r="I65" i="3" s="1"/>
  <c r="E65" i="3" s="1"/>
  <c r="H21" i="4"/>
  <c r="I21" i="4" s="1"/>
  <c r="H29" i="4"/>
  <c r="I29" i="4" s="1"/>
  <c r="H32" i="4"/>
  <c r="I32" i="4" s="1"/>
  <c r="H50" i="4"/>
  <c r="I50" i="4" s="1"/>
  <c r="H122" i="4"/>
  <c r="I122" i="4" s="1"/>
  <c r="E122" i="4" s="1"/>
  <c r="H90" i="4"/>
  <c r="I90" i="4" s="1"/>
  <c r="H105" i="4"/>
  <c r="I105" i="4" s="1"/>
  <c r="H25" i="3"/>
  <c r="I25" i="3" s="1"/>
  <c r="E25" i="3" s="1"/>
  <c r="H24" i="4"/>
  <c r="I24" i="4" s="1"/>
  <c r="H53" i="4"/>
  <c r="I53" i="4" s="1"/>
  <c r="H69" i="4"/>
  <c r="I69" i="4" s="1"/>
  <c r="E69" i="4" s="1"/>
  <c r="H77" i="4"/>
  <c r="I77" i="4" s="1"/>
  <c r="AG23" i="7"/>
  <c r="H17" i="3"/>
  <c r="I17" i="3" s="1"/>
  <c r="H26" i="4"/>
  <c r="I26" i="4" s="1"/>
  <c r="AC5" i="7"/>
  <c r="AC34" i="7" s="1"/>
  <c r="AC10" i="7"/>
  <c r="AA10" i="7" s="1"/>
  <c r="V5" i="7"/>
  <c r="V34" i="7" s="1"/>
  <c r="V10" i="7"/>
  <c r="V39" i="7" s="1"/>
  <c r="X39" i="7" s="1"/>
  <c r="O33" i="7"/>
  <c r="O10" i="7"/>
  <c r="M10" i="7" s="1"/>
  <c r="AC32" i="7"/>
  <c r="V32" i="7"/>
  <c r="H89" i="4"/>
  <c r="I89" i="4" s="1"/>
  <c r="H120" i="4"/>
  <c r="I120" i="4" s="1"/>
  <c r="E120" i="4" s="1"/>
  <c r="H30" i="3"/>
  <c r="I30" i="3" s="1"/>
  <c r="E30" i="3" s="1"/>
  <c r="H117" i="3"/>
  <c r="I117" i="3" s="1"/>
  <c r="E117" i="3" s="1"/>
  <c r="H63" i="4"/>
  <c r="I63" i="4" s="1"/>
  <c r="E63" i="4" s="1"/>
  <c r="H79" i="4"/>
  <c r="I79" i="4" s="1"/>
  <c r="E79" i="4" s="1"/>
  <c r="H110" i="4"/>
  <c r="I110" i="4" s="1"/>
  <c r="E110" i="4" s="1"/>
  <c r="H78" i="4"/>
  <c r="I78" i="4" s="1"/>
  <c r="H86" i="4"/>
  <c r="I86" i="4" s="1"/>
  <c r="H9" i="3"/>
  <c r="I9" i="3" s="1"/>
  <c r="E9" i="3" s="1"/>
  <c r="H37" i="4"/>
  <c r="I37" i="4" s="1"/>
  <c r="H68" i="4"/>
  <c r="I68" i="4" s="1"/>
  <c r="E68" i="4" s="1"/>
  <c r="H84" i="4"/>
  <c r="I84" i="4" s="1"/>
  <c r="E84" i="4" s="1"/>
  <c r="H33" i="3"/>
  <c r="I33" i="3" s="1"/>
  <c r="E33" i="3" s="1"/>
  <c r="H45" i="3"/>
  <c r="I45" i="3" s="1"/>
  <c r="E45" i="3" s="1"/>
  <c r="H36" i="4"/>
  <c r="I36" i="4" s="1"/>
  <c r="H49" i="4"/>
  <c r="I49" i="4" s="1"/>
  <c r="H103" i="4"/>
  <c r="I103" i="4" s="1"/>
  <c r="E103" i="4" s="1"/>
  <c r="H106" i="4"/>
  <c r="I106" i="4" s="1"/>
  <c r="H62" i="3"/>
  <c r="I62" i="3" s="1"/>
  <c r="H66" i="4"/>
  <c r="I66" i="4" s="1"/>
  <c r="H82" i="4"/>
  <c r="I82" i="4" s="1"/>
  <c r="H8" i="4"/>
  <c r="I8" i="4" s="1"/>
  <c r="H4" i="4"/>
  <c r="I4" i="4" s="1"/>
  <c r="H12" i="4"/>
  <c r="I12" i="4" s="1"/>
  <c r="H97" i="4"/>
  <c r="I97" i="4" s="1"/>
  <c r="H113" i="4"/>
  <c r="I113" i="4" s="1"/>
  <c r="E113" i="4" s="1"/>
  <c r="H121" i="4"/>
  <c r="I121" i="4" s="1"/>
  <c r="H129" i="4"/>
  <c r="I129" i="4" s="1"/>
  <c r="E129" i="4" s="1"/>
  <c r="H69" i="3"/>
  <c r="I69" i="3" s="1"/>
  <c r="E69" i="3" s="1"/>
  <c r="H61" i="4"/>
  <c r="I61" i="4" s="1"/>
  <c r="H98" i="4"/>
  <c r="I98" i="4" s="1"/>
  <c r="H130" i="4"/>
  <c r="I130" i="4" s="1"/>
  <c r="H113" i="3"/>
  <c r="I113" i="3" s="1"/>
  <c r="E113" i="3" s="1"/>
  <c r="H114" i="3"/>
  <c r="I114" i="3" s="1"/>
  <c r="H70" i="3"/>
  <c r="I70" i="3" s="1"/>
  <c r="H31" i="4"/>
  <c r="I31" i="4" s="1"/>
  <c r="E31" i="4" s="1"/>
  <c r="H38" i="4"/>
  <c r="I38" i="4" s="1"/>
  <c r="H46" i="4"/>
  <c r="I46" i="4" s="1"/>
  <c r="E46" i="4" s="1"/>
  <c r="H60" i="4"/>
  <c r="I60" i="4" s="1"/>
  <c r="H29" i="3"/>
  <c r="I29" i="3" s="1"/>
  <c r="E29" i="3" s="1"/>
  <c r="H9" i="4"/>
  <c r="I9" i="4" s="1"/>
  <c r="E9" i="4" s="1"/>
  <c r="H106" i="3"/>
  <c r="I106" i="3" s="1"/>
  <c r="H74" i="4"/>
  <c r="I74" i="4" s="1"/>
  <c r="H104" i="4"/>
  <c r="I104" i="4" s="1"/>
  <c r="E104" i="4" s="1"/>
  <c r="H73" i="3"/>
  <c r="I73" i="3" s="1"/>
  <c r="E73" i="3" s="1"/>
  <c r="H120" i="3"/>
  <c r="I120" i="3" s="1"/>
  <c r="E120" i="3" s="1"/>
  <c r="H44" i="4"/>
  <c r="I44" i="4" s="1"/>
  <c r="H81" i="4"/>
  <c r="I81" i="4" s="1"/>
  <c r="H88" i="4"/>
  <c r="I88" i="4" s="1"/>
  <c r="E88" i="4" s="1"/>
  <c r="H65" i="4"/>
  <c r="I65" i="4" s="1"/>
  <c r="H121" i="3"/>
  <c r="I121" i="3" s="1"/>
  <c r="E121" i="3" s="1"/>
  <c r="H109" i="3"/>
  <c r="I109" i="3" s="1"/>
  <c r="E109" i="3" s="1"/>
  <c r="H14" i="4"/>
  <c r="H102" i="4"/>
  <c r="I102" i="4" s="1"/>
  <c r="H47" i="3"/>
  <c r="I47" i="3" s="1"/>
  <c r="E47" i="3" s="1"/>
  <c r="H6" i="4"/>
  <c r="I6" i="4" s="1"/>
  <c r="E6" i="4" s="1"/>
  <c r="H109" i="4"/>
  <c r="I109" i="4" s="1"/>
  <c r="H117" i="4"/>
  <c r="I117" i="4" s="1"/>
  <c r="H125" i="4"/>
  <c r="I125" i="4" s="1"/>
  <c r="H34" i="4"/>
  <c r="I34" i="4" s="1"/>
  <c r="H42" i="4"/>
  <c r="I42" i="4" s="1"/>
  <c r="H93" i="4"/>
  <c r="I93" i="4" s="1"/>
  <c r="H37" i="3"/>
  <c r="I37" i="3" s="1"/>
  <c r="E37" i="3" s="1"/>
  <c r="H78" i="3"/>
  <c r="I78" i="3" s="1"/>
  <c r="H54" i="3"/>
  <c r="I54" i="3" s="1"/>
  <c r="H41" i="4"/>
  <c r="I41" i="4" s="1"/>
  <c r="E41" i="4" s="1"/>
  <c r="H70" i="4"/>
  <c r="I70" i="4" s="1"/>
  <c r="H100" i="4"/>
  <c r="I100" i="4" s="1"/>
  <c r="E100" i="4" s="1"/>
  <c r="H131" i="4"/>
  <c r="I131" i="4" s="1"/>
  <c r="E131" i="4" s="1"/>
  <c r="O37" i="7"/>
  <c r="O38" i="7"/>
  <c r="Q38" i="7" s="1"/>
  <c r="V9" i="7"/>
  <c r="AC9" i="7"/>
  <c r="H130" i="3"/>
  <c r="I130" i="3" s="1"/>
  <c r="H122" i="3"/>
  <c r="I122" i="3" s="1"/>
  <c r="H27" i="3"/>
  <c r="I27" i="3" s="1"/>
  <c r="E27" i="3" s="1"/>
  <c r="H19" i="3"/>
  <c r="I19" i="3" s="1"/>
  <c r="E19" i="3" s="1"/>
  <c r="H11" i="3"/>
  <c r="I11" i="3" s="1"/>
  <c r="E11" i="3" s="1"/>
  <c r="H3" i="3"/>
  <c r="I3" i="3" s="1"/>
  <c r="E3" i="3" s="1"/>
  <c r="H44" i="3"/>
  <c r="I44" i="3" s="1"/>
  <c r="E44" i="3" s="1"/>
  <c r="H40" i="3"/>
  <c r="I40" i="3" s="1"/>
  <c r="E40" i="3" s="1"/>
  <c r="H77" i="3"/>
  <c r="I77" i="3" s="1"/>
  <c r="E77" i="3" s="1"/>
  <c r="H103" i="3"/>
  <c r="I103" i="3" s="1"/>
  <c r="E103" i="3" s="1"/>
  <c r="H95" i="3"/>
  <c r="I95" i="3" s="1"/>
  <c r="E95" i="3" s="1"/>
  <c r="H87" i="3"/>
  <c r="I87" i="3" s="1"/>
  <c r="E87" i="3" s="1"/>
  <c r="H128" i="3"/>
  <c r="I128" i="3" s="1"/>
  <c r="E128" i="3" s="1"/>
  <c r="H2" i="4"/>
  <c r="I2" i="4" s="1"/>
  <c r="E2" i="4" s="1"/>
  <c r="H48" i="4"/>
  <c r="I48" i="4" s="1"/>
  <c r="H93" i="3"/>
  <c r="I93" i="3" s="1"/>
  <c r="E93" i="3" s="1"/>
  <c r="H71" i="4"/>
  <c r="I71" i="4" s="1"/>
  <c r="E71" i="4" s="1"/>
  <c r="H95" i="4"/>
  <c r="I95" i="4" s="1"/>
  <c r="E95" i="4" s="1"/>
  <c r="H39" i="3"/>
  <c r="I39" i="3" s="1"/>
  <c r="E39" i="3" s="1"/>
  <c r="H2" i="3"/>
  <c r="I2" i="3" s="1"/>
  <c r="E2" i="3" s="1"/>
  <c r="H20" i="3"/>
  <c r="I20" i="3" s="1"/>
  <c r="E20" i="3" s="1"/>
  <c r="H12" i="3"/>
  <c r="I12" i="3" s="1"/>
  <c r="H16" i="4"/>
  <c r="I16" i="4" s="1"/>
  <c r="H18" i="4"/>
  <c r="I18" i="4" s="1"/>
  <c r="E18" i="4" s="1"/>
  <c r="H40" i="4"/>
  <c r="I40" i="4" s="1"/>
  <c r="H45" i="4"/>
  <c r="I45" i="4" s="1"/>
  <c r="E45" i="4" s="1"/>
  <c r="H52" i="4"/>
  <c r="I52" i="4" s="1"/>
  <c r="H54" i="4"/>
  <c r="H72" i="4"/>
  <c r="I72" i="4" s="1"/>
  <c r="E72" i="4" s="1"/>
  <c r="H85" i="4"/>
  <c r="I85" i="4" s="1"/>
  <c r="E85" i="4" s="1"/>
  <c r="H96" i="4"/>
  <c r="I96" i="4" s="1"/>
  <c r="E96" i="4" s="1"/>
  <c r="H107" i="4"/>
  <c r="I107" i="4" s="1"/>
  <c r="E107" i="4" s="1"/>
  <c r="H114" i="4"/>
  <c r="I114" i="4" s="1"/>
  <c r="E114" i="4" s="1"/>
  <c r="H128" i="4"/>
  <c r="I128" i="4" s="1"/>
  <c r="E128" i="4" s="1"/>
  <c r="H53" i="3"/>
  <c r="I53" i="3" s="1"/>
  <c r="E53" i="3" s="1"/>
  <c r="H46" i="3"/>
  <c r="I46" i="3" s="1"/>
  <c r="E46" i="3" s="1"/>
  <c r="H38" i="3"/>
  <c r="I38" i="3" s="1"/>
  <c r="E38" i="3" s="1"/>
  <c r="H104" i="3"/>
  <c r="I104" i="3" s="1"/>
  <c r="E104" i="3" s="1"/>
  <c r="H129" i="3"/>
  <c r="I129" i="3" s="1"/>
  <c r="E129" i="3" s="1"/>
  <c r="H125" i="3"/>
  <c r="I125" i="3" s="1"/>
  <c r="E125" i="3" s="1"/>
  <c r="H20" i="4"/>
  <c r="I20" i="4" s="1"/>
  <c r="H22" i="4"/>
  <c r="I22" i="4" s="1"/>
  <c r="E22" i="4" s="1"/>
  <c r="H56" i="4"/>
  <c r="I56" i="4" s="1"/>
  <c r="H58" i="4"/>
  <c r="H67" i="4"/>
  <c r="I67" i="4" s="1"/>
  <c r="E67" i="4" s="1"/>
  <c r="H76" i="4"/>
  <c r="I76" i="4" s="1"/>
  <c r="E76" i="4" s="1"/>
  <c r="H116" i="4"/>
  <c r="I116" i="4" s="1"/>
  <c r="E116" i="4" s="1"/>
  <c r="H118" i="4"/>
  <c r="H89" i="3"/>
  <c r="I89" i="3" s="1"/>
  <c r="E89" i="3" s="1"/>
  <c r="H31" i="3"/>
  <c r="I31" i="3" s="1"/>
  <c r="E31" i="3" s="1"/>
  <c r="H99" i="4"/>
  <c r="I99" i="4" s="1"/>
  <c r="E99" i="4" s="1"/>
  <c r="H26" i="3"/>
  <c r="I26" i="3" s="1"/>
  <c r="H10" i="3"/>
  <c r="I10" i="3" s="1"/>
  <c r="H51" i="3"/>
  <c r="I51" i="3" s="1"/>
  <c r="E51" i="3" s="1"/>
  <c r="H61" i="3"/>
  <c r="I61" i="3" s="1"/>
  <c r="E61" i="3" s="1"/>
  <c r="H102" i="3"/>
  <c r="I102" i="3" s="1"/>
  <c r="H94" i="3"/>
  <c r="I94" i="3" s="1"/>
  <c r="E94" i="3" s="1"/>
  <c r="H86" i="3"/>
  <c r="I86" i="3" s="1"/>
  <c r="E86" i="3" s="1"/>
  <c r="H75" i="4"/>
  <c r="I75" i="4" s="1"/>
  <c r="E75" i="4" s="1"/>
  <c r="H92" i="4"/>
  <c r="I92" i="4" s="1"/>
  <c r="E92" i="4" s="1"/>
  <c r="H94" i="4"/>
  <c r="I94" i="4" s="1"/>
  <c r="E94" i="4" s="1"/>
  <c r="H101" i="4"/>
  <c r="I101" i="4" s="1"/>
  <c r="E101" i="4" s="1"/>
  <c r="H112" i="4"/>
  <c r="I112" i="4" s="1"/>
  <c r="E112" i="4" s="1"/>
  <c r="H124" i="4"/>
  <c r="I124" i="4" s="1"/>
  <c r="E124" i="4" s="1"/>
  <c r="H126" i="4"/>
  <c r="I126" i="4" s="1"/>
  <c r="E126" i="4" s="1"/>
  <c r="H127" i="4"/>
  <c r="I127" i="4" s="1"/>
  <c r="E127" i="4" s="1"/>
  <c r="H123" i="4"/>
  <c r="I123" i="4" s="1"/>
  <c r="E123" i="4" s="1"/>
  <c r="H119" i="4"/>
  <c r="I119" i="4" s="1"/>
  <c r="E119" i="4" s="1"/>
  <c r="H115" i="4"/>
  <c r="I115" i="4" s="1"/>
  <c r="H111" i="4"/>
  <c r="I111" i="4" s="1"/>
  <c r="E111" i="4" s="1"/>
  <c r="H91" i="4"/>
  <c r="I91" i="4" s="1"/>
  <c r="E91" i="4" s="1"/>
  <c r="H87" i="4"/>
  <c r="I87" i="4" s="1"/>
  <c r="H83" i="4"/>
  <c r="I83" i="4" s="1"/>
  <c r="E83" i="4" s="1"/>
  <c r="H59" i="4"/>
  <c r="I59" i="4" s="1"/>
  <c r="E59" i="4" s="1"/>
  <c r="H55" i="4"/>
  <c r="I55" i="4" s="1"/>
  <c r="E55" i="4" s="1"/>
  <c r="H51" i="4"/>
  <c r="I51" i="4" s="1"/>
  <c r="E51" i="4" s="1"/>
  <c r="H47" i="4"/>
  <c r="I47" i="4" s="1"/>
  <c r="E47" i="4" s="1"/>
  <c r="H43" i="4"/>
  <c r="I43" i="4" s="1"/>
  <c r="E43" i="4" s="1"/>
  <c r="H39" i="4"/>
  <c r="I39" i="4" s="1"/>
  <c r="E39" i="4" s="1"/>
  <c r="H35" i="4"/>
  <c r="I35" i="4" s="1"/>
  <c r="E35" i="4" s="1"/>
  <c r="H27" i="4"/>
  <c r="I27" i="4" s="1"/>
  <c r="E27" i="4" s="1"/>
  <c r="H23" i="4"/>
  <c r="I23" i="4" s="1"/>
  <c r="H19" i="4"/>
  <c r="I19" i="4" s="1"/>
  <c r="E19" i="4" s="1"/>
  <c r="H15" i="4"/>
  <c r="I15" i="4" s="1"/>
  <c r="H11" i="4"/>
  <c r="I11" i="4" s="1"/>
  <c r="E11" i="4" s="1"/>
  <c r="H7" i="4"/>
  <c r="I7" i="4" s="1"/>
  <c r="E7" i="4" s="1"/>
  <c r="H3" i="4"/>
  <c r="I3" i="4" s="1"/>
  <c r="E3" i="4" s="1"/>
  <c r="H118" i="3"/>
  <c r="I118" i="3" s="1"/>
  <c r="E118" i="3" s="1"/>
  <c r="H52" i="3"/>
  <c r="I52" i="3" s="1"/>
  <c r="E52" i="3" s="1"/>
  <c r="H41" i="3"/>
  <c r="I41" i="3" s="1"/>
  <c r="E41" i="3" s="1"/>
  <c r="H90" i="3"/>
  <c r="I90" i="3" s="1"/>
  <c r="E90" i="3" s="1"/>
  <c r="H63" i="3"/>
  <c r="I63" i="3" s="1"/>
  <c r="E63" i="3" s="1"/>
  <c r="H98" i="3"/>
  <c r="I98" i="3" s="1"/>
  <c r="E98" i="3" s="1"/>
  <c r="H119" i="3"/>
  <c r="I119" i="3" s="1"/>
  <c r="E119" i="3" s="1"/>
  <c r="H42" i="3"/>
  <c r="I42" i="3" s="1"/>
  <c r="E42" i="3" s="1"/>
  <c r="H91" i="3"/>
  <c r="I91" i="3" s="1"/>
  <c r="H75" i="3"/>
  <c r="I75" i="3" s="1"/>
  <c r="E75" i="3" s="1"/>
  <c r="H71" i="3"/>
  <c r="I71" i="3" s="1"/>
  <c r="H68" i="3"/>
  <c r="I68" i="3" s="1"/>
  <c r="E68" i="3" s="1"/>
  <c r="H64" i="3"/>
  <c r="H57" i="3"/>
  <c r="I57" i="3" s="1"/>
  <c r="E57" i="3" s="1"/>
  <c r="H99" i="3"/>
  <c r="I99" i="3" s="1"/>
  <c r="E99" i="3" s="1"/>
  <c r="H84" i="3"/>
  <c r="I84" i="3" s="1"/>
  <c r="E84" i="3" s="1"/>
  <c r="H80" i="3"/>
  <c r="I80" i="3" s="1"/>
  <c r="E80" i="3" s="1"/>
  <c r="H126" i="3"/>
  <c r="I126" i="3" s="1"/>
  <c r="H123" i="3"/>
  <c r="I123" i="3" s="1"/>
  <c r="H110" i="3"/>
  <c r="I110" i="3" s="1"/>
  <c r="E110" i="3" s="1"/>
  <c r="H107" i="3"/>
  <c r="I107" i="3" s="1"/>
  <c r="E107" i="3" s="1"/>
  <c r="H66" i="3"/>
  <c r="H55" i="3"/>
  <c r="I55" i="3" s="1"/>
  <c r="H97" i="3"/>
  <c r="I97" i="3" s="1"/>
  <c r="E97" i="3" s="1"/>
  <c r="H82" i="3"/>
  <c r="H115" i="3"/>
  <c r="I115" i="3" s="1"/>
  <c r="H48" i="3"/>
  <c r="I48" i="3" s="1"/>
  <c r="H34" i="3"/>
  <c r="I34" i="3" s="1"/>
  <c r="E34" i="3" s="1"/>
  <c r="H67" i="3"/>
  <c r="I67" i="3" s="1"/>
  <c r="E67" i="3" s="1"/>
  <c r="H56" i="3"/>
  <c r="I56" i="3" s="1"/>
  <c r="E56" i="3" s="1"/>
  <c r="H83" i="3"/>
  <c r="I83" i="3" s="1"/>
  <c r="H116" i="3"/>
  <c r="I116" i="3" s="1"/>
  <c r="E116" i="3" s="1"/>
  <c r="H36" i="3"/>
  <c r="I36" i="3" s="1"/>
  <c r="E36" i="3" s="1"/>
  <c r="H92" i="3"/>
  <c r="I92" i="3" s="1"/>
  <c r="H88" i="3"/>
  <c r="I88" i="3" s="1"/>
  <c r="E88" i="3" s="1"/>
  <c r="H59" i="3"/>
  <c r="I59" i="3" s="1"/>
  <c r="E59" i="3" s="1"/>
  <c r="H101" i="3"/>
  <c r="I101" i="3" s="1"/>
  <c r="H131" i="3"/>
  <c r="I131" i="3" s="1"/>
  <c r="E131" i="3" s="1"/>
  <c r="H105" i="3"/>
  <c r="I105" i="3" s="1"/>
  <c r="H28" i="3"/>
  <c r="I28" i="3" s="1"/>
  <c r="E28" i="3" s="1"/>
  <c r="H74" i="3"/>
  <c r="I74" i="3" s="1"/>
  <c r="E74" i="3" s="1"/>
  <c r="H60" i="3"/>
  <c r="I60" i="3" s="1"/>
  <c r="E60" i="3" s="1"/>
  <c r="H49" i="3"/>
  <c r="I49" i="3" s="1"/>
  <c r="E49" i="3" s="1"/>
  <c r="H35" i="3"/>
  <c r="I35" i="3" s="1"/>
  <c r="E35" i="3" s="1"/>
  <c r="H50" i="3"/>
  <c r="I50" i="3" s="1"/>
  <c r="E50" i="3" s="1"/>
  <c r="H43" i="3"/>
  <c r="I43" i="3" s="1"/>
  <c r="E43" i="3" s="1"/>
  <c r="H32" i="3"/>
  <c r="I32" i="3" s="1"/>
  <c r="H24" i="3"/>
  <c r="I24" i="3" s="1"/>
  <c r="H16" i="3"/>
  <c r="I16" i="3" s="1"/>
  <c r="H8" i="3"/>
  <c r="I8" i="3" s="1"/>
  <c r="H79" i="3"/>
  <c r="I79" i="3" s="1"/>
  <c r="H76" i="3"/>
  <c r="I76" i="3" s="1"/>
  <c r="E76" i="3" s="1"/>
  <c r="H72" i="3"/>
  <c r="I72" i="3" s="1"/>
  <c r="E72" i="3" s="1"/>
  <c r="H58" i="3"/>
  <c r="I58" i="3" s="1"/>
  <c r="H100" i="3"/>
  <c r="I100" i="3" s="1"/>
  <c r="E100" i="3" s="1"/>
  <c r="H96" i="3"/>
  <c r="I96" i="3" s="1"/>
  <c r="E96" i="3" s="1"/>
  <c r="H85" i="3"/>
  <c r="I85" i="3" s="1"/>
  <c r="E85" i="3" s="1"/>
  <c r="H81" i="3"/>
  <c r="I81" i="3" s="1"/>
  <c r="E81" i="3" s="1"/>
  <c r="H127" i="3"/>
  <c r="I127" i="3" s="1"/>
  <c r="E127" i="3" s="1"/>
  <c r="H124" i="3"/>
  <c r="I124" i="3" s="1"/>
  <c r="H111" i="3"/>
  <c r="I111" i="3" s="1"/>
  <c r="E111" i="3" s="1"/>
  <c r="H108" i="3"/>
  <c r="I108" i="3" s="1"/>
  <c r="E108" i="3" s="1"/>
  <c r="H4" i="3"/>
  <c r="I4" i="3" s="1"/>
  <c r="H18" i="3"/>
  <c r="I18" i="3" s="1"/>
  <c r="E18" i="3" s="1"/>
  <c r="H23" i="3"/>
  <c r="H15" i="3"/>
  <c r="H7" i="3"/>
  <c r="H21" i="3"/>
  <c r="I21" i="3" s="1"/>
  <c r="H13" i="3"/>
  <c r="I13" i="3" s="1"/>
  <c r="H5" i="3"/>
  <c r="I5" i="3" s="1"/>
  <c r="H22" i="3"/>
  <c r="H14" i="3"/>
  <c r="H6" i="3"/>
  <c r="AE14" i="7" l="1"/>
  <c r="AA14" i="7" s="1"/>
  <c r="AA24" i="7" s="1"/>
  <c r="V6" i="7"/>
  <c r="V35" i="7" s="1"/>
  <c r="V42" i="7"/>
  <c r="AC6" i="7"/>
  <c r="AC35" i="7" s="1"/>
  <c r="AC42" i="7"/>
  <c r="E5" i="4"/>
  <c r="E30" i="4"/>
  <c r="E62" i="4"/>
  <c r="E37" i="4"/>
  <c r="E50" i="4"/>
  <c r="E17" i="4"/>
  <c r="E32" i="4"/>
  <c r="E90" i="4"/>
  <c r="AC40" i="7"/>
  <c r="V40" i="7"/>
  <c r="E28" i="4"/>
  <c r="E77" i="4"/>
  <c r="E34" i="4"/>
  <c r="E66" i="4"/>
  <c r="E25" i="4"/>
  <c r="E57" i="4"/>
  <c r="E38" i="4"/>
  <c r="E82" i="4"/>
  <c r="E8" i="4"/>
  <c r="E53" i="4"/>
  <c r="E102" i="3"/>
  <c r="E70" i="3"/>
  <c r="E21" i="4"/>
  <c r="E62" i="3"/>
  <c r="E24" i="4"/>
  <c r="E42" i="4"/>
  <c r="E114" i="3"/>
  <c r="E29" i="4"/>
  <c r="E54" i="3"/>
  <c r="E125" i="4"/>
  <c r="E105" i="4"/>
  <c r="E117" i="4"/>
  <c r="E92" i="3"/>
  <c r="E86" i="4"/>
  <c r="E4" i="4"/>
  <c r="E74" i="4"/>
  <c r="E70" i="4"/>
  <c r="E17" i="3"/>
  <c r="E106" i="3"/>
  <c r="E78" i="3"/>
  <c r="E60" i="4"/>
  <c r="I14" i="4"/>
  <c r="E14" i="4" s="1"/>
  <c r="E36" i="4"/>
  <c r="E106" i="4"/>
  <c r="E26" i="4"/>
  <c r="E10" i="3"/>
  <c r="AC39" i="7"/>
  <c r="AE39" i="7" s="1"/>
  <c r="T10" i="7"/>
  <c r="O39" i="7"/>
  <c r="Q39" i="7" s="1"/>
  <c r="E81" i="4"/>
  <c r="E44" i="4"/>
  <c r="I66" i="3"/>
  <c r="E66" i="3" s="1"/>
  <c r="E78" i="4"/>
  <c r="E89" i="4"/>
  <c r="E20" i="4"/>
  <c r="E12" i="4"/>
  <c r="I54" i="4"/>
  <c r="E54" i="4" s="1"/>
  <c r="E97" i="4"/>
  <c r="E121" i="4"/>
  <c r="E93" i="4"/>
  <c r="E130" i="3"/>
  <c r="I82" i="3"/>
  <c r="E82" i="3" s="1"/>
  <c r="E49" i="4"/>
  <c r="I118" i="4"/>
  <c r="E118" i="4" s="1"/>
  <c r="E40" i="4"/>
  <c r="E124" i="3"/>
  <c r="E83" i="3"/>
  <c r="E5" i="3"/>
  <c r="E65" i="4"/>
  <c r="E109" i="4"/>
  <c r="E12" i="3"/>
  <c r="I64" i="3"/>
  <c r="E64" i="3" s="1"/>
  <c r="E8" i="3"/>
  <c r="E61" i="4"/>
  <c r="E102" i="4"/>
  <c r="E115" i="4"/>
  <c r="E98" i="4"/>
  <c r="E130" i="4"/>
  <c r="E16" i="4"/>
  <c r="E4" i="3"/>
  <c r="T9" i="7"/>
  <c r="V38" i="7"/>
  <c r="X38" i="7" s="1"/>
  <c r="AA9" i="7"/>
  <c r="AC38" i="7"/>
  <c r="AE38" i="7" s="1"/>
  <c r="I58" i="4"/>
  <c r="E58" i="4" s="1"/>
  <c r="E26" i="3"/>
  <c r="E101" i="3"/>
  <c r="E91" i="3"/>
  <c r="E24" i="3"/>
  <c r="E122" i="3"/>
  <c r="E48" i="4"/>
  <c r="E23" i="4"/>
  <c r="E52" i="4"/>
  <c r="E15" i="4"/>
  <c r="E79" i="3"/>
  <c r="E56" i="4"/>
  <c r="E87" i="4"/>
  <c r="E48" i="3"/>
  <c r="E32" i="3"/>
  <c r="E55" i="3"/>
  <c r="E105" i="3"/>
  <c r="E115" i="3"/>
  <c r="E126" i="3"/>
  <c r="E16" i="3"/>
  <c r="E58" i="3"/>
  <c r="E123" i="3"/>
  <c r="E71" i="3"/>
  <c r="E21" i="3"/>
  <c r="I23" i="3"/>
  <c r="E23" i="3" s="1"/>
  <c r="I22" i="3"/>
  <c r="E22" i="3" s="1"/>
  <c r="I15" i="3"/>
  <c r="E15" i="3" s="1"/>
  <c r="I14" i="3"/>
  <c r="E14" i="3" s="1"/>
  <c r="I7" i="3"/>
  <c r="E7" i="3" s="1"/>
  <c r="I6" i="3"/>
  <c r="E6" i="3" s="1"/>
  <c r="E13" i="3"/>
  <c r="AA16" i="7" l="1"/>
  <c r="AE18" i="7" s="1"/>
  <c r="AE20" i="7" s="1"/>
  <c r="AA12" i="7"/>
  <c r="V7" i="7"/>
  <c r="V36" i="7" s="1"/>
  <c r="V12" i="7"/>
  <c r="V41" i="7" s="1"/>
  <c r="AC12" i="7"/>
  <c r="AC41" i="7" s="1"/>
  <c r="AC7" i="7"/>
  <c r="AC36" i="7" s="1"/>
  <c r="T6" i="7" l="1"/>
  <c r="T54" i="7" s="1"/>
  <c r="T7" i="7"/>
  <c r="T55" i="7" s="1"/>
  <c r="AA21" i="7"/>
  <c r="AE22" i="7"/>
  <c r="AA20" i="7" s="1"/>
  <c r="AA27" i="7" l="1"/>
  <c r="AA29" i="7" s="1"/>
  <c r="AA23" i="7"/>
  <c r="Q8" i="6" l="1"/>
  <c r="X14" i="7"/>
  <c r="T14" i="7" s="1"/>
  <c r="T16" i="7" s="1"/>
  <c r="X18" i="7" s="1"/>
  <c r="X20" i="7" s="1"/>
  <c r="T12" i="7" l="1"/>
  <c r="T24" i="7"/>
  <c r="X22" i="7"/>
  <c r="T20" i="7" s="1"/>
  <c r="T21" i="7"/>
  <c r="T27" i="7" s="1"/>
  <c r="T23" i="7" l="1"/>
  <c r="T29" i="7"/>
  <c r="M8" i="6" s="1"/>
  <c r="Q14" i="7" l="1"/>
  <c r="M14" i="7" s="1"/>
  <c r="M24" i="7" s="1"/>
  <c r="M16" i="7" l="1"/>
  <c r="Q18" i="7" s="1"/>
  <c r="Q20" i="7" s="1"/>
  <c r="M21" i="7" s="1"/>
  <c r="M27" i="7" s="1"/>
  <c r="M29" i="7" s="1"/>
  <c r="M12" i="7"/>
  <c r="J14" i="7" l="1"/>
  <c r="F14" i="7" s="1"/>
  <c r="M23" i="7"/>
  <c r="Q22" i="7"/>
  <c r="M20" i="7" s="1"/>
  <c r="I8" i="6" l="1"/>
  <c r="F24" i="7"/>
  <c r="F12" i="7"/>
  <c r="F16" i="7"/>
  <c r="J18" i="7" s="1"/>
  <c r="J20" i="7" s="1"/>
  <c r="F21" i="7" l="1"/>
  <c r="J22" i="7"/>
  <c r="F20" i="7" s="1"/>
  <c r="F23" i="7" l="1"/>
  <c r="F27" i="7"/>
  <c r="F29" i="7" s="1"/>
  <c r="E8" i="6" l="1"/>
  <c r="D29" i="7"/>
  <c r="D30" i="7"/>
  <c r="D31" i="7" s="1"/>
  <c r="C9" i="6" s="1"/>
  <c r="C8" i="6" l="1"/>
  <c r="F43" i="7"/>
  <c r="J43" i="7" l="1"/>
  <c r="J41" i="7" l="1"/>
  <c r="J45" i="7"/>
  <c r="F47" i="7" s="1"/>
  <c r="J53" i="7"/>
  <c r="F49" i="7" l="1"/>
  <c r="F51" i="7" l="1"/>
  <c r="J50" i="7"/>
  <c r="J49" i="7" l="1"/>
  <c r="J52" i="7"/>
  <c r="J56" i="7"/>
  <c r="J58" i="7" s="1"/>
  <c r="M43" i="7" s="1"/>
  <c r="E9" i="6" l="1"/>
  <c r="Q43" i="7"/>
  <c r="Q41" i="7" l="1"/>
  <c r="Q45" i="7"/>
  <c r="M47" i="7" s="1"/>
  <c r="Q53" i="7"/>
  <c r="M49" i="7" l="1"/>
  <c r="Q50" i="7" l="1"/>
  <c r="M51" i="7"/>
  <c r="Q52" i="7" l="1"/>
  <c r="Q56" i="7"/>
  <c r="Q58" i="7" s="1"/>
  <c r="T43" i="7" s="1"/>
  <c r="Q49" i="7"/>
  <c r="I9" i="6" l="1"/>
  <c r="X43" i="7"/>
  <c r="X53" i="7" l="1"/>
  <c r="X41" i="7"/>
  <c r="X45" i="7"/>
  <c r="T47" i="7" s="1"/>
  <c r="T49" i="7" l="1"/>
  <c r="X50" i="7" l="1"/>
  <c r="T51" i="7"/>
  <c r="X56" i="7" l="1"/>
  <c r="X58" i="7" s="1"/>
  <c r="AA43" i="7" s="1"/>
  <c r="X52" i="7"/>
  <c r="X49" i="7"/>
  <c r="M9" i="6" l="1"/>
  <c r="AE43" i="7"/>
  <c r="AE41" i="7" l="1"/>
  <c r="AE45" i="7"/>
  <c r="AA47" i="7" s="1"/>
  <c r="AE53" i="7"/>
  <c r="AA49" i="7" l="1"/>
  <c r="AE50" i="7" l="1"/>
  <c r="AA51" i="7"/>
  <c r="AE56" i="7" l="1"/>
  <c r="AE58" i="7" s="1"/>
  <c r="AG37" i="7" s="1"/>
  <c r="AE52" i="7"/>
  <c r="AE49" i="7"/>
  <c r="Q9" i="6" l="1"/>
  <c r="AI33" i="7"/>
  <c r="V6" i="6" l="1"/>
</calcChain>
</file>

<file path=xl/sharedStrings.xml><?xml version="1.0" encoding="utf-8"?>
<sst xmlns="http://schemas.openxmlformats.org/spreadsheetml/2006/main" count="1933" uniqueCount="173">
  <si>
    <t>B</t>
  </si>
  <si>
    <t>A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</si>
  <si>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</si>
  <si>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</si>
  <si>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</si>
  <si>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</si>
  <si>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</si>
  <si>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</si>
  <si>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</si>
  <si>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</si>
  <si>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</si>
  <si>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</si>
  <si>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</si>
  <si>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</si>
  <si>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</si>
  <si>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</si>
  <si>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</si>
  <si>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</si>
  <si>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</si>
  <si>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</si>
  <si>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</si>
  <si>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</si>
  <si>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</si>
  <si>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</si>
  <si>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</si>
  <si>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</si>
  <si>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Ringstellung</t>
  </si>
  <si>
    <t>Num2Let</t>
  </si>
  <si>
    <t>Let2Num</t>
  </si>
  <si>
    <t>Turnover</t>
  </si>
  <si>
    <t>Rotor</t>
  </si>
  <si>
    <t>RotorReverse</t>
  </si>
  <si>
    <t>R1</t>
  </si>
  <si>
    <t>R2</t>
  </si>
  <si>
    <t>R3</t>
  </si>
  <si>
    <t>R4</t>
  </si>
  <si>
    <t>R5</t>
  </si>
  <si>
    <t>Reflector</t>
  </si>
  <si>
    <t>Rotor Left</t>
  </si>
  <si>
    <t>Rotor Middle</t>
  </si>
  <si>
    <t>Rotor Right</t>
  </si>
  <si>
    <t>Key:</t>
  </si>
  <si>
    <t>Lamp:</t>
  </si>
  <si>
    <t>RSO</t>
  </si>
  <si>
    <t>CPN</t>
  </si>
  <si>
    <t>CPL</t>
  </si>
  <si>
    <t>TOL</t>
  </si>
  <si>
    <t>RSL</t>
  </si>
  <si>
    <t>RSN</t>
  </si>
  <si>
    <t>RTN</t>
  </si>
  <si>
    <t>Ring Setting Offset</t>
  </si>
  <si>
    <t>Current Position Number</t>
  </si>
  <si>
    <t>Current Position Letter</t>
  </si>
  <si>
    <t>Turn Over Letter</t>
  </si>
  <si>
    <t>Ring Setting Letter</t>
  </si>
  <si>
    <t>Ring Setting Number</t>
  </si>
  <si>
    <t>Rotor Type Number</t>
  </si>
  <si>
    <t>Rotor Left   L &gt;&gt;&gt; R</t>
  </si>
  <si>
    <t>Rotor Left   L &lt;&lt;&lt; R</t>
  </si>
  <si>
    <t>Plugboard</t>
  </si>
  <si>
    <t>Rotor Middle   L &lt;&lt;&lt; R</t>
  </si>
  <si>
    <t>Rotor Right   L &lt;&lt;&lt; R</t>
  </si>
  <si>
    <t>Rotor Middle   L &gt;&gt;&gt; R</t>
  </si>
  <si>
    <t>Rotor Right   L &gt;&gt;&gt; R</t>
  </si>
  <si>
    <t>3. Select ring settings (1-26)</t>
  </si>
  <si>
    <t>4. Select initial positions (A-Z)</t>
  </si>
  <si>
    <t>5. Set initial positions</t>
  </si>
  <si>
    <t>Data validation</t>
  </si>
  <si>
    <t>In</t>
  </si>
  <si>
    <t>Out</t>
  </si>
  <si>
    <t>Key</t>
  </si>
  <si>
    <t>Lamp</t>
  </si>
  <si>
    <t>Input/Output</t>
  </si>
  <si>
    <t>Created by Alberto Bernasconi</t>
  </si>
  <si>
    <t>Enigma - follow the machine internal flow</t>
  </si>
  <si>
    <t>Enigma sheets:</t>
  </si>
  <si>
    <t>Wk_Rotors - rotors data</t>
  </si>
  <si>
    <t>Wk_Reflectors - reflectors data</t>
  </si>
  <si>
    <t>LRS</t>
  </si>
  <si>
    <t>Left Rotor Stepped</t>
  </si>
  <si>
    <t>signal in</t>
  </si>
  <si>
    <t>signal out</t>
  </si>
  <si>
    <t>contact in (wire)</t>
  </si>
  <si>
    <t>contact out (wire)</t>
  </si>
  <si>
    <t>letter as number</t>
  </si>
  <si>
    <t>to be summed</t>
  </si>
  <si>
    <t>Wk_Rotors_Reverse - rotors data</t>
  </si>
  <si>
    <t>Rotor L</t>
  </si>
  <si>
    <t>Rotor M</t>
  </si>
  <si>
    <t>Rotor R</t>
  </si>
  <si>
    <t>Input</t>
  </si>
  <si>
    <t>Output</t>
  </si>
  <si>
    <t>Wk - needed decoding tables</t>
  </si>
  <si>
    <t>1Q</t>
  </si>
  <si>
    <t>2E</t>
  </si>
  <si>
    <t>3V</t>
  </si>
  <si>
    <t>4J</t>
  </si>
  <si>
    <t>5Z</t>
  </si>
  <si>
    <t>Turnover2</t>
  </si>
  <si>
    <t>TON</t>
  </si>
  <si>
    <t>Turn Over Next Left Rotor</t>
  </si>
  <si>
    <t>6. Enter plugboard settings (pairs of letters)</t>
  </si>
  <si>
    <t>ENIGMA M4    -   four rotors simulator (Navy)</t>
  </si>
  <si>
    <t>Version 1.0   December 2012</t>
  </si>
  <si>
    <t>ThinB</t>
  </si>
  <si>
    <t>ThinC</t>
  </si>
  <si>
    <t>1. Select reflector type (B/C)</t>
  </si>
  <si>
    <t>Rotor Greek</t>
  </si>
  <si>
    <t>2. Select rotors (1-8, Beta/Gamma)</t>
  </si>
  <si>
    <t>R6</t>
  </si>
  <si>
    <t>R7</t>
  </si>
  <si>
    <t>R8</t>
  </si>
  <si>
    <t>RB</t>
  </si>
  <si>
    <t>RG</t>
  </si>
  <si>
    <t>Rotor Greek   L &lt;&lt;&lt; R</t>
  </si>
  <si>
    <t>Rotor Greek   L &gt;&gt;&gt; R</t>
  </si>
  <si>
    <t>6M</t>
  </si>
  <si>
    <t>6Z</t>
  </si>
  <si>
    <t>7M</t>
  </si>
  <si>
    <t>7Z</t>
  </si>
  <si>
    <t>8M</t>
  </si>
  <si>
    <t>8Z</t>
  </si>
  <si>
    <t>3NZ</t>
  </si>
  <si>
    <t>3AM</t>
  </si>
  <si>
    <t>1NZ</t>
  </si>
  <si>
    <t>1AM</t>
  </si>
  <si>
    <t>2NZ</t>
  </si>
  <si>
    <t>2AM</t>
  </si>
  <si>
    <t>4NZ</t>
  </si>
  <si>
    <t>4AM</t>
  </si>
  <si>
    <t>5NZ</t>
  </si>
  <si>
    <t>5AM</t>
  </si>
  <si>
    <t>6AM</t>
  </si>
  <si>
    <t>6NZ</t>
  </si>
  <si>
    <t>7AM</t>
  </si>
  <si>
    <t>7NZ</t>
  </si>
  <si>
    <t>8AM</t>
  </si>
  <si>
    <t>8NZ</t>
  </si>
  <si>
    <t>Spacing:</t>
  </si>
  <si>
    <t>Spacing</t>
  </si>
  <si>
    <t>Rotor G</t>
  </si>
  <si>
    <t>Work sheets:</t>
  </si>
  <si>
    <t>(also works as Enigma M3 or Enigma I, see Settings sheet)</t>
  </si>
  <si>
    <t>Results - copy/print encoded/decoded characters</t>
  </si>
  <si>
    <t xml:space="preserve"> - reflector wide B: set reflector=ThinB, Greek rotor=B with Position=A and Ring=1</t>
  </si>
  <si>
    <t xml:space="preserve"> - reflector wide C: set reflector=ThinC, Greek rotor=G with Position=A and Ring=1)</t>
  </si>
  <si>
    <t>Keyboard - type letters for coding/decoding (mouse/ALT+letter)</t>
  </si>
  <si>
    <t xml:space="preserve"> (use as Enigma M3 or Enigma I:</t>
  </si>
  <si>
    <t>dash</t>
  </si>
  <si>
    <t>CY</t>
  </si>
  <si>
    <t>EL</t>
  </si>
  <si>
    <t>FH</t>
  </si>
  <si>
    <t>GS</t>
  </si>
  <si>
    <t>IJ</t>
  </si>
  <si>
    <t>KQ</t>
  </si>
  <si>
    <t>MW</t>
  </si>
  <si>
    <t>PV</t>
  </si>
  <si>
    <t>RZ</t>
  </si>
  <si>
    <t>TU</t>
  </si>
  <si>
    <t>Settings - configure the machine and then click "Set initial positions"</t>
  </si>
  <si>
    <t xml:space="preserve"> AAAAA AAAAA AAAAA AAAAA AAAAA AAAAA AAAAA AAAAA AAAAA AAAAA AAAAA AAAAA AAAAA AAAAA AAAAA AAAAA AAAAA AAAAA AAAAA AAAAA</t>
  </si>
  <si>
    <t xml:space="preserve"> PPPPP PPPPP PPPPP PPPPP PPPPP PPPPP PPPPP PPPPP PPPPP PPPPP PPPPP PPPPP PPPPP PPPPP PPPPP PPPPP PPPPP PPPPP PPPPP PPPPP</t>
  </si>
  <si>
    <t xml:space="preserve"> AAAAA AAAAA AAAAA AAAAA AAAAA AAAAA AAAAA AAAAA AAAAA AAAAA AAAAA AAAAA AAAAA AAAAA AAAAA AAAAA AAAAA AAAAA AAAAA AAAAA AAAAA AAAAA AAAAA AAAAA</t>
  </si>
  <si>
    <t xml:space="preserve"> PPPPP PPPPP PPPPP PPPPP PPPPP PPPPP PPPPP PPPPP PPPPP PPPPP PPPPP PPPPP PPPPP PPPPP PPPPP PPPPP PPPPP PPPPP PPPPP PPPPP PPPPP PPPPP PPPPP PPPPP</t>
  </si>
  <si>
    <t xml:space="preserve"> JJJJJ JJJJJ JJJJJ JJJJJ JJJJJ JKKKK KKKKK KKKKK KKKKK KKKKK KKLLL LLLLL LLLLL LLLLL LLLLL LLLMM MMMMM MMMMM MMMMM MMMMM</t>
  </si>
  <si>
    <t xml:space="preserve"> IIIII IIIII IIIII IIIII JJJJJ JJJJJ JJJJJ JJJJJ JJJJJ JKKKK KKKKK KKKKK KKKKK KKKKK KKLLL LLLLL LLLLL LLLLL LLLLL LLLMM MMMMM MMMMM MMMMM MMMMM</t>
  </si>
  <si>
    <t xml:space="preserve"> FGHIJ KLMNO PQRST UVWXY ZABCD EFGHI JKLMN OPQRS TUVWX YZABC DEFGH IJKLM NOPQR STUVW XYZAB CDEFG HIJKL MNOPQ RSTUV WXYZA</t>
  </si>
  <si>
    <t xml:space="preserve"> LMNOP QRSTU VWXYZ ABCDE FGHIJ KLMNO PQRST UVWXY ZABCD EFGHI JKLMN OPQRS TUVWX YZABC DEFGH IJKLM NOPQR STUVW XYZAB CDEFG HIJKL MNOPQ RSTUV WXYZA</t>
  </si>
  <si>
    <t xml:space="preserve"> VGIVD VDZZI GAKBZ CJMMV EMVXL THNLD YGRVQ AKJMR VZIXH MDNOM TAUTP ZDWOI NNMOL AHCDK CZTPP EORFI BXCMN WQNID DCHPT XQQBC</t>
  </si>
  <si>
    <t xml:space="preserve"> CWSEB DDIRB ZUUBG KJANB VGIVD VDZZI GAKBZ CJMMV EMVXL THNLD YGRVQ AKJMR VZIXH MDNOM TAUTP ZDWOI NNMOL AHCDK CZTPP EORFI BXCMN WQNID DCHPT XQQBC</t>
  </si>
  <si>
    <t xml:space="preserve"> XKMXV ORXOP OTSCH KAXOP OTSCH KAXIM KAMPF MITST ARKEN FEIND KRAEF TENXD IVXGE FXSTA NDXIS SAKIX ISSAK IXROE MEINS ANTON</t>
  </si>
  <si>
    <t xml:space="preserve"> INFXR GTXEI NSXDR EIXKM XKMXV ORXOP OTSCH KAXOP OTSCH KAXIM KAMPF MITST ARKEN FEIND KRAEF TENXD IVXGE FXSTA NDXIS SAKIX ISSAK IXROE MEINS ANTON</t>
  </si>
  <si>
    <t>Version 1.1   June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</si>
</sst>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0033CC"/>
      <name val="Courier New"/>
      <family val="3"/>
    </font>
    <font>
      <b/>
      <sz val="11"/>
      <color rgb="FF008000"/>
      <name val="Courier New"/>
      <family val="3"/>
    </font>
    <font>
      <b/>
      <sz val="11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1"/>
      <color rgb="FFFF0000"/>
      <name val="Calibri"/>
      <family val="2"/>
      <scheme val="minor"/>
    </font>
    <font>
      <sz val="9"/>
      <color theme="1"/>
      <name val="Courier New"/>
      <family val="3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indexed="65"/>
        <bgColor indexed="64"/>
      </patternFill>
    </fill>
    <fill>
      <patternFill patternType="gray06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2" fillId="0" borderId="1" xfId="0" applyFont="1" applyBorder="1"/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0" fillId="16" borderId="6" xfId="0" applyFill="1" applyBorder="1"/>
    <xf numFmtId="0" fontId="0" fillId="16" borderId="7" xfId="0" applyFill="1" applyBorder="1"/>
    <xf numFmtId="0" fontId="0" fillId="16" borderId="8" xfId="0" applyFill="1" applyBorder="1"/>
    <xf numFmtId="0" fontId="0" fillId="16" borderId="0" xfId="0" applyFill="1"/>
    <xf numFmtId="0" fontId="0" fillId="16" borderId="9" xfId="0" applyFill="1" applyBorder="1"/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16" borderId="11" xfId="0" applyFill="1" applyBorder="1"/>
    <xf numFmtId="0" fontId="0" fillId="16" borderId="12" xfId="0" applyFill="1" applyBorder="1"/>
    <xf numFmtId="0" fontId="0" fillId="16" borderId="11" xfId="0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0" xfId="0" applyFill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1" fillId="12" borderId="9" xfId="0" applyFont="1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1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/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1" fillId="16" borderId="8" xfId="0" applyFon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9" borderId="1" xfId="0" applyFill="1" applyBorder="1" applyAlignment="1" applyProtection="1">
      <alignment horizontal="center" vertical="center"/>
      <protection locked="0"/>
    </xf>
    <xf numFmtId="0" fontId="1" fillId="19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18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/>
    <xf numFmtId="0" fontId="3" fillId="0" borderId="1" xfId="0" applyFon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19" borderId="1" xfId="0" applyFont="1" applyFill="1" applyBorder="1" applyAlignment="1">
      <alignment horizontal="center" vertical="center"/>
    </xf>
    <xf numFmtId="0" fontId="0" fillId="8" borderId="1" xfId="0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/>
    <xf numFmtId="0" fontId="0" fillId="11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/>
    <xf numFmtId="0" fontId="8" fillId="0" borderId="1" xfId="0" applyFont="1" applyBorder="1"/>
    <xf numFmtId="0" fontId="9" fillId="0" borderId="0" xfId="0" applyFont="1"/>
    <xf numFmtId="0" fontId="8" fillId="0" borderId="13" xfId="0" applyFont="1" applyBorder="1"/>
    <xf numFmtId="0" fontId="0" fillId="0" borderId="1" xfId="0" applyBorder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0" xfId="0" applyAlignment="1">
      <alignment horizontal="right"/>
    </xf>
    <xf numFmtId="0" fontId="10" fillId="16" borderId="8" xfId="0" applyFont="1" applyFill="1" applyBorder="1"/>
    <xf numFmtId="0" fontId="10" fillId="16" borderId="8" xfId="0" applyFont="1" applyFill="1" applyBorder="1" applyAlignment="1">
      <alignment horizontal="left"/>
    </xf>
    <xf numFmtId="0" fontId="9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0" fillId="19" borderId="1" xfId="0" applyFill="1" applyBorder="1" applyAlignment="1" applyProtection="1">
      <alignment horizontal="center"/>
      <protection locked="0"/>
    </xf>
    <xf numFmtId="0" fontId="8" fillId="0" borderId="1" xfId="0" applyFont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top"/>
    </xf>
    <xf numFmtId="0" fontId="0" fillId="2" borderId="0" xfId="0" applyFill="1"/>
    <xf numFmtId="0" fontId="1" fillId="5" borderId="1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3" xfId="0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9" defaultPivotStyle="PivotStyleLight16"/>
  <colors>
    <mruColors>
      <color rgb="FF008000"/>
      <color rgb="FF0033CC"/>
      <color rgb="FFFF66FF"/>
      <color rgb="FF3399FF"/>
      <color rgb="FF99C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9.emf"/><Relationship Id="rId21" Type="http://schemas.openxmlformats.org/officeDocument/2006/relationships/image" Target="../media/image24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11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5" Type="http://schemas.openxmlformats.org/officeDocument/2006/relationships/image" Target="../media/image7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4" Type="http://schemas.openxmlformats.org/officeDocument/2006/relationships/image" Target="../media/image8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12701</xdr:colOff>
      <xdr:row>6</xdr:row>
      <xdr:rowOff>50801</xdr:rowOff>
    </xdr:from>
    <xdr:to>
      <xdr:col>4</xdr:col>
      <xdr:colOff>215900</xdr:colOff>
      <xdr:row>9</xdr:row>
      <xdr:rowOff>146050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3C7BCD88-D760-D307-4B88-CFABE02BD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3051" y="1155701"/>
          <a:ext cx="2127249" cy="6476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13</xdr:row>
      <xdr:rowOff>0</xdr:rowOff>
    </xdr:from>
    <xdr:to>
      <xdr:col>24</xdr:col>
      <xdr:colOff>0</xdr:colOff>
      <xdr:row>14</xdr:row>
      <xdr:rowOff>0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48150" y="228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13</xdr:row>
      <xdr:rowOff>0</xdr:rowOff>
    </xdr:from>
    <xdr:to>
      <xdr:col>31</xdr:col>
      <xdr:colOff>0</xdr:colOff>
      <xdr:row>14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231923" y="228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13</xdr:row>
      <xdr:rowOff>0</xdr:rowOff>
    </xdr:from>
    <xdr:to>
      <xdr:col>27</xdr:col>
      <xdr:colOff>0</xdr:colOff>
      <xdr:row>14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905750" y="228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0</xdr:colOff>
      <xdr:row>13</xdr:row>
      <xdr:rowOff>95250</xdr:rowOff>
    </xdr:from>
    <xdr:to>
      <xdr:col>30</xdr:col>
      <xdr:colOff>0</xdr:colOff>
      <xdr:row>13</xdr:row>
      <xdr:rowOff>95250</xdr:rowOff>
    </xdr:to>
    <xdr:cxnSp macro="">
      <xdr:nvCxnSpPr>
        <xdr:cNvPr id="6" name="Connettore 4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3" idx="1"/>
          <a:endCxn id="4" idx="3"/>
        </xdr:cNvCxnSpPr>
      </xdr:nvCxnSpPr>
      <xdr:spPr>
        <a:xfrm flipH="1">
          <a:off x="8715375" y="2628900"/>
          <a:ext cx="9429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sp macro="" textlink="">
      <xdr:nvSpPr>
        <xdr:cNvPr id="9" name="Rettango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933700" y="228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15</xdr:row>
      <xdr:rowOff>0</xdr:rowOff>
    </xdr:from>
    <xdr:to>
      <xdr:col>27</xdr:col>
      <xdr:colOff>0</xdr:colOff>
      <xdr:row>16</xdr:row>
      <xdr:rowOff>0</xdr:rowOff>
    </xdr:to>
    <xdr:sp macro="" textlink="">
      <xdr:nvSpPr>
        <xdr:cNvPr id="10" name="Rettango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87391" y="2667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27</xdr:col>
      <xdr:colOff>0</xdr:colOff>
      <xdr:row>12</xdr:row>
      <xdr:rowOff>0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887391" y="1333500"/>
          <a:ext cx="381000" cy="7620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190500</xdr:colOff>
      <xdr:row>12</xdr:row>
      <xdr:rowOff>0</xdr:rowOff>
    </xdr:from>
    <xdr:to>
      <xdr:col>26</xdr:col>
      <xdr:colOff>190500</xdr:colOff>
      <xdr:row>13</xdr:row>
      <xdr:rowOff>0</xdr:rowOff>
    </xdr:to>
    <xdr:cxnSp macro="">
      <xdr:nvCxnSpPr>
        <xdr:cNvPr id="12" name="Connettore 4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stCxn id="4" idx="0"/>
          <a:endCxn id="11" idx="2"/>
        </xdr:cNvCxnSpPr>
      </xdr:nvCxnSpPr>
      <xdr:spPr>
        <a:xfrm flipV="1">
          <a:off x="8524875" y="2343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8</xdr:row>
      <xdr:rowOff>0</xdr:rowOff>
    </xdr:from>
    <xdr:to>
      <xdr:col>29</xdr:col>
      <xdr:colOff>0</xdr:colOff>
      <xdr:row>9</xdr:row>
      <xdr:rowOff>0</xdr:rowOff>
    </xdr:to>
    <xdr:sp macro="" textlink="">
      <xdr:nvSpPr>
        <xdr:cNvPr id="15" name="Rettango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649391" y="1333500"/>
          <a:ext cx="583406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16" name="Rettango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649391" y="1524000"/>
          <a:ext cx="583406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" textlink="">
      <xdr:nvSpPr>
        <xdr:cNvPr id="17" name="Rettango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87391" y="13335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9</xdr:row>
      <xdr:rowOff>0</xdr:rowOff>
    </xdr:from>
    <xdr:to>
      <xdr:col>27</xdr:col>
      <xdr:colOff>0</xdr:colOff>
      <xdr:row>10</xdr:row>
      <xdr:rowOff>0</xdr:rowOff>
    </xdr:to>
    <xdr:sp macro="" textlink="">
      <xdr:nvSpPr>
        <xdr:cNvPr id="18" name="Rettango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887391" y="15240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0</xdr:colOff>
      <xdr:row>9</xdr:row>
      <xdr:rowOff>95250</xdr:rowOff>
    </xdr:from>
    <xdr:to>
      <xdr:col>28</xdr:col>
      <xdr:colOff>0</xdr:colOff>
      <xdr:row>9</xdr:row>
      <xdr:rowOff>95250</xdr:rowOff>
    </xdr:to>
    <xdr:cxnSp macro="">
      <xdr:nvCxnSpPr>
        <xdr:cNvPr id="19" name="Connettore 4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stCxn id="16" idx="1"/>
          <a:endCxn id="18" idx="3"/>
        </xdr:cNvCxnSpPr>
      </xdr:nvCxnSpPr>
      <xdr:spPr>
        <a:xfrm flipH="1">
          <a:off x="8715375" y="18669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8</xdr:row>
      <xdr:rowOff>95250</xdr:rowOff>
    </xdr:from>
    <xdr:to>
      <xdr:col>28</xdr:col>
      <xdr:colOff>0</xdr:colOff>
      <xdr:row>8</xdr:row>
      <xdr:rowOff>95250</xdr:rowOff>
    </xdr:to>
    <xdr:cxnSp macro="">
      <xdr:nvCxnSpPr>
        <xdr:cNvPr id="22" name="Connettore 4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5" idx="1"/>
          <a:endCxn id="17" idx="3"/>
        </xdr:cNvCxnSpPr>
      </xdr:nvCxnSpPr>
      <xdr:spPr>
        <a:xfrm flipH="1">
          <a:off x="8715375" y="16764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0</xdr:rowOff>
    </xdr:from>
    <xdr:to>
      <xdr:col>26</xdr:col>
      <xdr:colOff>1588</xdr:colOff>
      <xdr:row>15</xdr:row>
      <xdr:rowOff>95250</xdr:rowOff>
    </xdr:to>
    <xdr:cxnSp macro="">
      <xdr:nvCxnSpPr>
        <xdr:cNvPr id="25" name="Connettore 4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>
          <a:stCxn id="11" idx="1"/>
          <a:endCxn id="10" idx="1"/>
        </xdr:cNvCxnSpPr>
      </xdr:nvCxnSpPr>
      <xdr:spPr>
        <a:xfrm rot="10800000" flipV="1">
          <a:off x="3887391" y="1714500"/>
          <a:ext cx="1588" cy="1047750"/>
        </a:xfrm>
        <a:prstGeom prst="bentConnector3">
          <a:avLst>
            <a:gd name="adj1" fmla="val 14395466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15</xdr:row>
      <xdr:rowOff>95250</xdr:rowOff>
    </xdr:from>
    <xdr:to>
      <xdr:col>30</xdr:col>
      <xdr:colOff>190500</xdr:colOff>
      <xdr:row>17</xdr:row>
      <xdr:rowOff>0</xdr:rowOff>
    </xdr:to>
    <xdr:cxnSp macro="">
      <xdr:nvCxnSpPr>
        <xdr:cNvPr id="28" name="Connettore 4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10" idx="3"/>
          <a:endCxn id="32" idx="0"/>
        </xdr:cNvCxnSpPr>
      </xdr:nvCxnSpPr>
      <xdr:spPr>
        <a:xfrm>
          <a:off x="4268391" y="2762250"/>
          <a:ext cx="1535906" cy="2857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17</xdr:row>
      <xdr:rowOff>0</xdr:rowOff>
    </xdr:from>
    <xdr:to>
      <xdr:col>31</xdr:col>
      <xdr:colOff>0</xdr:colOff>
      <xdr:row>18</xdr:row>
      <xdr:rowOff>0</xdr:rowOff>
    </xdr:to>
    <xdr:sp macro="" textlink="">
      <xdr:nvSpPr>
        <xdr:cNvPr id="32" name="Rettango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5613797" y="3048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19</xdr:row>
      <xdr:rowOff>1</xdr:rowOff>
    </xdr:from>
    <xdr:to>
      <xdr:col>27</xdr:col>
      <xdr:colOff>0</xdr:colOff>
      <xdr:row>20</xdr:row>
      <xdr:rowOff>1</xdr:rowOff>
    </xdr:to>
    <xdr:sp macro="" textlink="">
      <xdr:nvSpPr>
        <xdr:cNvPr id="34" name="Rettango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3887391" y="342900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190500</xdr:colOff>
      <xdr:row>17</xdr:row>
      <xdr:rowOff>95249</xdr:rowOff>
    </xdr:from>
    <xdr:to>
      <xdr:col>30</xdr:col>
      <xdr:colOff>0</xdr:colOff>
      <xdr:row>19</xdr:row>
      <xdr:rowOff>0</xdr:rowOff>
    </xdr:to>
    <xdr:cxnSp macro="">
      <xdr:nvCxnSpPr>
        <xdr:cNvPr id="35" name="Connettore 4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2" idx="1"/>
          <a:endCxn id="34" idx="0"/>
        </xdr:cNvCxnSpPr>
      </xdr:nvCxnSpPr>
      <xdr:spPr>
        <a:xfrm rot="10800000" flipV="1">
          <a:off x="4077891" y="3143249"/>
          <a:ext cx="1535906" cy="28575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22</xdr:row>
      <xdr:rowOff>0</xdr:rowOff>
    </xdr:from>
    <xdr:to>
      <xdr:col>27</xdr:col>
      <xdr:colOff>0</xdr:colOff>
      <xdr:row>25</xdr:row>
      <xdr:rowOff>0</xdr:rowOff>
    </xdr:to>
    <xdr:sp macro="" textlink="">
      <xdr:nvSpPr>
        <xdr:cNvPr id="38" name="Rettangol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887391" y="4000500"/>
          <a:ext cx="381000" cy="571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20</xdr:row>
      <xdr:rowOff>0</xdr:rowOff>
    </xdr:from>
    <xdr:to>
      <xdr:col>27</xdr:col>
      <xdr:colOff>0</xdr:colOff>
      <xdr:row>21</xdr:row>
      <xdr:rowOff>0</xdr:rowOff>
    </xdr:to>
    <xdr:sp macro="" textlink="">
      <xdr:nvSpPr>
        <xdr:cNvPr id="39" name="Rettangol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3887391" y="3619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5613797" y="3429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21</xdr:row>
      <xdr:rowOff>0</xdr:rowOff>
    </xdr:from>
    <xdr:to>
      <xdr:col>31</xdr:col>
      <xdr:colOff>0</xdr:colOff>
      <xdr:row>22</xdr:row>
      <xdr:rowOff>0</xdr:rowOff>
    </xdr:to>
    <xdr:sp macro="" textlink="">
      <xdr:nvSpPr>
        <xdr:cNvPr id="41" name="Rettangol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5613797" y="3810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190500</xdr:colOff>
      <xdr:row>18</xdr:row>
      <xdr:rowOff>0</xdr:rowOff>
    </xdr:from>
    <xdr:to>
      <xdr:col>30</xdr:col>
      <xdr:colOff>190500</xdr:colOff>
      <xdr:row>19</xdr:row>
      <xdr:rowOff>0</xdr:rowOff>
    </xdr:to>
    <xdr:cxnSp macro="">
      <xdr:nvCxnSpPr>
        <xdr:cNvPr id="42" name="Connettore 4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>
          <a:stCxn id="32" idx="2"/>
          <a:endCxn id="40" idx="0"/>
        </xdr:cNvCxnSpPr>
      </xdr:nvCxnSpPr>
      <xdr:spPr>
        <a:xfrm>
          <a:off x="9848850" y="3486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190500</xdr:colOff>
      <xdr:row>20</xdr:row>
      <xdr:rowOff>0</xdr:rowOff>
    </xdr:from>
    <xdr:to>
      <xdr:col>30</xdr:col>
      <xdr:colOff>190500</xdr:colOff>
      <xdr:row>21</xdr:row>
      <xdr:rowOff>0</xdr:rowOff>
    </xdr:to>
    <xdr:cxnSp macro="">
      <xdr:nvCxnSpPr>
        <xdr:cNvPr id="45" name="Connettore 4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>
          <a:stCxn id="40" idx="2"/>
          <a:endCxn id="41" idx="0"/>
        </xdr:cNvCxnSpPr>
      </xdr:nvCxnSpPr>
      <xdr:spPr>
        <a:xfrm>
          <a:off x="9848850" y="3867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19</xdr:row>
      <xdr:rowOff>95252</xdr:rowOff>
    </xdr:from>
    <xdr:to>
      <xdr:col>30</xdr:col>
      <xdr:colOff>0</xdr:colOff>
      <xdr:row>21</xdr:row>
      <xdr:rowOff>95251</xdr:rowOff>
    </xdr:to>
    <xdr:cxnSp macro="">
      <xdr:nvCxnSpPr>
        <xdr:cNvPr id="48" name="Connettore 4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>
          <a:stCxn id="41" idx="1"/>
          <a:endCxn id="34" idx="3"/>
        </xdr:cNvCxnSpPr>
      </xdr:nvCxnSpPr>
      <xdr:spPr>
        <a:xfrm rot="10800000">
          <a:off x="4268391" y="3524252"/>
          <a:ext cx="1345406" cy="38099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2</xdr:row>
      <xdr:rowOff>0</xdr:rowOff>
    </xdr:from>
    <xdr:to>
      <xdr:col>29</xdr:col>
      <xdr:colOff>0</xdr:colOff>
      <xdr:row>3</xdr:row>
      <xdr:rowOff>0</xdr:rowOff>
    </xdr:to>
    <xdr:sp macro="" textlink="">
      <xdr:nvSpPr>
        <xdr:cNvPr id="53" name="Rettangol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649391" y="190500"/>
          <a:ext cx="583406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0</xdr:colOff>
      <xdr:row>2</xdr:row>
      <xdr:rowOff>95250</xdr:rowOff>
    </xdr:from>
    <xdr:to>
      <xdr:col>31</xdr:col>
      <xdr:colOff>0</xdr:colOff>
      <xdr:row>19</xdr:row>
      <xdr:rowOff>95250</xdr:rowOff>
    </xdr:to>
    <xdr:cxnSp macro="">
      <xdr:nvCxnSpPr>
        <xdr:cNvPr id="54" name="Connettore 4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>
          <a:stCxn id="53" idx="3"/>
          <a:endCxn id="40" idx="3"/>
        </xdr:cNvCxnSpPr>
      </xdr:nvCxnSpPr>
      <xdr:spPr>
        <a:xfrm>
          <a:off x="5232797" y="285750"/>
          <a:ext cx="762000" cy="3238500"/>
        </a:xfrm>
        <a:prstGeom prst="bentConnector3">
          <a:avLst>
            <a:gd name="adj1" fmla="val 13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190500</xdr:colOff>
      <xdr:row>21</xdr:row>
      <xdr:rowOff>0</xdr:rowOff>
    </xdr:from>
    <xdr:to>
      <xdr:col>26</xdr:col>
      <xdr:colOff>190500</xdr:colOff>
      <xdr:row>22</xdr:row>
      <xdr:rowOff>0</xdr:rowOff>
    </xdr:to>
    <xdr:cxnSp macro="">
      <xdr:nvCxnSpPr>
        <xdr:cNvPr id="58" name="Connettore 4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>
          <a:stCxn id="39" idx="2"/>
          <a:endCxn id="38" idx="0"/>
        </xdr:cNvCxnSpPr>
      </xdr:nvCxnSpPr>
      <xdr:spPr>
        <a:xfrm>
          <a:off x="8524875" y="4057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190500</xdr:colOff>
      <xdr:row>25</xdr:row>
      <xdr:rowOff>0</xdr:rowOff>
    </xdr:from>
    <xdr:to>
      <xdr:col>26</xdr:col>
      <xdr:colOff>190500</xdr:colOff>
      <xdr:row>26</xdr:row>
      <xdr:rowOff>0</xdr:rowOff>
    </xdr:to>
    <xdr:cxnSp macro="">
      <xdr:nvCxnSpPr>
        <xdr:cNvPr id="61" name="Connettore 4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38" idx="2"/>
          <a:endCxn id="64" idx="0"/>
        </xdr:cNvCxnSpPr>
      </xdr:nvCxnSpPr>
      <xdr:spPr>
        <a:xfrm>
          <a:off x="8524875" y="4819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22</xdr:row>
      <xdr:rowOff>0</xdr:rowOff>
    </xdr:from>
    <xdr:to>
      <xdr:col>33</xdr:col>
      <xdr:colOff>0</xdr:colOff>
      <xdr:row>23</xdr:row>
      <xdr:rowOff>0</xdr:rowOff>
    </xdr:to>
    <xdr:sp macro="" textlink="">
      <xdr:nvSpPr>
        <xdr:cNvPr id="63" name="Rettangolo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0106025" y="4000500"/>
          <a:ext cx="7905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26</xdr:row>
      <xdr:rowOff>0</xdr:rowOff>
    </xdr:from>
    <xdr:to>
      <xdr:col>27</xdr:col>
      <xdr:colOff>0</xdr:colOff>
      <xdr:row>27</xdr:row>
      <xdr:rowOff>0</xdr:rowOff>
    </xdr:to>
    <xdr:sp macro="" textlink="">
      <xdr:nvSpPr>
        <xdr:cNvPr id="64" name="Rettangolo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3886200" y="476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28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67" name="Rettangol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3886200" y="514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190500</xdr:colOff>
      <xdr:row>27</xdr:row>
      <xdr:rowOff>0</xdr:rowOff>
    </xdr:from>
    <xdr:to>
      <xdr:col>26</xdr:col>
      <xdr:colOff>190500</xdr:colOff>
      <xdr:row>28</xdr:row>
      <xdr:rowOff>0</xdr:rowOff>
    </xdr:to>
    <xdr:cxnSp macro="">
      <xdr:nvCxnSpPr>
        <xdr:cNvPr id="68" name="Connettore 4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64" idx="2"/>
          <a:endCxn id="67" idx="0"/>
        </xdr:cNvCxnSpPr>
      </xdr:nvCxnSpPr>
      <xdr:spPr>
        <a:xfrm>
          <a:off x="8524875" y="5200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190500</xdr:colOff>
      <xdr:row>14</xdr:row>
      <xdr:rowOff>0</xdr:rowOff>
    </xdr:from>
    <xdr:to>
      <xdr:col>27</xdr:col>
      <xdr:colOff>0</xdr:colOff>
      <xdr:row>23</xdr:row>
      <xdr:rowOff>95250</xdr:rowOff>
    </xdr:to>
    <xdr:cxnSp macro="">
      <xdr:nvCxnSpPr>
        <xdr:cNvPr id="73" name="Connettore 4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4" idx="2"/>
          <a:endCxn id="38" idx="3"/>
        </xdr:cNvCxnSpPr>
      </xdr:nvCxnSpPr>
      <xdr:spPr>
        <a:xfrm rot="16200000" flipH="1">
          <a:off x="3267075" y="3286125"/>
          <a:ext cx="1809750" cy="190500"/>
        </a:xfrm>
        <a:prstGeom prst="bentConnector4">
          <a:avLst>
            <a:gd name="adj1" fmla="val 5965"/>
            <a:gd name="adj2" fmla="val 22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13</xdr:row>
      <xdr:rowOff>95250</xdr:rowOff>
    </xdr:from>
    <xdr:to>
      <xdr:col>32</xdr:col>
      <xdr:colOff>395288</xdr:colOff>
      <xdr:row>22</xdr:row>
      <xdr:rowOff>0</xdr:rowOff>
    </xdr:to>
    <xdr:cxnSp macro="">
      <xdr:nvCxnSpPr>
        <xdr:cNvPr id="78" name="Connettore 4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>
          <a:stCxn id="63" idx="0"/>
          <a:endCxn id="3" idx="3"/>
        </xdr:cNvCxnSpPr>
      </xdr:nvCxnSpPr>
      <xdr:spPr>
        <a:xfrm rot="16200000" flipV="1">
          <a:off x="9303544" y="2802731"/>
          <a:ext cx="1619250" cy="776288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19</xdr:row>
      <xdr:rowOff>1</xdr:rowOff>
    </xdr:from>
    <xdr:to>
      <xdr:col>20</xdr:col>
      <xdr:colOff>0</xdr:colOff>
      <xdr:row>20</xdr:row>
      <xdr:rowOff>1</xdr:rowOff>
    </xdr:to>
    <xdr:sp macro="" textlink="">
      <xdr:nvSpPr>
        <xdr:cNvPr id="82" name="Rettangolo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5390029" y="342900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22</xdr:row>
      <xdr:rowOff>0</xdr:rowOff>
    </xdr:from>
    <xdr:to>
      <xdr:col>20</xdr:col>
      <xdr:colOff>0</xdr:colOff>
      <xdr:row>25</xdr:row>
      <xdr:rowOff>0</xdr:rowOff>
    </xdr:to>
    <xdr:sp macro="" textlink="">
      <xdr:nvSpPr>
        <xdr:cNvPr id="83" name="Rettangolo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5390029" y="4000500"/>
          <a:ext cx="381000" cy="571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24</xdr:col>
      <xdr:colOff>0</xdr:colOff>
      <xdr:row>13</xdr:row>
      <xdr:rowOff>95250</xdr:rowOff>
    </xdr:from>
    <xdr:to>
      <xdr:col>26</xdr:col>
      <xdr:colOff>0</xdr:colOff>
      <xdr:row>28</xdr:row>
      <xdr:rowOff>95250</xdr:rowOff>
    </xdr:to>
    <xdr:cxnSp macro="">
      <xdr:nvCxnSpPr>
        <xdr:cNvPr id="86" name="Connettore 4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CxnSpPr>
          <a:stCxn id="67" idx="1"/>
          <a:endCxn id="2" idx="3"/>
        </xdr:cNvCxnSpPr>
      </xdr:nvCxnSpPr>
      <xdr:spPr>
        <a:xfrm rot="10800000">
          <a:off x="4629150" y="2381250"/>
          <a:ext cx="762000" cy="28575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19</xdr:row>
      <xdr:rowOff>1</xdr:rowOff>
    </xdr:from>
    <xdr:to>
      <xdr:col>24</xdr:col>
      <xdr:colOff>0</xdr:colOff>
      <xdr:row>20</xdr:row>
      <xdr:rowOff>1</xdr:rowOff>
    </xdr:to>
    <xdr:sp macro="" textlink="">
      <xdr:nvSpPr>
        <xdr:cNvPr id="92" name="Rettangolo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4248150" y="342900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93" name="Rettangolo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2933700" y="3619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2</xdr:row>
      <xdr:rowOff>0</xdr:rowOff>
    </xdr:from>
    <xdr:to>
      <xdr:col>22</xdr:col>
      <xdr:colOff>0</xdr:colOff>
      <xdr:row>3</xdr:row>
      <xdr:rowOff>0</xdr:rowOff>
    </xdr:to>
    <xdr:sp macro="" textlink="">
      <xdr:nvSpPr>
        <xdr:cNvPr id="94" name="Rettangolo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3562350" y="190500"/>
          <a:ext cx="4381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9</xdr:row>
      <xdr:rowOff>0</xdr:rowOff>
    </xdr:from>
    <xdr:to>
      <xdr:col>22</xdr:col>
      <xdr:colOff>0</xdr:colOff>
      <xdr:row>10</xdr:row>
      <xdr:rowOff>0</xdr:rowOff>
    </xdr:to>
    <xdr:sp macro="" textlink="">
      <xdr:nvSpPr>
        <xdr:cNvPr id="95" name="Rettangolo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6067425" y="15240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22</xdr:col>
      <xdr:colOff>0</xdr:colOff>
      <xdr:row>9</xdr:row>
      <xdr:rowOff>0</xdr:rowOff>
    </xdr:to>
    <xdr:sp macro="" textlink="">
      <xdr:nvSpPr>
        <xdr:cNvPr id="96" name="Rettangolo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6067425" y="13335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17</xdr:row>
      <xdr:rowOff>0</xdr:rowOff>
    </xdr:from>
    <xdr:to>
      <xdr:col>24</xdr:col>
      <xdr:colOff>0</xdr:colOff>
      <xdr:row>18</xdr:row>
      <xdr:rowOff>0</xdr:rowOff>
    </xdr:to>
    <xdr:sp macro="" textlink="">
      <xdr:nvSpPr>
        <xdr:cNvPr id="97" name="Rettangolo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4248150" y="3048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21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98" name="Rettangolo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4248150" y="3810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0</xdr:colOff>
      <xdr:row>2</xdr:row>
      <xdr:rowOff>95250</xdr:rowOff>
    </xdr:from>
    <xdr:to>
      <xdr:col>24</xdr:col>
      <xdr:colOff>0</xdr:colOff>
      <xdr:row>19</xdr:row>
      <xdr:rowOff>95251</xdr:rowOff>
    </xdr:to>
    <xdr:cxnSp macro="">
      <xdr:nvCxnSpPr>
        <xdr:cNvPr id="99" name="Connettore 4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CxnSpPr>
          <a:stCxn id="94" idx="3"/>
          <a:endCxn id="92" idx="3"/>
        </xdr:cNvCxnSpPr>
      </xdr:nvCxnSpPr>
      <xdr:spPr>
        <a:xfrm>
          <a:off x="4000500" y="285750"/>
          <a:ext cx="628650" cy="3238501"/>
        </a:xfrm>
        <a:prstGeom prst="bentConnector3">
          <a:avLst>
            <a:gd name="adj1" fmla="val 136364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sp macro="" textlink="">
      <xdr:nvSpPr>
        <xdr:cNvPr id="102" name="Rettangolo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2933700" y="2667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26</xdr:row>
      <xdr:rowOff>0</xdr:rowOff>
    </xdr:from>
    <xdr:to>
      <xdr:col>20</xdr:col>
      <xdr:colOff>0</xdr:colOff>
      <xdr:row>27</xdr:row>
      <xdr:rowOff>0</xdr:rowOff>
    </xdr:to>
    <xdr:sp macro="" textlink="">
      <xdr:nvSpPr>
        <xdr:cNvPr id="60" name="Rettangol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5438775" y="476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28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65" name="Rettangol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5438775" y="514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190500</xdr:colOff>
      <xdr:row>27</xdr:row>
      <xdr:rowOff>0</xdr:rowOff>
    </xdr:from>
    <xdr:to>
      <xdr:col>19</xdr:col>
      <xdr:colOff>190500</xdr:colOff>
      <xdr:row>28</xdr:row>
      <xdr:rowOff>0</xdr:rowOff>
    </xdr:to>
    <xdr:cxnSp macro="">
      <xdr:nvCxnSpPr>
        <xdr:cNvPr id="69" name="Connettore 4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60" idx="2"/>
          <a:endCxn id="65" idx="0"/>
        </xdr:cNvCxnSpPr>
      </xdr:nvCxnSpPr>
      <xdr:spPr>
        <a:xfrm>
          <a:off x="6057900" y="5200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0</xdr:colOff>
      <xdr:row>22</xdr:row>
      <xdr:rowOff>0</xdr:rowOff>
    </xdr:to>
    <xdr:sp macro="" textlink="">
      <xdr:nvSpPr>
        <xdr:cNvPr id="76" name="Rettangol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4295775" y="3810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19</xdr:row>
      <xdr:rowOff>1</xdr:rowOff>
    </xdr:from>
    <xdr:to>
      <xdr:col>24</xdr:col>
      <xdr:colOff>0</xdr:colOff>
      <xdr:row>20</xdr:row>
      <xdr:rowOff>1</xdr:rowOff>
    </xdr:to>
    <xdr:sp macro="" textlink="">
      <xdr:nvSpPr>
        <xdr:cNvPr id="85" name="Rettangolo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6762750" y="342900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8</xdr:row>
      <xdr:rowOff>0</xdr:rowOff>
    </xdr:from>
    <xdr:to>
      <xdr:col>31</xdr:col>
      <xdr:colOff>0</xdr:colOff>
      <xdr:row>9</xdr:row>
      <xdr:rowOff>0</xdr:rowOff>
    </xdr:to>
    <xdr:sp macro="" textlink="">
      <xdr:nvSpPr>
        <xdr:cNvPr id="138" name="Rettangolo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9229725" y="133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9</xdr:row>
      <xdr:rowOff>0</xdr:rowOff>
    </xdr:from>
    <xdr:to>
      <xdr:col>31</xdr:col>
      <xdr:colOff>0</xdr:colOff>
      <xdr:row>10</xdr:row>
      <xdr:rowOff>0</xdr:rowOff>
    </xdr:to>
    <xdr:sp macro="" textlink="">
      <xdr:nvSpPr>
        <xdr:cNvPr id="139" name="Rettangolo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9229725" y="1524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6</xdr:row>
      <xdr:rowOff>0</xdr:rowOff>
    </xdr:from>
    <xdr:to>
      <xdr:col>31</xdr:col>
      <xdr:colOff>0</xdr:colOff>
      <xdr:row>7</xdr:row>
      <xdr:rowOff>0</xdr:rowOff>
    </xdr:to>
    <xdr:sp macro="" textlink="">
      <xdr:nvSpPr>
        <xdr:cNvPr id="140" name="Rettangolo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9229725" y="95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7</xdr:row>
      <xdr:rowOff>0</xdr:rowOff>
    </xdr:from>
    <xdr:to>
      <xdr:col>31</xdr:col>
      <xdr:colOff>0</xdr:colOff>
      <xdr:row>8</xdr:row>
      <xdr:rowOff>0</xdr:rowOff>
    </xdr:to>
    <xdr:sp macro="" textlink="">
      <xdr:nvSpPr>
        <xdr:cNvPr id="141" name="Rettangolo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2125325" y="1390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142" name="Rettangolo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9229725" y="571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31</xdr:col>
      <xdr:colOff>0</xdr:colOff>
      <xdr:row>6</xdr:row>
      <xdr:rowOff>0</xdr:rowOff>
    </xdr:to>
    <xdr:sp macro="" textlink="">
      <xdr:nvSpPr>
        <xdr:cNvPr id="143" name="Rettangolo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9229725" y="762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27</xdr:col>
      <xdr:colOff>0</xdr:colOff>
      <xdr:row>3</xdr:row>
      <xdr:rowOff>0</xdr:rowOff>
    </xdr:to>
    <xdr:sp macro="" textlink="">
      <xdr:nvSpPr>
        <xdr:cNvPr id="144" name="Rettangolo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7912100" y="190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1</xdr:colOff>
      <xdr:row>3</xdr:row>
      <xdr:rowOff>0</xdr:rowOff>
    </xdr:from>
    <xdr:to>
      <xdr:col>27</xdr:col>
      <xdr:colOff>1</xdr:colOff>
      <xdr:row>4</xdr:row>
      <xdr:rowOff>0</xdr:rowOff>
    </xdr:to>
    <xdr:sp macro="" textlink="">
      <xdr:nvSpPr>
        <xdr:cNvPr id="145" name="Rettangolo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7905751" y="381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0</xdr:colOff>
      <xdr:row>7</xdr:row>
      <xdr:rowOff>0</xdr:rowOff>
    </xdr:to>
    <xdr:sp macro="" textlink="">
      <xdr:nvSpPr>
        <xdr:cNvPr id="146" name="Rettangolo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8540750" y="9525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29</xdr:col>
      <xdr:colOff>0</xdr:colOff>
      <xdr:row>8</xdr:row>
      <xdr:rowOff>0</xdr:rowOff>
    </xdr:to>
    <xdr:sp macro="" textlink="">
      <xdr:nvSpPr>
        <xdr:cNvPr id="147" name="Rettangolo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8540750" y="11430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148" name="Rettangolo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8540750" y="5715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29</xdr:col>
      <xdr:colOff>0</xdr:colOff>
      <xdr:row>6</xdr:row>
      <xdr:rowOff>0</xdr:rowOff>
    </xdr:to>
    <xdr:sp macro="" textlink="">
      <xdr:nvSpPr>
        <xdr:cNvPr id="149" name="Rettangolo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8540750" y="7620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4</xdr:row>
      <xdr:rowOff>0</xdr:rowOff>
    </xdr:to>
    <xdr:sp macro="" textlink="">
      <xdr:nvSpPr>
        <xdr:cNvPr id="150" name="Rettangolo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8540750" y="3810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0</xdr:colOff>
      <xdr:row>9</xdr:row>
      <xdr:rowOff>95250</xdr:rowOff>
    </xdr:from>
    <xdr:to>
      <xdr:col>30</xdr:col>
      <xdr:colOff>0</xdr:colOff>
      <xdr:row>9</xdr:row>
      <xdr:rowOff>95250</xdr:rowOff>
    </xdr:to>
    <xdr:cxnSp macro="">
      <xdr:nvCxnSpPr>
        <xdr:cNvPr id="151" name="Connettore 4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CxnSpPr>
          <a:stCxn id="139" idx="1"/>
          <a:endCxn id="16" idx="3"/>
        </xdr:cNvCxnSpPr>
      </xdr:nvCxnSpPr>
      <xdr:spPr>
        <a:xfrm flipH="1">
          <a:off x="9410700" y="1866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8</xdr:row>
      <xdr:rowOff>95250</xdr:rowOff>
    </xdr:from>
    <xdr:to>
      <xdr:col>30</xdr:col>
      <xdr:colOff>0</xdr:colOff>
      <xdr:row>8</xdr:row>
      <xdr:rowOff>95250</xdr:rowOff>
    </xdr:to>
    <xdr:cxnSp macro="">
      <xdr:nvCxnSpPr>
        <xdr:cNvPr id="152" name="Connettore 4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CxnSpPr>
          <a:stCxn id="138" idx="1"/>
          <a:endCxn id="15" idx="3"/>
        </xdr:cNvCxnSpPr>
      </xdr:nvCxnSpPr>
      <xdr:spPr>
        <a:xfrm flipH="1">
          <a:off x="9410700" y="1676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7</xdr:row>
      <xdr:rowOff>95250</xdr:rowOff>
    </xdr:from>
    <xdr:to>
      <xdr:col>30</xdr:col>
      <xdr:colOff>0</xdr:colOff>
      <xdr:row>7</xdr:row>
      <xdr:rowOff>95250</xdr:rowOff>
    </xdr:to>
    <xdr:cxnSp macro="">
      <xdr:nvCxnSpPr>
        <xdr:cNvPr id="153" name="Connettore 4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>
          <a:stCxn id="141" idx="1"/>
          <a:endCxn id="147" idx="3"/>
        </xdr:cNvCxnSpPr>
      </xdr:nvCxnSpPr>
      <xdr:spPr>
        <a:xfrm flipH="1">
          <a:off x="9410700" y="1485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95250</xdr:rowOff>
    </xdr:from>
    <xdr:to>
      <xdr:col>30</xdr:col>
      <xdr:colOff>0</xdr:colOff>
      <xdr:row>6</xdr:row>
      <xdr:rowOff>95250</xdr:rowOff>
    </xdr:to>
    <xdr:cxnSp macro="">
      <xdr:nvCxnSpPr>
        <xdr:cNvPr id="161" name="Connettore 4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CxnSpPr>
          <a:stCxn id="140" idx="1"/>
          <a:endCxn id="146" idx="3"/>
        </xdr:cNvCxnSpPr>
      </xdr:nvCxnSpPr>
      <xdr:spPr>
        <a:xfrm flipH="1">
          <a:off x="9410700" y="1295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</xdr:row>
      <xdr:rowOff>95250</xdr:rowOff>
    </xdr:from>
    <xdr:to>
      <xdr:col>30</xdr:col>
      <xdr:colOff>0</xdr:colOff>
      <xdr:row>5</xdr:row>
      <xdr:rowOff>95250</xdr:rowOff>
    </xdr:to>
    <xdr:cxnSp macro="">
      <xdr:nvCxnSpPr>
        <xdr:cNvPr id="162" name="Connettore 4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CxnSpPr>
          <a:stCxn id="143" idx="1"/>
          <a:endCxn id="149" idx="3"/>
        </xdr:cNvCxnSpPr>
      </xdr:nvCxnSpPr>
      <xdr:spPr>
        <a:xfrm flipH="1">
          <a:off x="9410700" y="1104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4</xdr:row>
      <xdr:rowOff>95250</xdr:rowOff>
    </xdr:from>
    <xdr:to>
      <xdr:col>30</xdr:col>
      <xdr:colOff>0</xdr:colOff>
      <xdr:row>4</xdr:row>
      <xdr:rowOff>95250</xdr:rowOff>
    </xdr:to>
    <xdr:cxnSp macro="">
      <xdr:nvCxnSpPr>
        <xdr:cNvPr id="163" name="Connettore 4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CxnSpPr>
          <a:stCxn id="142" idx="1"/>
          <a:endCxn id="148" idx="3"/>
        </xdr:cNvCxnSpPr>
      </xdr:nvCxnSpPr>
      <xdr:spPr>
        <a:xfrm flipH="1">
          <a:off x="9410700" y="914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</xdr:colOff>
      <xdr:row>3</xdr:row>
      <xdr:rowOff>95250</xdr:rowOff>
    </xdr:from>
    <xdr:to>
      <xdr:col>28</xdr:col>
      <xdr:colOff>0</xdr:colOff>
      <xdr:row>3</xdr:row>
      <xdr:rowOff>95250</xdr:rowOff>
    </xdr:to>
    <xdr:cxnSp macro="">
      <xdr:nvCxnSpPr>
        <xdr:cNvPr id="171" name="Connettore 4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CxnSpPr>
          <a:stCxn id="150" idx="1"/>
          <a:endCxn id="145" idx="3"/>
        </xdr:cNvCxnSpPr>
      </xdr:nvCxnSpPr>
      <xdr:spPr>
        <a:xfrm flipH="1">
          <a:off x="8715376" y="723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</xdr:row>
      <xdr:rowOff>95250</xdr:rowOff>
    </xdr:from>
    <xdr:to>
      <xdr:col>28</xdr:col>
      <xdr:colOff>0</xdr:colOff>
      <xdr:row>2</xdr:row>
      <xdr:rowOff>95250</xdr:rowOff>
    </xdr:to>
    <xdr:cxnSp macro="">
      <xdr:nvCxnSpPr>
        <xdr:cNvPr id="172" name="Connettore 4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53" idx="1"/>
          <a:endCxn id="144" idx="3"/>
        </xdr:cNvCxnSpPr>
      </xdr:nvCxnSpPr>
      <xdr:spPr>
        <a:xfrm flipH="1">
          <a:off x="8715375" y="533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2</xdr:row>
      <xdr:rowOff>0</xdr:rowOff>
    </xdr:from>
    <xdr:to>
      <xdr:col>20</xdr:col>
      <xdr:colOff>1</xdr:colOff>
      <xdr:row>3</xdr:row>
      <xdr:rowOff>0</xdr:rowOff>
    </xdr:to>
    <xdr:sp macro="" textlink="">
      <xdr:nvSpPr>
        <xdr:cNvPr id="183" name="Rettangolo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>
          <a:off x="7912101" y="190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1</xdr:colOff>
      <xdr:row>3</xdr:row>
      <xdr:rowOff>0</xdr:rowOff>
    </xdr:from>
    <xdr:to>
      <xdr:col>20</xdr:col>
      <xdr:colOff>1</xdr:colOff>
      <xdr:row>4</xdr:row>
      <xdr:rowOff>0</xdr:rowOff>
    </xdr:to>
    <xdr:sp macro="" textlink="">
      <xdr:nvSpPr>
        <xdr:cNvPr id="184" name="Rettangolo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>
          <a:off x="7912101" y="381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24</xdr:col>
      <xdr:colOff>0</xdr:colOff>
      <xdr:row>9</xdr:row>
      <xdr:rowOff>0</xdr:rowOff>
    </xdr:to>
    <xdr:sp macro="" textlink="">
      <xdr:nvSpPr>
        <xdr:cNvPr id="185" name="Rettangolo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>
          <a:off x="6769100" y="133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186" name="Rettangolo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>
          <a:off x="6769100" y="1524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6</xdr:row>
      <xdr:rowOff>0</xdr:rowOff>
    </xdr:from>
    <xdr:to>
      <xdr:col>24</xdr:col>
      <xdr:colOff>0</xdr:colOff>
      <xdr:row>7</xdr:row>
      <xdr:rowOff>0</xdr:rowOff>
    </xdr:to>
    <xdr:sp macro="" textlink="">
      <xdr:nvSpPr>
        <xdr:cNvPr id="187" name="Rettangolo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>
        <a:xfrm>
          <a:off x="6769100" y="95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7</xdr:row>
      <xdr:rowOff>0</xdr:rowOff>
    </xdr:from>
    <xdr:to>
      <xdr:col>24</xdr:col>
      <xdr:colOff>0</xdr:colOff>
      <xdr:row>8</xdr:row>
      <xdr:rowOff>0</xdr:rowOff>
    </xdr:to>
    <xdr:sp macro="" textlink="">
      <xdr:nvSpPr>
        <xdr:cNvPr id="188" name="Rettangolo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/>
      </xdr:nvSpPr>
      <xdr:spPr>
        <a:xfrm>
          <a:off x="6769100" y="1143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189" name="Rettangolo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/>
      </xdr:nvSpPr>
      <xdr:spPr>
        <a:xfrm>
          <a:off x="6769100" y="571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5</xdr:row>
      <xdr:rowOff>0</xdr:rowOff>
    </xdr:from>
    <xdr:to>
      <xdr:col>24</xdr:col>
      <xdr:colOff>0</xdr:colOff>
      <xdr:row>6</xdr:row>
      <xdr:rowOff>0</xdr:rowOff>
    </xdr:to>
    <xdr:sp macro="" textlink="">
      <xdr:nvSpPr>
        <xdr:cNvPr id="190" name="Rettangolo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>
        <a:xfrm>
          <a:off x="6769100" y="762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0</xdr:colOff>
      <xdr:row>9</xdr:row>
      <xdr:rowOff>95250</xdr:rowOff>
    </xdr:from>
    <xdr:to>
      <xdr:col>23</xdr:col>
      <xdr:colOff>0</xdr:colOff>
      <xdr:row>9</xdr:row>
      <xdr:rowOff>95250</xdr:rowOff>
    </xdr:to>
    <xdr:cxnSp macro="">
      <xdr:nvCxnSpPr>
        <xdr:cNvPr id="191" name="Connettore 4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6" idx="1"/>
          <a:endCxn id="95" idx="3"/>
        </xdr:cNvCxnSpPr>
      </xdr:nvCxnSpPr>
      <xdr:spPr>
        <a:xfrm flipH="1">
          <a:off x="6943725" y="1866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</xdr:row>
      <xdr:rowOff>95250</xdr:rowOff>
    </xdr:from>
    <xdr:to>
      <xdr:col>23</xdr:col>
      <xdr:colOff>0</xdr:colOff>
      <xdr:row>8</xdr:row>
      <xdr:rowOff>95250</xdr:rowOff>
    </xdr:to>
    <xdr:cxnSp macro="">
      <xdr:nvCxnSpPr>
        <xdr:cNvPr id="192" name="Connettore 4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CxnSpPr>
          <a:stCxn id="185" idx="1"/>
          <a:endCxn id="96" idx="3"/>
        </xdr:cNvCxnSpPr>
      </xdr:nvCxnSpPr>
      <xdr:spPr>
        <a:xfrm flipH="1">
          <a:off x="6943725" y="1676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7</xdr:row>
      <xdr:rowOff>95250</xdr:rowOff>
    </xdr:from>
    <xdr:to>
      <xdr:col>23</xdr:col>
      <xdr:colOff>0</xdr:colOff>
      <xdr:row>7</xdr:row>
      <xdr:rowOff>95250</xdr:rowOff>
    </xdr:to>
    <xdr:cxnSp macro="">
      <xdr:nvCxnSpPr>
        <xdr:cNvPr id="193" name="Connettore 4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CxnSpPr>
          <a:stCxn id="188" idx="1"/>
          <a:endCxn id="198" idx="3"/>
        </xdr:cNvCxnSpPr>
      </xdr:nvCxnSpPr>
      <xdr:spPr>
        <a:xfrm flipH="1">
          <a:off x="6943725" y="1485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6</xdr:row>
      <xdr:rowOff>95250</xdr:rowOff>
    </xdr:from>
    <xdr:to>
      <xdr:col>23</xdr:col>
      <xdr:colOff>0</xdr:colOff>
      <xdr:row>6</xdr:row>
      <xdr:rowOff>95250</xdr:rowOff>
    </xdr:to>
    <xdr:cxnSp macro="">
      <xdr:nvCxnSpPr>
        <xdr:cNvPr id="194" name="Connettore 4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CxnSpPr>
          <a:stCxn id="187" idx="1"/>
          <a:endCxn id="197" idx="3"/>
        </xdr:cNvCxnSpPr>
      </xdr:nvCxnSpPr>
      <xdr:spPr>
        <a:xfrm flipH="1">
          <a:off x="6943725" y="1295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5</xdr:row>
      <xdr:rowOff>95250</xdr:rowOff>
    </xdr:from>
    <xdr:to>
      <xdr:col>23</xdr:col>
      <xdr:colOff>0</xdr:colOff>
      <xdr:row>5</xdr:row>
      <xdr:rowOff>95250</xdr:rowOff>
    </xdr:to>
    <xdr:cxnSp macro="">
      <xdr:nvCxnSpPr>
        <xdr:cNvPr id="195" name="Connettore 4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CxnSpPr>
          <a:stCxn id="190" idx="1"/>
          <a:endCxn id="200" idx="3"/>
        </xdr:cNvCxnSpPr>
      </xdr:nvCxnSpPr>
      <xdr:spPr>
        <a:xfrm flipH="1">
          <a:off x="6943725" y="1104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</xdr:row>
      <xdr:rowOff>95250</xdr:rowOff>
    </xdr:from>
    <xdr:to>
      <xdr:col>23</xdr:col>
      <xdr:colOff>0</xdr:colOff>
      <xdr:row>4</xdr:row>
      <xdr:rowOff>95250</xdr:rowOff>
    </xdr:to>
    <xdr:cxnSp macro="">
      <xdr:nvCxnSpPr>
        <xdr:cNvPr id="196" name="Connettore 4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CxnSpPr>
          <a:stCxn id="189" idx="1"/>
          <a:endCxn id="199" idx="3"/>
        </xdr:cNvCxnSpPr>
      </xdr:nvCxnSpPr>
      <xdr:spPr>
        <a:xfrm flipH="1">
          <a:off x="6943725" y="914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0</xdr:rowOff>
    </xdr:from>
    <xdr:to>
      <xdr:col>22</xdr:col>
      <xdr:colOff>0</xdr:colOff>
      <xdr:row>7</xdr:row>
      <xdr:rowOff>0</xdr:rowOff>
    </xdr:to>
    <xdr:sp macro="" textlink="">
      <xdr:nvSpPr>
        <xdr:cNvPr id="197" name="Rettangolo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>
        <a:xfrm>
          <a:off x="6070600" y="9525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7</xdr:row>
      <xdr:rowOff>0</xdr:rowOff>
    </xdr:from>
    <xdr:to>
      <xdr:col>22</xdr:col>
      <xdr:colOff>0</xdr:colOff>
      <xdr:row>8</xdr:row>
      <xdr:rowOff>0</xdr:rowOff>
    </xdr:to>
    <xdr:sp macro="" textlink="">
      <xdr:nvSpPr>
        <xdr:cNvPr id="198" name="Rettangolo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>
        <a:xfrm>
          <a:off x="6070600" y="11430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199" name="Rettangolo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>
        <a:xfrm>
          <a:off x="6070600" y="5715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5</xdr:row>
      <xdr:rowOff>0</xdr:rowOff>
    </xdr:from>
    <xdr:to>
      <xdr:col>22</xdr:col>
      <xdr:colOff>0</xdr:colOff>
      <xdr:row>6</xdr:row>
      <xdr:rowOff>0</xdr:rowOff>
    </xdr:to>
    <xdr:sp macro="" textlink="">
      <xdr:nvSpPr>
        <xdr:cNvPr id="200" name="Rettangolo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/>
      </xdr:nvSpPr>
      <xdr:spPr>
        <a:xfrm>
          <a:off x="6070600" y="7620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4</xdr:row>
      <xdr:rowOff>0</xdr:rowOff>
    </xdr:to>
    <xdr:sp macro="" textlink="">
      <xdr:nvSpPr>
        <xdr:cNvPr id="207" name="Rettangolo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>
        <a:xfrm>
          <a:off x="6070600" y="381000"/>
          <a:ext cx="45085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1</xdr:colOff>
      <xdr:row>3</xdr:row>
      <xdr:rowOff>95250</xdr:rowOff>
    </xdr:from>
    <xdr:to>
      <xdr:col>21</xdr:col>
      <xdr:colOff>0</xdr:colOff>
      <xdr:row>3</xdr:row>
      <xdr:rowOff>95250</xdr:rowOff>
    </xdr:to>
    <xdr:cxnSp macro="">
      <xdr:nvCxnSpPr>
        <xdr:cNvPr id="209" name="Connettore 4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CxnSpPr>
          <a:stCxn id="207" idx="1"/>
          <a:endCxn id="184" idx="3"/>
        </xdr:cNvCxnSpPr>
      </xdr:nvCxnSpPr>
      <xdr:spPr>
        <a:xfrm flipH="1">
          <a:off x="6248401" y="723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</xdr:colOff>
      <xdr:row>2</xdr:row>
      <xdr:rowOff>95250</xdr:rowOff>
    </xdr:from>
    <xdr:to>
      <xdr:col>21</xdr:col>
      <xdr:colOff>0</xdr:colOff>
      <xdr:row>2</xdr:row>
      <xdr:rowOff>95250</xdr:rowOff>
    </xdr:to>
    <xdr:cxnSp macro="">
      <xdr:nvCxnSpPr>
        <xdr:cNvPr id="210" name="Connettore 4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CxnSpPr>
          <a:stCxn id="94" idx="1"/>
          <a:endCxn id="183" idx="3"/>
        </xdr:cNvCxnSpPr>
      </xdr:nvCxnSpPr>
      <xdr:spPr>
        <a:xfrm flipH="1">
          <a:off x="6248401" y="5334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8</xdr:row>
      <xdr:rowOff>0</xdr:rowOff>
    </xdr:from>
    <xdr:to>
      <xdr:col>20</xdr:col>
      <xdr:colOff>0</xdr:colOff>
      <xdr:row>12</xdr:row>
      <xdr:rowOff>0</xdr:rowOff>
    </xdr:to>
    <xdr:sp macro="" textlink="">
      <xdr:nvSpPr>
        <xdr:cNvPr id="215" name="Rettangolo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/>
      </xdr:nvSpPr>
      <xdr:spPr>
        <a:xfrm>
          <a:off x="5441950" y="1333500"/>
          <a:ext cx="381000" cy="7620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sp macro="" textlink="">
      <xdr:nvSpPr>
        <xdr:cNvPr id="216" name="Rettangolo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/>
      </xdr:nvSpPr>
      <xdr:spPr>
        <a:xfrm>
          <a:off x="5441950" y="13335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sp macro="" textlink="">
      <xdr:nvSpPr>
        <xdr:cNvPr id="217" name="Rettangolo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>
        <a:xfrm>
          <a:off x="5441950" y="15240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0</xdr:colOff>
      <xdr:row>9</xdr:row>
      <xdr:rowOff>95250</xdr:rowOff>
    </xdr:from>
    <xdr:to>
      <xdr:col>21</xdr:col>
      <xdr:colOff>0</xdr:colOff>
      <xdr:row>9</xdr:row>
      <xdr:rowOff>95250</xdr:rowOff>
    </xdr:to>
    <xdr:cxnSp macro="">
      <xdr:nvCxnSpPr>
        <xdr:cNvPr id="225" name="Connettore 4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CxnSpPr>
          <a:stCxn id="95" idx="1"/>
          <a:endCxn id="217" idx="3"/>
        </xdr:cNvCxnSpPr>
      </xdr:nvCxnSpPr>
      <xdr:spPr>
        <a:xfrm flipH="1">
          <a:off x="6248400" y="18669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</xdr:row>
      <xdr:rowOff>95250</xdr:rowOff>
    </xdr:from>
    <xdr:to>
      <xdr:col>21</xdr:col>
      <xdr:colOff>0</xdr:colOff>
      <xdr:row>8</xdr:row>
      <xdr:rowOff>95250</xdr:rowOff>
    </xdr:to>
    <xdr:cxnSp macro="">
      <xdr:nvCxnSpPr>
        <xdr:cNvPr id="226" name="Connettore 4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CxnSpPr>
          <a:stCxn id="96" idx="1"/>
          <a:endCxn id="216" idx="3"/>
        </xdr:cNvCxnSpPr>
      </xdr:nvCxnSpPr>
      <xdr:spPr>
        <a:xfrm flipH="1">
          <a:off x="6248400" y="16764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13</xdr:row>
      <xdr:rowOff>95250</xdr:rowOff>
    </xdr:from>
    <xdr:to>
      <xdr:col>23</xdr:col>
      <xdr:colOff>0</xdr:colOff>
      <xdr:row>13</xdr:row>
      <xdr:rowOff>95250</xdr:rowOff>
    </xdr:to>
    <xdr:cxnSp macro="">
      <xdr:nvCxnSpPr>
        <xdr:cNvPr id="231" name="Connettore 4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CxnSpPr>
          <a:stCxn id="2" idx="1"/>
          <a:endCxn id="9" idx="3"/>
        </xdr:cNvCxnSpPr>
      </xdr:nvCxnSpPr>
      <xdr:spPr>
        <a:xfrm flipH="1">
          <a:off x="6248400" y="2628900"/>
          <a:ext cx="9429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189706</xdr:colOff>
      <xdr:row>12</xdr:row>
      <xdr:rowOff>794</xdr:rowOff>
    </xdr:from>
    <xdr:to>
      <xdr:col>19</xdr:col>
      <xdr:colOff>191294</xdr:colOff>
      <xdr:row>13</xdr:row>
      <xdr:rowOff>794</xdr:rowOff>
    </xdr:to>
    <xdr:cxnSp macro="">
      <xdr:nvCxnSpPr>
        <xdr:cNvPr id="234" name="Connettore 4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CxnSpPr>
          <a:stCxn id="9" idx="0"/>
          <a:endCxn id="215" idx="2"/>
        </xdr:cNvCxnSpPr>
      </xdr:nvCxnSpPr>
      <xdr:spPr>
        <a:xfrm rot="5400000" flipH="1" flipV="1">
          <a:off x="5537200" y="2190750"/>
          <a:ext cx="190500" cy="158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15</xdr:row>
      <xdr:rowOff>95250</xdr:rowOff>
    </xdr:from>
    <xdr:to>
      <xdr:col>23</xdr:col>
      <xdr:colOff>190500</xdr:colOff>
      <xdr:row>17</xdr:row>
      <xdr:rowOff>0</xdr:rowOff>
    </xdr:to>
    <xdr:cxnSp macro="">
      <xdr:nvCxnSpPr>
        <xdr:cNvPr id="237" name="Connettore 4 27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CxnSpPr>
          <a:stCxn id="102" idx="3"/>
          <a:endCxn id="97" idx="0"/>
        </xdr:cNvCxnSpPr>
      </xdr:nvCxnSpPr>
      <xdr:spPr>
        <a:xfrm>
          <a:off x="5822950" y="2762250"/>
          <a:ext cx="1136650" cy="2857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190500</xdr:colOff>
      <xdr:row>18</xdr:row>
      <xdr:rowOff>0</xdr:rowOff>
    </xdr:from>
    <xdr:to>
      <xdr:col>23</xdr:col>
      <xdr:colOff>190500</xdr:colOff>
      <xdr:row>19</xdr:row>
      <xdr:rowOff>1</xdr:rowOff>
    </xdr:to>
    <xdr:cxnSp macro="">
      <xdr:nvCxnSpPr>
        <xdr:cNvPr id="240" name="Connettore 4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CxnSpPr>
          <a:stCxn id="97" idx="2"/>
          <a:endCxn id="85" idx="0"/>
        </xdr:cNvCxnSpPr>
      </xdr:nvCxnSpPr>
      <xdr:spPr>
        <a:xfrm>
          <a:off x="7381875" y="3486150"/>
          <a:ext cx="0" cy="19050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190500</xdr:colOff>
      <xdr:row>20</xdr:row>
      <xdr:rowOff>1</xdr:rowOff>
    </xdr:from>
    <xdr:to>
      <xdr:col>23</xdr:col>
      <xdr:colOff>190500</xdr:colOff>
      <xdr:row>21</xdr:row>
      <xdr:rowOff>0</xdr:rowOff>
    </xdr:to>
    <xdr:cxnSp macro="">
      <xdr:nvCxnSpPr>
        <xdr:cNvPr id="241" name="Connettore 4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CxnSpPr>
          <a:stCxn id="85" idx="2"/>
          <a:endCxn id="98" idx="0"/>
        </xdr:cNvCxnSpPr>
      </xdr:nvCxnSpPr>
      <xdr:spPr>
        <a:xfrm>
          <a:off x="7381875" y="3867151"/>
          <a:ext cx="0" cy="1904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190500</xdr:colOff>
      <xdr:row>17</xdr:row>
      <xdr:rowOff>95249</xdr:rowOff>
    </xdr:from>
    <xdr:to>
      <xdr:col>23</xdr:col>
      <xdr:colOff>0</xdr:colOff>
      <xdr:row>19</xdr:row>
      <xdr:rowOff>0</xdr:rowOff>
    </xdr:to>
    <xdr:cxnSp macro="">
      <xdr:nvCxnSpPr>
        <xdr:cNvPr id="249" name="Connettore 4 34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CxnSpPr>
          <a:stCxn id="97" idx="1"/>
          <a:endCxn id="82" idx="0"/>
        </xdr:cNvCxnSpPr>
      </xdr:nvCxnSpPr>
      <xdr:spPr>
        <a:xfrm rot="10800000" flipV="1">
          <a:off x="5632450" y="3143249"/>
          <a:ext cx="1136650" cy="28575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19</xdr:row>
      <xdr:rowOff>95252</xdr:rowOff>
    </xdr:from>
    <xdr:to>
      <xdr:col>23</xdr:col>
      <xdr:colOff>0</xdr:colOff>
      <xdr:row>21</xdr:row>
      <xdr:rowOff>95251</xdr:rowOff>
    </xdr:to>
    <xdr:cxnSp macro="">
      <xdr:nvCxnSpPr>
        <xdr:cNvPr id="252" name="Connettore 4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CxnSpPr>
          <a:stCxn id="98" idx="1"/>
          <a:endCxn id="82" idx="3"/>
        </xdr:cNvCxnSpPr>
      </xdr:nvCxnSpPr>
      <xdr:spPr>
        <a:xfrm rot="10800000">
          <a:off x="5822950" y="3524252"/>
          <a:ext cx="946150" cy="38099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190500</xdr:colOff>
      <xdr:row>25</xdr:row>
      <xdr:rowOff>0</xdr:rowOff>
    </xdr:from>
    <xdr:to>
      <xdr:col>19</xdr:col>
      <xdr:colOff>190500</xdr:colOff>
      <xdr:row>26</xdr:row>
      <xdr:rowOff>0</xdr:rowOff>
    </xdr:to>
    <xdr:cxnSp macro="">
      <xdr:nvCxnSpPr>
        <xdr:cNvPr id="255" name="Connettore 4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CxnSpPr>
          <a:stCxn id="83" idx="2"/>
          <a:endCxn id="60" idx="0"/>
        </xdr:cNvCxnSpPr>
      </xdr:nvCxnSpPr>
      <xdr:spPr>
        <a:xfrm>
          <a:off x="6057900" y="4819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190500</xdr:colOff>
      <xdr:row>14</xdr:row>
      <xdr:rowOff>0</xdr:rowOff>
    </xdr:from>
    <xdr:to>
      <xdr:col>20</xdr:col>
      <xdr:colOff>0</xdr:colOff>
      <xdr:row>23</xdr:row>
      <xdr:rowOff>95250</xdr:rowOff>
    </xdr:to>
    <xdr:cxnSp macro="">
      <xdr:nvCxnSpPr>
        <xdr:cNvPr id="260" name="Connettore 4 72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CxnSpPr>
          <a:stCxn id="9" idx="2"/>
          <a:endCxn id="83" idx="3"/>
        </xdr:cNvCxnSpPr>
      </xdr:nvCxnSpPr>
      <xdr:spPr>
        <a:xfrm rot="16200000" flipH="1">
          <a:off x="4822825" y="3286125"/>
          <a:ext cx="1809750" cy="190500"/>
        </a:xfrm>
        <a:prstGeom prst="bentConnector4">
          <a:avLst>
            <a:gd name="adj1" fmla="val 5614"/>
            <a:gd name="adj2" fmla="val 22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8</xdr:row>
      <xdr:rowOff>0</xdr:rowOff>
    </xdr:from>
    <xdr:to>
      <xdr:col>17</xdr:col>
      <xdr:colOff>0</xdr:colOff>
      <xdr:row>9</xdr:row>
      <xdr:rowOff>0</xdr:rowOff>
    </xdr:to>
    <xdr:sp macro="" textlink="">
      <xdr:nvSpPr>
        <xdr:cNvPr id="265" name="Rettangolo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/>
      </xdr:nvSpPr>
      <xdr:spPr>
        <a:xfrm>
          <a:off x="6762750" y="133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10</xdr:row>
      <xdr:rowOff>0</xdr:rowOff>
    </xdr:to>
    <xdr:sp macro="" textlink="">
      <xdr:nvSpPr>
        <xdr:cNvPr id="266" name="Rettangolo 265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/>
      </xdr:nvSpPr>
      <xdr:spPr>
        <a:xfrm>
          <a:off x="6762750" y="1524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67" name="Rettangolo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/>
      </xdr:nvSpPr>
      <xdr:spPr>
        <a:xfrm>
          <a:off x="6762750" y="95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17</xdr:col>
      <xdr:colOff>0</xdr:colOff>
      <xdr:row>8</xdr:row>
      <xdr:rowOff>0</xdr:rowOff>
    </xdr:to>
    <xdr:sp macro="" textlink="">
      <xdr:nvSpPr>
        <xdr:cNvPr id="268" name="Rettangolo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/>
      </xdr:nvSpPr>
      <xdr:spPr>
        <a:xfrm>
          <a:off x="6762750" y="1143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269" name="Rettangolo 268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>
        <a:xfrm>
          <a:off x="6762750" y="571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270" name="Rettangolo 269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>
        <a:xfrm>
          <a:off x="6762750" y="762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13</xdr:row>
      <xdr:rowOff>0</xdr:rowOff>
    </xdr:from>
    <xdr:to>
      <xdr:col>17</xdr:col>
      <xdr:colOff>1</xdr:colOff>
      <xdr:row>14</xdr:row>
      <xdr:rowOff>0</xdr:rowOff>
    </xdr:to>
    <xdr:sp macro="" textlink="">
      <xdr:nvSpPr>
        <xdr:cNvPr id="273" name="Rettangolo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/>
      </xdr:nvSpPr>
      <xdr:spPr>
        <a:xfrm>
          <a:off x="4295776" y="228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13</xdr:row>
      <xdr:rowOff>0</xdr:rowOff>
    </xdr:from>
    <xdr:to>
      <xdr:col>13</xdr:col>
      <xdr:colOff>1</xdr:colOff>
      <xdr:row>14</xdr:row>
      <xdr:rowOff>0</xdr:rowOff>
    </xdr:to>
    <xdr:sp macro="" textlink="">
      <xdr:nvSpPr>
        <xdr:cNvPr id="274" name="Rettangolo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/>
      </xdr:nvSpPr>
      <xdr:spPr>
        <a:xfrm>
          <a:off x="2971801" y="228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13</xdr:col>
      <xdr:colOff>1</xdr:colOff>
      <xdr:row>13</xdr:row>
      <xdr:rowOff>95250</xdr:rowOff>
    </xdr:from>
    <xdr:to>
      <xdr:col>16</xdr:col>
      <xdr:colOff>1</xdr:colOff>
      <xdr:row>13</xdr:row>
      <xdr:rowOff>95250</xdr:rowOff>
    </xdr:to>
    <xdr:cxnSp macro="">
      <xdr:nvCxnSpPr>
        <xdr:cNvPr id="275" name="Connettore 4 27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CxnSpPr>
          <a:stCxn id="273" idx="1"/>
          <a:endCxn id="274" idx="3"/>
        </xdr:cNvCxnSpPr>
      </xdr:nvCxnSpPr>
      <xdr:spPr>
        <a:xfrm flipH="1">
          <a:off x="3781426" y="2628900"/>
          <a:ext cx="9429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</xdr:colOff>
      <xdr:row>15</xdr:row>
      <xdr:rowOff>0</xdr:rowOff>
    </xdr:from>
    <xdr:to>
      <xdr:col>13</xdr:col>
      <xdr:colOff>1</xdr:colOff>
      <xdr:row>16</xdr:row>
      <xdr:rowOff>0</xdr:rowOff>
    </xdr:to>
    <xdr:sp macro="" textlink="">
      <xdr:nvSpPr>
        <xdr:cNvPr id="276" name="Rettangolo 275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/>
      </xdr:nvSpPr>
      <xdr:spPr>
        <a:xfrm>
          <a:off x="2971801" y="2667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8</xdr:row>
      <xdr:rowOff>0</xdr:rowOff>
    </xdr:from>
    <xdr:to>
      <xdr:col>13</xdr:col>
      <xdr:colOff>1</xdr:colOff>
      <xdr:row>12</xdr:row>
      <xdr:rowOff>0</xdr:rowOff>
    </xdr:to>
    <xdr:sp macro="" textlink="">
      <xdr:nvSpPr>
        <xdr:cNvPr id="277" name="Rettangolo 276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/>
      </xdr:nvSpPr>
      <xdr:spPr>
        <a:xfrm>
          <a:off x="2971801" y="1333500"/>
          <a:ext cx="381000" cy="7620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190501</xdr:colOff>
      <xdr:row>12</xdr:row>
      <xdr:rowOff>0</xdr:rowOff>
    </xdr:from>
    <xdr:to>
      <xdr:col>12</xdr:col>
      <xdr:colOff>190501</xdr:colOff>
      <xdr:row>13</xdr:row>
      <xdr:rowOff>0</xdr:rowOff>
    </xdr:to>
    <xdr:cxnSp macro="">
      <xdr:nvCxnSpPr>
        <xdr:cNvPr id="278" name="Connettore 4 277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CxnSpPr>
          <a:stCxn id="274" idx="0"/>
          <a:endCxn id="277" idx="2"/>
        </xdr:cNvCxnSpPr>
      </xdr:nvCxnSpPr>
      <xdr:spPr>
        <a:xfrm flipV="1">
          <a:off x="3590926" y="2343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</xdr:colOff>
      <xdr:row>8</xdr:row>
      <xdr:rowOff>0</xdr:rowOff>
    </xdr:from>
    <xdr:to>
      <xdr:col>15</xdr:col>
      <xdr:colOff>1</xdr:colOff>
      <xdr:row>9</xdr:row>
      <xdr:rowOff>0</xdr:rowOff>
    </xdr:to>
    <xdr:sp macro="" textlink="">
      <xdr:nvSpPr>
        <xdr:cNvPr id="279" name="Rettangolo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/>
      </xdr:nvSpPr>
      <xdr:spPr>
        <a:xfrm>
          <a:off x="3600451" y="13335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1</xdr:colOff>
      <xdr:row>9</xdr:row>
      <xdr:rowOff>0</xdr:rowOff>
    </xdr:from>
    <xdr:to>
      <xdr:col>15</xdr:col>
      <xdr:colOff>1</xdr:colOff>
      <xdr:row>10</xdr:row>
      <xdr:rowOff>0</xdr:rowOff>
    </xdr:to>
    <xdr:sp macro="" textlink="">
      <xdr:nvSpPr>
        <xdr:cNvPr id="280" name="Rettangolo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/>
      </xdr:nvSpPr>
      <xdr:spPr>
        <a:xfrm>
          <a:off x="3600451" y="15240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8</xdr:row>
      <xdr:rowOff>0</xdr:rowOff>
    </xdr:from>
    <xdr:to>
      <xdr:col>13</xdr:col>
      <xdr:colOff>1</xdr:colOff>
      <xdr:row>9</xdr:row>
      <xdr:rowOff>0</xdr:rowOff>
    </xdr:to>
    <xdr:sp macro="" textlink="">
      <xdr:nvSpPr>
        <xdr:cNvPr id="281" name="Rettangolo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/>
      </xdr:nvSpPr>
      <xdr:spPr>
        <a:xfrm>
          <a:off x="2971801" y="13335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9</xdr:row>
      <xdr:rowOff>0</xdr:rowOff>
    </xdr:from>
    <xdr:to>
      <xdr:col>13</xdr:col>
      <xdr:colOff>1</xdr:colOff>
      <xdr:row>10</xdr:row>
      <xdr:rowOff>0</xdr:rowOff>
    </xdr:to>
    <xdr:sp macro="" textlink="">
      <xdr:nvSpPr>
        <xdr:cNvPr id="282" name="Rettangolo 281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/>
      </xdr:nvSpPr>
      <xdr:spPr>
        <a:xfrm>
          <a:off x="2971801" y="15240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13</xdr:col>
      <xdr:colOff>1</xdr:colOff>
      <xdr:row>9</xdr:row>
      <xdr:rowOff>95250</xdr:rowOff>
    </xdr:from>
    <xdr:to>
      <xdr:col>14</xdr:col>
      <xdr:colOff>1</xdr:colOff>
      <xdr:row>9</xdr:row>
      <xdr:rowOff>95250</xdr:rowOff>
    </xdr:to>
    <xdr:cxnSp macro="">
      <xdr:nvCxnSpPr>
        <xdr:cNvPr id="283" name="Connettore 4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CxnSpPr>
          <a:stCxn id="280" idx="1"/>
          <a:endCxn id="282" idx="3"/>
        </xdr:cNvCxnSpPr>
      </xdr:nvCxnSpPr>
      <xdr:spPr>
        <a:xfrm flipH="1">
          <a:off x="3781426" y="18669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8</xdr:row>
      <xdr:rowOff>95250</xdr:rowOff>
    </xdr:from>
    <xdr:to>
      <xdr:col>14</xdr:col>
      <xdr:colOff>1</xdr:colOff>
      <xdr:row>8</xdr:row>
      <xdr:rowOff>95250</xdr:rowOff>
    </xdr:to>
    <xdr:cxnSp macro="">
      <xdr:nvCxnSpPr>
        <xdr:cNvPr id="284" name="Connettore 4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CxnSpPr>
          <a:stCxn id="279" idx="1"/>
          <a:endCxn id="281" idx="3"/>
        </xdr:cNvCxnSpPr>
      </xdr:nvCxnSpPr>
      <xdr:spPr>
        <a:xfrm flipH="1">
          <a:off x="3781426" y="16764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</xdr:colOff>
      <xdr:row>10</xdr:row>
      <xdr:rowOff>0</xdr:rowOff>
    </xdr:from>
    <xdr:to>
      <xdr:col>12</xdr:col>
      <xdr:colOff>1589</xdr:colOff>
      <xdr:row>15</xdr:row>
      <xdr:rowOff>95250</xdr:rowOff>
    </xdr:to>
    <xdr:cxnSp macro="">
      <xdr:nvCxnSpPr>
        <xdr:cNvPr id="285" name="Connettore 4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CxnSpPr>
          <a:stCxn id="277" idx="1"/>
          <a:endCxn id="276" idx="1"/>
        </xdr:cNvCxnSpPr>
      </xdr:nvCxnSpPr>
      <xdr:spPr>
        <a:xfrm rot="10800000" flipV="1">
          <a:off x="2971801" y="1714500"/>
          <a:ext cx="1588" cy="1047750"/>
        </a:xfrm>
        <a:prstGeom prst="bentConnector3">
          <a:avLst>
            <a:gd name="adj1" fmla="val 14743199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15</xdr:row>
      <xdr:rowOff>95250</xdr:rowOff>
    </xdr:from>
    <xdr:to>
      <xdr:col>16</xdr:col>
      <xdr:colOff>190501</xdr:colOff>
      <xdr:row>17</xdr:row>
      <xdr:rowOff>0</xdr:rowOff>
    </xdr:to>
    <xdr:cxnSp macro="">
      <xdr:nvCxnSpPr>
        <xdr:cNvPr id="286" name="Connettore 4 27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CxnSpPr>
          <a:stCxn id="276" idx="3"/>
          <a:endCxn id="287" idx="0"/>
        </xdr:cNvCxnSpPr>
      </xdr:nvCxnSpPr>
      <xdr:spPr>
        <a:xfrm>
          <a:off x="3352801" y="2762250"/>
          <a:ext cx="1133475" cy="2857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17</xdr:row>
      <xdr:rowOff>0</xdr:rowOff>
    </xdr:from>
    <xdr:to>
      <xdr:col>17</xdr:col>
      <xdr:colOff>1</xdr:colOff>
      <xdr:row>18</xdr:row>
      <xdr:rowOff>0</xdr:rowOff>
    </xdr:to>
    <xdr:sp macro="" textlink="">
      <xdr:nvSpPr>
        <xdr:cNvPr id="287" name="Rettangolo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/>
      </xdr:nvSpPr>
      <xdr:spPr>
        <a:xfrm>
          <a:off x="4295776" y="3048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19</xdr:row>
      <xdr:rowOff>1</xdr:rowOff>
    </xdr:from>
    <xdr:to>
      <xdr:col>13</xdr:col>
      <xdr:colOff>1</xdr:colOff>
      <xdr:row>20</xdr:row>
      <xdr:rowOff>1</xdr:rowOff>
    </xdr:to>
    <xdr:sp macro="" textlink="">
      <xdr:nvSpPr>
        <xdr:cNvPr id="288" name="Rettangolo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/>
      </xdr:nvSpPr>
      <xdr:spPr>
        <a:xfrm>
          <a:off x="2971801" y="342900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190501</xdr:colOff>
      <xdr:row>17</xdr:row>
      <xdr:rowOff>95249</xdr:rowOff>
    </xdr:from>
    <xdr:to>
      <xdr:col>16</xdr:col>
      <xdr:colOff>1</xdr:colOff>
      <xdr:row>19</xdr:row>
      <xdr:rowOff>0</xdr:rowOff>
    </xdr:to>
    <xdr:cxnSp macro="">
      <xdr:nvCxnSpPr>
        <xdr:cNvPr id="289" name="Connettore 4 34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CxnSpPr>
          <a:stCxn id="287" idx="1"/>
          <a:endCxn id="288" idx="0"/>
        </xdr:cNvCxnSpPr>
      </xdr:nvCxnSpPr>
      <xdr:spPr>
        <a:xfrm rot="10800000" flipV="1">
          <a:off x="3162301" y="3143249"/>
          <a:ext cx="1133475" cy="28575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</xdr:colOff>
      <xdr:row>22</xdr:row>
      <xdr:rowOff>0</xdr:rowOff>
    </xdr:from>
    <xdr:to>
      <xdr:col>13</xdr:col>
      <xdr:colOff>1</xdr:colOff>
      <xdr:row>25</xdr:row>
      <xdr:rowOff>0</xdr:rowOff>
    </xdr:to>
    <xdr:sp macro="" textlink="">
      <xdr:nvSpPr>
        <xdr:cNvPr id="290" name="Rettangolo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/>
      </xdr:nvSpPr>
      <xdr:spPr>
        <a:xfrm>
          <a:off x="2971801" y="4000500"/>
          <a:ext cx="381000" cy="571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20</xdr:row>
      <xdr:rowOff>0</xdr:rowOff>
    </xdr:from>
    <xdr:to>
      <xdr:col>13</xdr:col>
      <xdr:colOff>1</xdr:colOff>
      <xdr:row>21</xdr:row>
      <xdr:rowOff>0</xdr:rowOff>
    </xdr:to>
    <xdr:sp macro="" textlink="">
      <xdr:nvSpPr>
        <xdr:cNvPr id="291" name="Rettangolo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/>
      </xdr:nvSpPr>
      <xdr:spPr>
        <a:xfrm>
          <a:off x="2971801" y="3619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19</xdr:row>
      <xdr:rowOff>0</xdr:rowOff>
    </xdr:from>
    <xdr:to>
      <xdr:col>17</xdr:col>
      <xdr:colOff>1</xdr:colOff>
      <xdr:row>20</xdr:row>
      <xdr:rowOff>0</xdr:rowOff>
    </xdr:to>
    <xdr:sp macro="" textlink="">
      <xdr:nvSpPr>
        <xdr:cNvPr id="292" name="Rettangolo 291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/>
      </xdr:nvSpPr>
      <xdr:spPr>
        <a:xfrm>
          <a:off x="4295776" y="3429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21</xdr:row>
      <xdr:rowOff>0</xdr:rowOff>
    </xdr:from>
    <xdr:to>
      <xdr:col>17</xdr:col>
      <xdr:colOff>1</xdr:colOff>
      <xdr:row>22</xdr:row>
      <xdr:rowOff>0</xdr:rowOff>
    </xdr:to>
    <xdr:sp macro="" textlink="">
      <xdr:nvSpPr>
        <xdr:cNvPr id="293" name="Rettangolo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/>
      </xdr:nvSpPr>
      <xdr:spPr>
        <a:xfrm>
          <a:off x="4295776" y="3810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190501</xdr:colOff>
      <xdr:row>18</xdr:row>
      <xdr:rowOff>0</xdr:rowOff>
    </xdr:from>
    <xdr:to>
      <xdr:col>16</xdr:col>
      <xdr:colOff>190501</xdr:colOff>
      <xdr:row>19</xdr:row>
      <xdr:rowOff>0</xdr:rowOff>
    </xdr:to>
    <xdr:cxnSp macro="">
      <xdr:nvCxnSpPr>
        <xdr:cNvPr id="294" name="Connettore 4 293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CxnSpPr>
          <a:stCxn id="287" idx="2"/>
          <a:endCxn id="292" idx="0"/>
        </xdr:cNvCxnSpPr>
      </xdr:nvCxnSpPr>
      <xdr:spPr>
        <a:xfrm>
          <a:off x="4914901" y="3486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190501</xdr:colOff>
      <xdr:row>20</xdr:row>
      <xdr:rowOff>0</xdr:rowOff>
    </xdr:from>
    <xdr:to>
      <xdr:col>16</xdr:col>
      <xdr:colOff>190501</xdr:colOff>
      <xdr:row>21</xdr:row>
      <xdr:rowOff>0</xdr:rowOff>
    </xdr:to>
    <xdr:cxnSp macro="">
      <xdr:nvCxnSpPr>
        <xdr:cNvPr id="295" name="Connettore 4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CxnSpPr>
          <a:stCxn id="292" idx="2"/>
          <a:endCxn id="293" idx="0"/>
        </xdr:cNvCxnSpPr>
      </xdr:nvCxnSpPr>
      <xdr:spPr>
        <a:xfrm>
          <a:off x="4914901" y="3867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19</xdr:row>
      <xdr:rowOff>95252</xdr:rowOff>
    </xdr:from>
    <xdr:to>
      <xdr:col>16</xdr:col>
      <xdr:colOff>1</xdr:colOff>
      <xdr:row>21</xdr:row>
      <xdr:rowOff>95251</xdr:rowOff>
    </xdr:to>
    <xdr:cxnSp macro="">
      <xdr:nvCxnSpPr>
        <xdr:cNvPr id="296" name="Connettore 4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CxnSpPr>
          <a:stCxn id="293" idx="1"/>
          <a:endCxn id="288" idx="3"/>
        </xdr:cNvCxnSpPr>
      </xdr:nvCxnSpPr>
      <xdr:spPr>
        <a:xfrm rot="10800000">
          <a:off x="3352801" y="3524252"/>
          <a:ext cx="942975" cy="38099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</xdr:colOff>
      <xdr:row>2</xdr:row>
      <xdr:rowOff>0</xdr:rowOff>
    </xdr:from>
    <xdr:to>
      <xdr:col>15</xdr:col>
      <xdr:colOff>1</xdr:colOff>
      <xdr:row>3</xdr:row>
      <xdr:rowOff>0</xdr:rowOff>
    </xdr:to>
    <xdr:sp macro="" textlink="">
      <xdr:nvSpPr>
        <xdr:cNvPr id="297" name="Rettangolo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/>
      </xdr:nvSpPr>
      <xdr:spPr>
        <a:xfrm>
          <a:off x="3600451" y="1905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1</xdr:colOff>
      <xdr:row>2</xdr:row>
      <xdr:rowOff>95250</xdr:rowOff>
    </xdr:from>
    <xdr:to>
      <xdr:col>17</xdr:col>
      <xdr:colOff>1</xdr:colOff>
      <xdr:row>19</xdr:row>
      <xdr:rowOff>95250</xdr:rowOff>
    </xdr:to>
    <xdr:cxnSp macro="">
      <xdr:nvCxnSpPr>
        <xdr:cNvPr id="298" name="Connettore 4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CxnSpPr>
          <a:stCxn id="297" idx="3"/>
          <a:endCxn id="292" idx="3"/>
        </xdr:cNvCxnSpPr>
      </xdr:nvCxnSpPr>
      <xdr:spPr>
        <a:xfrm>
          <a:off x="4048126" y="285750"/>
          <a:ext cx="628650" cy="3238500"/>
        </a:xfrm>
        <a:prstGeom prst="bentConnector3">
          <a:avLst>
            <a:gd name="adj1" fmla="val 13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0</xdr:rowOff>
    </xdr:from>
    <xdr:to>
      <xdr:col>12</xdr:col>
      <xdr:colOff>190501</xdr:colOff>
      <xdr:row>22</xdr:row>
      <xdr:rowOff>0</xdr:rowOff>
    </xdr:to>
    <xdr:cxnSp macro="">
      <xdr:nvCxnSpPr>
        <xdr:cNvPr id="300" name="Connettore 4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CxnSpPr>
          <a:stCxn id="291" idx="2"/>
          <a:endCxn id="290" idx="0"/>
        </xdr:cNvCxnSpPr>
      </xdr:nvCxnSpPr>
      <xdr:spPr>
        <a:xfrm>
          <a:off x="3590926" y="4057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25</xdr:row>
      <xdr:rowOff>0</xdr:rowOff>
    </xdr:from>
    <xdr:to>
      <xdr:col>12</xdr:col>
      <xdr:colOff>190501</xdr:colOff>
      <xdr:row>26</xdr:row>
      <xdr:rowOff>0</xdr:rowOff>
    </xdr:to>
    <xdr:cxnSp macro="">
      <xdr:nvCxnSpPr>
        <xdr:cNvPr id="301" name="Connettore 4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CxnSpPr>
          <a:stCxn id="290" idx="2"/>
          <a:endCxn id="302" idx="0"/>
        </xdr:cNvCxnSpPr>
      </xdr:nvCxnSpPr>
      <xdr:spPr>
        <a:xfrm>
          <a:off x="3590926" y="4819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</xdr:colOff>
      <xdr:row>26</xdr:row>
      <xdr:rowOff>0</xdr:rowOff>
    </xdr:from>
    <xdr:to>
      <xdr:col>13</xdr:col>
      <xdr:colOff>1</xdr:colOff>
      <xdr:row>27</xdr:row>
      <xdr:rowOff>0</xdr:rowOff>
    </xdr:to>
    <xdr:sp macro="" textlink="">
      <xdr:nvSpPr>
        <xdr:cNvPr id="302" name="Rettangolo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/>
      </xdr:nvSpPr>
      <xdr:spPr>
        <a:xfrm>
          <a:off x="3022601" y="476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28</xdr:row>
      <xdr:rowOff>0</xdr:rowOff>
    </xdr:from>
    <xdr:to>
      <xdr:col>13</xdr:col>
      <xdr:colOff>1</xdr:colOff>
      <xdr:row>29</xdr:row>
      <xdr:rowOff>0</xdr:rowOff>
    </xdr:to>
    <xdr:sp macro="" textlink="">
      <xdr:nvSpPr>
        <xdr:cNvPr id="303" name="Rettangolo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/>
      </xdr:nvSpPr>
      <xdr:spPr>
        <a:xfrm>
          <a:off x="2971801" y="514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190501</xdr:colOff>
      <xdr:row>27</xdr:row>
      <xdr:rowOff>0</xdr:rowOff>
    </xdr:from>
    <xdr:to>
      <xdr:col>12</xdr:col>
      <xdr:colOff>190501</xdr:colOff>
      <xdr:row>28</xdr:row>
      <xdr:rowOff>0</xdr:rowOff>
    </xdr:to>
    <xdr:cxnSp macro="">
      <xdr:nvCxnSpPr>
        <xdr:cNvPr id="304" name="Connettore 4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CxnSpPr>
          <a:stCxn id="302" idx="2"/>
          <a:endCxn id="303" idx="0"/>
        </xdr:cNvCxnSpPr>
      </xdr:nvCxnSpPr>
      <xdr:spPr>
        <a:xfrm>
          <a:off x="3590926" y="5200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14</xdr:row>
      <xdr:rowOff>0</xdr:rowOff>
    </xdr:from>
    <xdr:to>
      <xdr:col>13</xdr:col>
      <xdr:colOff>1</xdr:colOff>
      <xdr:row>23</xdr:row>
      <xdr:rowOff>95250</xdr:rowOff>
    </xdr:to>
    <xdr:cxnSp macro="">
      <xdr:nvCxnSpPr>
        <xdr:cNvPr id="305" name="Connettore 4 72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CxnSpPr>
          <a:stCxn id="274" idx="2"/>
          <a:endCxn id="290" idx="3"/>
        </xdr:cNvCxnSpPr>
      </xdr:nvCxnSpPr>
      <xdr:spPr>
        <a:xfrm rot="16200000" flipH="1">
          <a:off x="2352676" y="3286125"/>
          <a:ext cx="1809750" cy="190500"/>
        </a:xfrm>
        <a:prstGeom prst="bentConnector4">
          <a:avLst>
            <a:gd name="adj1" fmla="val 5965"/>
            <a:gd name="adj2" fmla="val 22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8</xdr:row>
      <xdr:rowOff>0</xdr:rowOff>
    </xdr:from>
    <xdr:to>
      <xdr:col>17</xdr:col>
      <xdr:colOff>1</xdr:colOff>
      <xdr:row>9</xdr:row>
      <xdr:rowOff>0</xdr:rowOff>
    </xdr:to>
    <xdr:sp macro="" textlink="">
      <xdr:nvSpPr>
        <xdr:cNvPr id="307" name="Rettangolo 306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/>
      </xdr:nvSpPr>
      <xdr:spPr>
        <a:xfrm>
          <a:off x="4295776" y="133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9</xdr:row>
      <xdr:rowOff>0</xdr:rowOff>
    </xdr:from>
    <xdr:to>
      <xdr:col>17</xdr:col>
      <xdr:colOff>1</xdr:colOff>
      <xdr:row>10</xdr:row>
      <xdr:rowOff>0</xdr:rowOff>
    </xdr:to>
    <xdr:sp macro="" textlink="">
      <xdr:nvSpPr>
        <xdr:cNvPr id="308" name="Rettangolo 307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/>
      </xdr:nvSpPr>
      <xdr:spPr>
        <a:xfrm>
          <a:off x="4295776" y="1524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6</xdr:row>
      <xdr:rowOff>0</xdr:rowOff>
    </xdr:from>
    <xdr:to>
      <xdr:col>17</xdr:col>
      <xdr:colOff>1</xdr:colOff>
      <xdr:row>7</xdr:row>
      <xdr:rowOff>0</xdr:rowOff>
    </xdr:to>
    <xdr:sp macro="" textlink="">
      <xdr:nvSpPr>
        <xdr:cNvPr id="309" name="Rettangolo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/>
      </xdr:nvSpPr>
      <xdr:spPr>
        <a:xfrm>
          <a:off x="4295776" y="95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7</xdr:row>
      <xdr:rowOff>0</xdr:rowOff>
    </xdr:from>
    <xdr:to>
      <xdr:col>17</xdr:col>
      <xdr:colOff>1</xdr:colOff>
      <xdr:row>8</xdr:row>
      <xdr:rowOff>0</xdr:rowOff>
    </xdr:to>
    <xdr:sp macro="" textlink="">
      <xdr:nvSpPr>
        <xdr:cNvPr id="310" name="Rettangolo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/>
      </xdr:nvSpPr>
      <xdr:spPr>
        <a:xfrm>
          <a:off x="4295776" y="1143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4</xdr:row>
      <xdr:rowOff>0</xdr:rowOff>
    </xdr:from>
    <xdr:to>
      <xdr:col>17</xdr:col>
      <xdr:colOff>1</xdr:colOff>
      <xdr:row>5</xdr:row>
      <xdr:rowOff>0</xdr:rowOff>
    </xdr:to>
    <xdr:sp macro="" textlink="">
      <xdr:nvSpPr>
        <xdr:cNvPr id="311" name="Rettangolo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SpPr/>
      </xdr:nvSpPr>
      <xdr:spPr>
        <a:xfrm>
          <a:off x="4295776" y="571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5</xdr:row>
      <xdr:rowOff>0</xdr:rowOff>
    </xdr:from>
    <xdr:to>
      <xdr:col>17</xdr:col>
      <xdr:colOff>1</xdr:colOff>
      <xdr:row>6</xdr:row>
      <xdr:rowOff>0</xdr:rowOff>
    </xdr:to>
    <xdr:sp macro="" textlink="">
      <xdr:nvSpPr>
        <xdr:cNvPr id="312" name="Rettangolo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/>
      </xdr:nvSpPr>
      <xdr:spPr>
        <a:xfrm>
          <a:off x="4295776" y="762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11</xdr:col>
      <xdr:colOff>398516</xdr:colOff>
      <xdr:row>2</xdr:row>
      <xdr:rowOff>4379</xdr:rowOff>
    </xdr:from>
    <xdr:to>
      <xdr:col>12</xdr:col>
      <xdr:colOff>398516</xdr:colOff>
      <xdr:row>3</xdr:row>
      <xdr:rowOff>4379</xdr:rowOff>
    </xdr:to>
    <xdr:sp macro="" textlink="">
      <xdr:nvSpPr>
        <xdr:cNvPr id="313" name="Rettangolo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/>
      </xdr:nvSpPr>
      <xdr:spPr>
        <a:xfrm>
          <a:off x="6139792" y="442310"/>
          <a:ext cx="398517" cy="183931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" textlink="">
      <xdr:nvSpPr>
        <xdr:cNvPr id="314" name="Rettangolo 313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/>
      </xdr:nvSpPr>
      <xdr:spPr>
        <a:xfrm>
          <a:off x="6139793" y="621862"/>
          <a:ext cx="398517" cy="183931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1</xdr:colOff>
      <xdr:row>6</xdr:row>
      <xdr:rowOff>0</xdr:rowOff>
    </xdr:from>
    <xdr:to>
      <xdr:col>15</xdr:col>
      <xdr:colOff>1</xdr:colOff>
      <xdr:row>7</xdr:row>
      <xdr:rowOff>0</xdr:rowOff>
    </xdr:to>
    <xdr:sp macro="" textlink="">
      <xdr:nvSpPr>
        <xdr:cNvPr id="315" name="Rettangolo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/>
      </xdr:nvSpPr>
      <xdr:spPr>
        <a:xfrm>
          <a:off x="3600451" y="9525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1</xdr:colOff>
      <xdr:row>7</xdr:row>
      <xdr:rowOff>0</xdr:rowOff>
    </xdr:from>
    <xdr:to>
      <xdr:col>15</xdr:col>
      <xdr:colOff>1</xdr:colOff>
      <xdr:row>8</xdr:row>
      <xdr:rowOff>0</xdr:rowOff>
    </xdr:to>
    <xdr:sp macro="" textlink="">
      <xdr:nvSpPr>
        <xdr:cNvPr id="316" name="Rettangolo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/>
      </xdr:nvSpPr>
      <xdr:spPr>
        <a:xfrm>
          <a:off x="3600451" y="11430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1</xdr:colOff>
      <xdr:row>4</xdr:row>
      <xdr:rowOff>0</xdr:rowOff>
    </xdr:from>
    <xdr:to>
      <xdr:col>15</xdr:col>
      <xdr:colOff>1</xdr:colOff>
      <xdr:row>5</xdr:row>
      <xdr:rowOff>0</xdr:rowOff>
    </xdr:to>
    <xdr:sp macro="" textlink="">
      <xdr:nvSpPr>
        <xdr:cNvPr id="317" name="Rettangolo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/>
      </xdr:nvSpPr>
      <xdr:spPr>
        <a:xfrm>
          <a:off x="3600451" y="5715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1</xdr:colOff>
      <xdr:row>5</xdr:row>
      <xdr:rowOff>0</xdr:rowOff>
    </xdr:from>
    <xdr:to>
      <xdr:col>15</xdr:col>
      <xdr:colOff>1</xdr:colOff>
      <xdr:row>6</xdr:row>
      <xdr:rowOff>0</xdr:rowOff>
    </xdr:to>
    <xdr:sp macro="" textlink="">
      <xdr:nvSpPr>
        <xdr:cNvPr id="318" name="Rettangolo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/>
      </xdr:nvSpPr>
      <xdr:spPr>
        <a:xfrm>
          <a:off x="3600451" y="7620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1</xdr:colOff>
      <xdr:row>3</xdr:row>
      <xdr:rowOff>0</xdr:rowOff>
    </xdr:from>
    <xdr:to>
      <xdr:col>15</xdr:col>
      <xdr:colOff>1</xdr:colOff>
      <xdr:row>4</xdr:row>
      <xdr:rowOff>0</xdr:rowOff>
    </xdr:to>
    <xdr:sp macro="" textlink="">
      <xdr:nvSpPr>
        <xdr:cNvPr id="319" name="Rettangolo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/>
      </xdr:nvSpPr>
      <xdr:spPr>
        <a:xfrm>
          <a:off x="3600451" y="38100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1</xdr:colOff>
      <xdr:row>9</xdr:row>
      <xdr:rowOff>95250</xdr:rowOff>
    </xdr:from>
    <xdr:to>
      <xdr:col>16</xdr:col>
      <xdr:colOff>1</xdr:colOff>
      <xdr:row>9</xdr:row>
      <xdr:rowOff>95250</xdr:rowOff>
    </xdr:to>
    <xdr:cxnSp macro="">
      <xdr:nvCxnSpPr>
        <xdr:cNvPr id="320" name="Connettore 4 319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CxnSpPr>
          <a:stCxn id="308" idx="1"/>
          <a:endCxn id="280" idx="3"/>
        </xdr:cNvCxnSpPr>
      </xdr:nvCxnSpPr>
      <xdr:spPr>
        <a:xfrm flipH="1">
          <a:off x="4476751" y="1866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8</xdr:row>
      <xdr:rowOff>95250</xdr:rowOff>
    </xdr:from>
    <xdr:to>
      <xdr:col>16</xdr:col>
      <xdr:colOff>1</xdr:colOff>
      <xdr:row>8</xdr:row>
      <xdr:rowOff>95250</xdr:rowOff>
    </xdr:to>
    <xdr:cxnSp macro="">
      <xdr:nvCxnSpPr>
        <xdr:cNvPr id="321" name="Connettore 4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CxnSpPr>
          <a:stCxn id="307" idx="1"/>
          <a:endCxn id="279" idx="3"/>
        </xdr:cNvCxnSpPr>
      </xdr:nvCxnSpPr>
      <xdr:spPr>
        <a:xfrm flipH="1">
          <a:off x="4476751" y="1676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7</xdr:row>
      <xdr:rowOff>95250</xdr:rowOff>
    </xdr:from>
    <xdr:to>
      <xdr:col>16</xdr:col>
      <xdr:colOff>1</xdr:colOff>
      <xdr:row>7</xdr:row>
      <xdr:rowOff>95250</xdr:rowOff>
    </xdr:to>
    <xdr:cxnSp macro="">
      <xdr:nvCxnSpPr>
        <xdr:cNvPr id="322" name="Connettore 4 321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CxnSpPr>
          <a:stCxn id="310" idx="1"/>
          <a:endCxn id="316" idx="3"/>
        </xdr:cNvCxnSpPr>
      </xdr:nvCxnSpPr>
      <xdr:spPr>
        <a:xfrm flipH="1">
          <a:off x="4476751" y="1485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6</xdr:row>
      <xdr:rowOff>95250</xdr:rowOff>
    </xdr:from>
    <xdr:to>
      <xdr:col>16</xdr:col>
      <xdr:colOff>1</xdr:colOff>
      <xdr:row>6</xdr:row>
      <xdr:rowOff>95250</xdr:rowOff>
    </xdr:to>
    <xdr:cxnSp macro="">
      <xdr:nvCxnSpPr>
        <xdr:cNvPr id="323" name="Connettore 4 322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CxnSpPr>
          <a:stCxn id="309" idx="1"/>
          <a:endCxn id="315" idx="3"/>
        </xdr:cNvCxnSpPr>
      </xdr:nvCxnSpPr>
      <xdr:spPr>
        <a:xfrm flipH="1">
          <a:off x="4476751" y="1295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5</xdr:row>
      <xdr:rowOff>95250</xdr:rowOff>
    </xdr:from>
    <xdr:to>
      <xdr:col>16</xdr:col>
      <xdr:colOff>1</xdr:colOff>
      <xdr:row>5</xdr:row>
      <xdr:rowOff>95250</xdr:rowOff>
    </xdr:to>
    <xdr:cxnSp macro="">
      <xdr:nvCxnSpPr>
        <xdr:cNvPr id="324" name="Connettore 4 323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CxnSpPr>
          <a:stCxn id="312" idx="1"/>
          <a:endCxn id="318" idx="3"/>
        </xdr:cNvCxnSpPr>
      </xdr:nvCxnSpPr>
      <xdr:spPr>
        <a:xfrm flipH="1">
          <a:off x="4476751" y="1104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</xdr:colOff>
      <xdr:row>4</xdr:row>
      <xdr:rowOff>95250</xdr:rowOff>
    </xdr:from>
    <xdr:to>
      <xdr:col>16</xdr:col>
      <xdr:colOff>1</xdr:colOff>
      <xdr:row>4</xdr:row>
      <xdr:rowOff>95250</xdr:rowOff>
    </xdr:to>
    <xdr:cxnSp macro="">
      <xdr:nvCxnSpPr>
        <xdr:cNvPr id="325" name="Connettore 4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CxnSpPr>
          <a:stCxn id="311" idx="1"/>
          <a:endCxn id="317" idx="3"/>
        </xdr:cNvCxnSpPr>
      </xdr:nvCxnSpPr>
      <xdr:spPr>
        <a:xfrm flipH="1">
          <a:off x="4476751" y="914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</xdr:row>
      <xdr:rowOff>91966</xdr:rowOff>
    </xdr:from>
    <xdr:to>
      <xdr:col>14</xdr:col>
      <xdr:colOff>1</xdr:colOff>
      <xdr:row>3</xdr:row>
      <xdr:rowOff>91966</xdr:rowOff>
    </xdr:to>
    <xdr:cxnSp macro="">
      <xdr:nvCxnSpPr>
        <xdr:cNvPr id="326" name="Connettore 4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CxnSpPr>
          <a:stCxn id="319" idx="1"/>
          <a:endCxn id="314" idx="3"/>
        </xdr:cNvCxnSpPr>
      </xdr:nvCxnSpPr>
      <xdr:spPr>
        <a:xfrm flipH="1">
          <a:off x="6538310" y="713828"/>
          <a:ext cx="258381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398516</xdr:colOff>
      <xdr:row>2</xdr:row>
      <xdr:rowOff>91966</xdr:rowOff>
    </xdr:from>
    <xdr:to>
      <xdr:col>14</xdr:col>
      <xdr:colOff>1</xdr:colOff>
      <xdr:row>2</xdr:row>
      <xdr:rowOff>96345</xdr:rowOff>
    </xdr:to>
    <xdr:cxnSp macro="">
      <xdr:nvCxnSpPr>
        <xdr:cNvPr id="327" name="Connettore 4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CxnSpPr>
          <a:stCxn id="297" idx="1"/>
          <a:endCxn id="313" idx="3"/>
        </xdr:cNvCxnSpPr>
      </xdr:nvCxnSpPr>
      <xdr:spPr>
        <a:xfrm flipH="1">
          <a:off x="6538309" y="529897"/>
          <a:ext cx="258382" cy="4379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</xdr:colOff>
      <xdr:row>13</xdr:row>
      <xdr:rowOff>95250</xdr:rowOff>
    </xdr:from>
    <xdr:to>
      <xdr:col>19</xdr:col>
      <xdr:colOff>1</xdr:colOff>
      <xdr:row>28</xdr:row>
      <xdr:rowOff>95250</xdr:rowOff>
    </xdr:to>
    <xdr:cxnSp macro="">
      <xdr:nvCxnSpPr>
        <xdr:cNvPr id="329" name="Connettore 4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CxnSpPr>
          <a:stCxn id="65" idx="1"/>
          <a:endCxn id="273" idx="3"/>
        </xdr:cNvCxnSpPr>
      </xdr:nvCxnSpPr>
      <xdr:spPr>
        <a:xfrm rot="10800000">
          <a:off x="4676777" y="2381250"/>
          <a:ext cx="761999" cy="28575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28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332" name="Rettangolo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/>
      </xdr:nvSpPr>
      <xdr:spPr>
        <a:xfrm>
          <a:off x="1702594" y="5143500"/>
          <a:ext cx="654844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50</xdr:row>
      <xdr:rowOff>0</xdr:rowOff>
    </xdr:from>
    <xdr:to>
      <xdr:col>13</xdr:col>
      <xdr:colOff>0</xdr:colOff>
      <xdr:row>51</xdr:row>
      <xdr:rowOff>0</xdr:rowOff>
    </xdr:to>
    <xdr:sp macro="" textlink="">
      <xdr:nvSpPr>
        <xdr:cNvPr id="351" name="Rettangolo 350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>
        <a:xfrm>
          <a:off x="3020786" y="9334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42</xdr:row>
      <xdr:rowOff>0</xdr:rowOff>
    </xdr:from>
    <xdr:to>
      <xdr:col>13</xdr:col>
      <xdr:colOff>1</xdr:colOff>
      <xdr:row>43</xdr:row>
      <xdr:rowOff>0</xdr:rowOff>
    </xdr:to>
    <xdr:sp macro="" textlink="">
      <xdr:nvSpPr>
        <xdr:cNvPr id="352" name="Rettangolo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/>
      </xdr:nvSpPr>
      <xdr:spPr>
        <a:xfrm>
          <a:off x="3020787" y="7810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46</xdr:row>
      <xdr:rowOff>0</xdr:rowOff>
    </xdr:from>
    <xdr:to>
      <xdr:col>13</xdr:col>
      <xdr:colOff>1</xdr:colOff>
      <xdr:row>47</xdr:row>
      <xdr:rowOff>0</xdr:rowOff>
    </xdr:to>
    <xdr:sp macro="" textlink="">
      <xdr:nvSpPr>
        <xdr:cNvPr id="353" name="Rettangolo 352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/>
      </xdr:nvSpPr>
      <xdr:spPr>
        <a:xfrm>
          <a:off x="3020787" y="857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48</xdr:row>
      <xdr:rowOff>0</xdr:rowOff>
    </xdr:from>
    <xdr:to>
      <xdr:col>13</xdr:col>
      <xdr:colOff>1</xdr:colOff>
      <xdr:row>49</xdr:row>
      <xdr:rowOff>0</xdr:rowOff>
    </xdr:to>
    <xdr:sp macro="" textlink="">
      <xdr:nvSpPr>
        <xdr:cNvPr id="354" name="Rettangolo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>
        <a:xfrm>
          <a:off x="3020787" y="8953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50</xdr:row>
      <xdr:rowOff>0</xdr:rowOff>
    </xdr:from>
    <xdr:to>
      <xdr:col>13</xdr:col>
      <xdr:colOff>1</xdr:colOff>
      <xdr:row>51</xdr:row>
      <xdr:rowOff>0</xdr:rowOff>
    </xdr:to>
    <xdr:sp macro="" textlink="">
      <xdr:nvSpPr>
        <xdr:cNvPr id="355" name="Rettangolo 354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>
        <a:xfrm>
          <a:off x="3020787" y="9334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189707</xdr:colOff>
      <xdr:row>47</xdr:row>
      <xdr:rowOff>794</xdr:rowOff>
    </xdr:from>
    <xdr:to>
      <xdr:col>12</xdr:col>
      <xdr:colOff>191295</xdr:colOff>
      <xdr:row>48</xdr:row>
      <xdr:rowOff>794</xdr:rowOff>
    </xdr:to>
    <xdr:cxnSp macro="">
      <xdr:nvCxnSpPr>
        <xdr:cNvPr id="356" name="Connettore 4 355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CxnSpPr>
          <a:stCxn id="353" idx="2"/>
          <a:endCxn id="354" idx="0"/>
        </xdr:cNvCxnSpPr>
      </xdr:nvCxnSpPr>
      <xdr:spPr>
        <a:xfrm rot="5400000">
          <a:off x="3116037" y="8858250"/>
          <a:ext cx="190500" cy="158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49</xdr:row>
      <xdr:rowOff>0</xdr:rowOff>
    </xdr:from>
    <xdr:to>
      <xdr:col>12</xdr:col>
      <xdr:colOff>190501</xdr:colOff>
      <xdr:row>50</xdr:row>
      <xdr:rowOff>0</xdr:rowOff>
    </xdr:to>
    <xdr:cxnSp macro="">
      <xdr:nvCxnSpPr>
        <xdr:cNvPr id="357" name="Connettore 4 356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CxnSpPr>
          <a:stCxn id="354" idx="2"/>
          <a:endCxn id="355" idx="0"/>
        </xdr:cNvCxnSpPr>
      </xdr:nvCxnSpPr>
      <xdr:spPr>
        <a:xfrm>
          <a:off x="3590926" y="9391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42</xdr:row>
      <xdr:rowOff>0</xdr:rowOff>
    </xdr:from>
    <xdr:to>
      <xdr:col>17</xdr:col>
      <xdr:colOff>1</xdr:colOff>
      <xdr:row>43</xdr:row>
      <xdr:rowOff>0</xdr:rowOff>
    </xdr:to>
    <xdr:sp macro="" textlink="">
      <xdr:nvSpPr>
        <xdr:cNvPr id="358" name="Rettangolo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>
        <a:xfrm>
          <a:off x="4340680" y="7810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44</xdr:row>
      <xdr:rowOff>0</xdr:rowOff>
    </xdr:from>
    <xdr:to>
      <xdr:col>17</xdr:col>
      <xdr:colOff>1</xdr:colOff>
      <xdr:row>45</xdr:row>
      <xdr:rowOff>0</xdr:rowOff>
    </xdr:to>
    <xdr:sp macro="" textlink="">
      <xdr:nvSpPr>
        <xdr:cNvPr id="359" name="Rettangolo 358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>
        <a:xfrm>
          <a:off x="4340680" y="8191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37</xdr:row>
      <xdr:rowOff>0</xdr:rowOff>
    </xdr:from>
    <xdr:to>
      <xdr:col>17</xdr:col>
      <xdr:colOff>1</xdr:colOff>
      <xdr:row>41</xdr:row>
      <xdr:rowOff>0</xdr:rowOff>
    </xdr:to>
    <xdr:sp macro="" textlink="">
      <xdr:nvSpPr>
        <xdr:cNvPr id="360" name="Rettangolo 359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/>
      </xdr:nvSpPr>
      <xdr:spPr>
        <a:xfrm>
          <a:off x="4340680" y="6858000"/>
          <a:ext cx="381000" cy="7620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190501</xdr:colOff>
      <xdr:row>41</xdr:row>
      <xdr:rowOff>0</xdr:rowOff>
    </xdr:from>
    <xdr:to>
      <xdr:col>16</xdr:col>
      <xdr:colOff>190501</xdr:colOff>
      <xdr:row>42</xdr:row>
      <xdr:rowOff>0</xdr:rowOff>
    </xdr:to>
    <xdr:cxnSp macro="">
      <xdr:nvCxnSpPr>
        <xdr:cNvPr id="361" name="Connettore 4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CxnSpPr>
          <a:stCxn id="358" idx="0"/>
          <a:endCxn id="360" idx="2"/>
        </xdr:cNvCxnSpPr>
      </xdr:nvCxnSpPr>
      <xdr:spPr>
        <a:xfrm flipV="1">
          <a:off x="4914901" y="7867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37</xdr:row>
      <xdr:rowOff>0</xdr:rowOff>
    </xdr:from>
    <xdr:to>
      <xdr:col>17</xdr:col>
      <xdr:colOff>1</xdr:colOff>
      <xdr:row>38</xdr:row>
      <xdr:rowOff>0</xdr:rowOff>
    </xdr:to>
    <xdr:sp macro="" textlink="">
      <xdr:nvSpPr>
        <xdr:cNvPr id="362" name="Rettangolo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>
        <a:xfrm>
          <a:off x="4340680" y="68580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38</xdr:row>
      <xdr:rowOff>0</xdr:rowOff>
    </xdr:from>
    <xdr:to>
      <xdr:col>17</xdr:col>
      <xdr:colOff>1</xdr:colOff>
      <xdr:row>39</xdr:row>
      <xdr:rowOff>0</xdr:rowOff>
    </xdr:to>
    <xdr:sp macro="" textlink="">
      <xdr:nvSpPr>
        <xdr:cNvPr id="363" name="Rettangolo 362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>
        <a:xfrm>
          <a:off x="4340680" y="70485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48</xdr:row>
      <xdr:rowOff>1</xdr:rowOff>
    </xdr:from>
    <xdr:to>
      <xdr:col>17</xdr:col>
      <xdr:colOff>1</xdr:colOff>
      <xdr:row>49</xdr:row>
      <xdr:rowOff>1</xdr:rowOff>
    </xdr:to>
    <xdr:sp macro="" textlink="">
      <xdr:nvSpPr>
        <xdr:cNvPr id="365" name="Rettangolo 364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/>
      </xdr:nvSpPr>
      <xdr:spPr>
        <a:xfrm>
          <a:off x="4340680" y="895350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51</xdr:row>
      <xdr:rowOff>0</xdr:rowOff>
    </xdr:from>
    <xdr:to>
      <xdr:col>17</xdr:col>
      <xdr:colOff>1</xdr:colOff>
      <xdr:row>54</xdr:row>
      <xdr:rowOff>0</xdr:rowOff>
    </xdr:to>
    <xdr:sp macro="" textlink="">
      <xdr:nvSpPr>
        <xdr:cNvPr id="366" name="Rettangolo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>
        <a:xfrm>
          <a:off x="4340680" y="9525000"/>
          <a:ext cx="381000" cy="571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49</xdr:row>
      <xdr:rowOff>0</xdr:rowOff>
    </xdr:from>
    <xdr:to>
      <xdr:col>17</xdr:col>
      <xdr:colOff>1</xdr:colOff>
      <xdr:row>50</xdr:row>
      <xdr:rowOff>0</xdr:rowOff>
    </xdr:to>
    <xdr:sp macro="" textlink="">
      <xdr:nvSpPr>
        <xdr:cNvPr id="367" name="Rettangolo 366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>
        <a:xfrm>
          <a:off x="4340680" y="9144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190501</xdr:colOff>
      <xdr:row>50</xdr:row>
      <xdr:rowOff>0</xdr:rowOff>
    </xdr:from>
    <xdr:to>
      <xdr:col>16</xdr:col>
      <xdr:colOff>190501</xdr:colOff>
      <xdr:row>51</xdr:row>
      <xdr:rowOff>0</xdr:rowOff>
    </xdr:to>
    <xdr:cxnSp macro="">
      <xdr:nvCxnSpPr>
        <xdr:cNvPr id="368" name="Connettore 4 367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CxnSpPr>
          <a:stCxn id="367" idx="2"/>
          <a:endCxn id="366" idx="0"/>
        </xdr:cNvCxnSpPr>
      </xdr:nvCxnSpPr>
      <xdr:spPr>
        <a:xfrm>
          <a:off x="4914901" y="9582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190501</xdr:colOff>
      <xdr:row>54</xdr:row>
      <xdr:rowOff>0</xdr:rowOff>
    </xdr:from>
    <xdr:to>
      <xdr:col>16</xdr:col>
      <xdr:colOff>190501</xdr:colOff>
      <xdr:row>55</xdr:row>
      <xdr:rowOff>0</xdr:rowOff>
    </xdr:to>
    <xdr:cxnSp macro="">
      <xdr:nvCxnSpPr>
        <xdr:cNvPr id="369" name="Connettore 4 368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CxnSpPr>
          <a:stCxn id="366" idx="2"/>
          <a:endCxn id="370" idx="0"/>
        </xdr:cNvCxnSpPr>
      </xdr:nvCxnSpPr>
      <xdr:spPr>
        <a:xfrm>
          <a:off x="4914901" y="10344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55</xdr:row>
      <xdr:rowOff>0</xdr:rowOff>
    </xdr:from>
    <xdr:to>
      <xdr:col>17</xdr:col>
      <xdr:colOff>1</xdr:colOff>
      <xdr:row>56</xdr:row>
      <xdr:rowOff>0</xdr:rowOff>
    </xdr:to>
    <xdr:sp macro="" textlink="">
      <xdr:nvSpPr>
        <xdr:cNvPr id="370" name="Rettangolo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>
        <a:xfrm>
          <a:off x="4340680" y="10287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</xdr:colOff>
      <xdr:row>57</xdr:row>
      <xdr:rowOff>0</xdr:rowOff>
    </xdr:from>
    <xdr:to>
      <xdr:col>17</xdr:col>
      <xdr:colOff>1</xdr:colOff>
      <xdr:row>58</xdr:row>
      <xdr:rowOff>0</xdr:rowOff>
    </xdr:to>
    <xdr:sp macro="" textlink="">
      <xdr:nvSpPr>
        <xdr:cNvPr id="371" name="Rettangolo 370">
          <a:extLs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>
        <a:xfrm>
          <a:off x="4340680" y="10668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190501</xdr:colOff>
      <xdr:row>56</xdr:row>
      <xdr:rowOff>0</xdr:rowOff>
    </xdr:from>
    <xdr:to>
      <xdr:col>16</xdr:col>
      <xdr:colOff>190501</xdr:colOff>
      <xdr:row>57</xdr:row>
      <xdr:rowOff>0</xdr:rowOff>
    </xdr:to>
    <xdr:cxnSp macro="">
      <xdr:nvCxnSpPr>
        <xdr:cNvPr id="372" name="Connettore 4 371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CxnSpPr>
          <a:stCxn id="370" idx="2"/>
          <a:endCxn id="371" idx="0"/>
        </xdr:cNvCxnSpPr>
      </xdr:nvCxnSpPr>
      <xdr:spPr>
        <a:xfrm>
          <a:off x="4914901" y="10725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42</xdr:row>
      <xdr:rowOff>95250</xdr:rowOff>
    </xdr:from>
    <xdr:to>
      <xdr:col>16</xdr:col>
      <xdr:colOff>1</xdr:colOff>
      <xdr:row>42</xdr:row>
      <xdr:rowOff>95250</xdr:rowOff>
    </xdr:to>
    <xdr:cxnSp macro="">
      <xdr:nvCxnSpPr>
        <xdr:cNvPr id="374" name="Connettore 4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CxnSpPr>
          <a:stCxn id="352" idx="3"/>
          <a:endCxn id="358" idx="1"/>
        </xdr:cNvCxnSpPr>
      </xdr:nvCxnSpPr>
      <xdr:spPr>
        <a:xfrm>
          <a:off x="3781426" y="8153400"/>
          <a:ext cx="9429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38</xdr:row>
      <xdr:rowOff>95250</xdr:rowOff>
    </xdr:from>
    <xdr:to>
      <xdr:col>17</xdr:col>
      <xdr:colOff>1589</xdr:colOff>
      <xdr:row>44</xdr:row>
      <xdr:rowOff>95250</xdr:rowOff>
    </xdr:to>
    <xdr:cxnSp macro="">
      <xdr:nvCxnSpPr>
        <xdr:cNvPr id="377" name="Connettore 4 376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CxnSpPr>
          <a:stCxn id="363" idx="3"/>
          <a:endCxn id="359" idx="3"/>
        </xdr:cNvCxnSpPr>
      </xdr:nvCxnSpPr>
      <xdr:spPr>
        <a:xfrm>
          <a:off x="4726782" y="7143750"/>
          <a:ext cx="1588" cy="1143000"/>
        </a:xfrm>
        <a:prstGeom prst="bentConnector3">
          <a:avLst>
            <a:gd name="adj1" fmla="val 14395466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44</xdr:row>
      <xdr:rowOff>95250</xdr:rowOff>
    </xdr:from>
    <xdr:to>
      <xdr:col>16</xdr:col>
      <xdr:colOff>1</xdr:colOff>
      <xdr:row>46</xdr:row>
      <xdr:rowOff>0</xdr:rowOff>
    </xdr:to>
    <xdr:cxnSp macro="">
      <xdr:nvCxnSpPr>
        <xdr:cNvPr id="205" name="Connettore 4 27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CxnSpPr>
          <a:stCxn id="359" idx="1"/>
          <a:endCxn id="353" idx="0"/>
        </xdr:cNvCxnSpPr>
      </xdr:nvCxnSpPr>
      <xdr:spPr>
        <a:xfrm rot="10800000" flipV="1">
          <a:off x="3202782" y="8286750"/>
          <a:ext cx="1143000" cy="2857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46</xdr:row>
      <xdr:rowOff>95250</xdr:rowOff>
    </xdr:from>
    <xdr:to>
      <xdr:col>16</xdr:col>
      <xdr:colOff>190501</xdr:colOff>
      <xdr:row>48</xdr:row>
      <xdr:rowOff>1</xdr:rowOff>
    </xdr:to>
    <xdr:cxnSp macro="">
      <xdr:nvCxnSpPr>
        <xdr:cNvPr id="211" name="Connettore 4 34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CxnSpPr>
          <a:stCxn id="353" idx="3"/>
          <a:endCxn id="365" idx="0"/>
        </xdr:cNvCxnSpPr>
      </xdr:nvCxnSpPr>
      <xdr:spPr>
        <a:xfrm>
          <a:off x="3393282" y="8667750"/>
          <a:ext cx="1143000" cy="28575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48</xdr:row>
      <xdr:rowOff>95251</xdr:rowOff>
    </xdr:from>
    <xdr:to>
      <xdr:col>16</xdr:col>
      <xdr:colOff>1</xdr:colOff>
      <xdr:row>50</xdr:row>
      <xdr:rowOff>95250</xdr:rowOff>
    </xdr:to>
    <xdr:cxnSp macro="">
      <xdr:nvCxnSpPr>
        <xdr:cNvPr id="214" name="Connettore 4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CxnSpPr>
          <a:stCxn id="355" idx="3"/>
          <a:endCxn id="365" idx="1"/>
        </xdr:cNvCxnSpPr>
      </xdr:nvCxnSpPr>
      <xdr:spPr>
        <a:xfrm flipV="1">
          <a:off x="3393282" y="9048751"/>
          <a:ext cx="952500" cy="38099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</xdr:colOff>
      <xdr:row>43</xdr:row>
      <xdr:rowOff>0</xdr:rowOff>
    </xdr:from>
    <xdr:to>
      <xdr:col>16</xdr:col>
      <xdr:colOff>190501</xdr:colOff>
      <xdr:row>52</xdr:row>
      <xdr:rowOff>95250</xdr:rowOff>
    </xdr:to>
    <xdr:cxnSp macro="">
      <xdr:nvCxnSpPr>
        <xdr:cNvPr id="221" name="Connettore 4 72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CxnSpPr>
          <a:stCxn id="358" idx="2"/>
          <a:endCxn id="366" idx="1"/>
        </xdr:cNvCxnSpPr>
      </xdr:nvCxnSpPr>
      <xdr:spPr>
        <a:xfrm rot="5400000">
          <a:off x="3536157" y="8810625"/>
          <a:ext cx="1809750" cy="190500"/>
        </a:xfrm>
        <a:prstGeom prst="bentConnector4">
          <a:avLst>
            <a:gd name="adj1" fmla="val 5263"/>
            <a:gd name="adj2" fmla="val 22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37</xdr:row>
      <xdr:rowOff>0</xdr:rowOff>
    </xdr:from>
    <xdr:to>
      <xdr:col>13</xdr:col>
      <xdr:colOff>0</xdr:colOff>
      <xdr:row>38</xdr:row>
      <xdr:rowOff>0</xdr:rowOff>
    </xdr:to>
    <xdr:sp macro="" textlink="">
      <xdr:nvSpPr>
        <xdr:cNvPr id="227" name="Rettangolo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/>
      </xdr:nvSpPr>
      <xdr:spPr>
        <a:xfrm>
          <a:off x="3012281" y="6858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38</xdr:row>
      <xdr:rowOff>0</xdr:rowOff>
    </xdr:from>
    <xdr:to>
      <xdr:col>13</xdr:col>
      <xdr:colOff>0</xdr:colOff>
      <xdr:row>39</xdr:row>
      <xdr:rowOff>0</xdr:rowOff>
    </xdr:to>
    <xdr:sp macro="" textlink="">
      <xdr:nvSpPr>
        <xdr:cNvPr id="228" name="Rettangolo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/>
      </xdr:nvSpPr>
      <xdr:spPr>
        <a:xfrm>
          <a:off x="3012281" y="7048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35</xdr:row>
      <xdr:rowOff>0</xdr:rowOff>
    </xdr:from>
    <xdr:to>
      <xdr:col>13</xdr:col>
      <xdr:colOff>0</xdr:colOff>
      <xdr:row>36</xdr:row>
      <xdr:rowOff>0</xdr:rowOff>
    </xdr:to>
    <xdr:sp macro="" textlink="">
      <xdr:nvSpPr>
        <xdr:cNvPr id="229" name="Rettangolo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/>
      </xdr:nvSpPr>
      <xdr:spPr>
        <a:xfrm>
          <a:off x="3012281" y="6477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36</xdr:row>
      <xdr:rowOff>0</xdr:rowOff>
    </xdr:from>
    <xdr:to>
      <xdr:col>13</xdr:col>
      <xdr:colOff>0</xdr:colOff>
      <xdr:row>37</xdr:row>
      <xdr:rowOff>0</xdr:rowOff>
    </xdr:to>
    <xdr:sp macro="" textlink="">
      <xdr:nvSpPr>
        <xdr:cNvPr id="230" name="Rettangolo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/>
      </xdr:nvSpPr>
      <xdr:spPr>
        <a:xfrm>
          <a:off x="3012281" y="6667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13</xdr:col>
      <xdr:colOff>0</xdr:colOff>
      <xdr:row>34</xdr:row>
      <xdr:rowOff>0</xdr:rowOff>
    </xdr:to>
    <xdr:sp macro="" textlink="">
      <xdr:nvSpPr>
        <xdr:cNvPr id="232" name="Rettangolo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/>
      </xdr:nvSpPr>
      <xdr:spPr>
        <a:xfrm>
          <a:off x="3012281" y="609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34</xdr:row>
      <xdr:rowOff>0</xdr:rowOff>
    </xdr:from>
    <xdr:to>
      <xdr:col>13</xdr:col>
      <xdr:colOff>0</xdr:colOff>
      <xdr:row>35</xdr:row>
      <xdr:rowOff>0</xdr:rowOff>
    </xdr:to>
    <xdr:sp macro="" textlink="">
      <xdr:nvSpPr>
        <xdr:cNvPr id="233" name="Rettangolo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/>
      </xdr:nvSpPr>
      <xdr:spPr>
        <a:xfrm>
          <a:off x="3012281" y="6286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37</xdr:row>
      <xdr:rowOff>0</xdr:rowOff>
    </xdr:from>
    <xdr:to>
      <xdr:col>13</xdr:col>
      <xdr:colOff>1</xdr:colOff>
      <xdr:row>38</xdr:row>
      <xdr:rowOff>0</xdr:rowOff>
    </xdr:to>
    <xdr:sp macro="" textlink="">
      <xdr:nvSpPr>
        <xdr:cNvPr id="235" name="Rettangolo 234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/>
      </xdr:nvSpPr>
      <xdr:spPr>
        <a:xfrm>
          <a:off x="3012282" y="6858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38</xdr:row>
      <xdr:rowOff>0</xdr:rowOff>
    </xdr:from>
    <xdr:to>
      <xdr:col>13</xdr:col>
      <xdr:colOff>1</xdr:colOff>
      <xdr:row>39</xdr:row>
      <xdr:rowOff>0</xdr:rowOff>
    </xdr:to>
    <xdr:sp macro="" textlink="">
      <xdr:nvSpPr>
        <xdr:cNvPr id="236" name="Rettangol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/>
      </xdr:nvSpPr>
      <xdr:spPr>
        <a:xfrm>
          <a:off x="3012282" y="7048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35</xdr:row>
      <xdr:rowOff>0</xdr:rowOff>
    </xdr:from>
    <xdr:to>
      <xdr:col>13</xdr:col>
      <xdr:colOff>1</xdr:colOff>
      <xdr:row>36</xdr:row>
      <xdr:rowOff>0</xdr:rowOff>
    </xdr:to>
    <xdr:sp macro="" textlink="">
      <xdr:nvSpPr>
        <xdr:cNvPr id="238" name="Rettangolo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/>
      </xdr:nvSpPr>
      <xdr:spPr>
        <a:xfrm>
          <a:off x="3012282" y="6477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36</xdr:row>
      <xdr:rowOff>0</xdr:rowOff>
    </xdr:from>
    <xdr:to>
      <xdr:col>13</xdr:col>
      <xdr:colOff>1</xdr:colOff>
      <xdr:row>37</xdr:row>
      <xdr:rowOff>0</xdr:rowOff>
    </xdr:to>
    <xdr:sp macro="" textlink="">
      <xdr:nvSpPr>
        <xdr:cNvPr id="239" name="Rettangolo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/>
      </xdr:nvSpPr>
      <xdr:spPr>
        <a:xfrm>
          <a:off x="3012282" y="6667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33</xdr:row>
      <xdr:rowOff>0</xdr:rowOff>
    </xdr:from>
    <xdr:to>
      <xdr:col>13</xdr:col>
      <xdr:colOff>1</xdr:colOff>
      <xdr:row>34</xdr:row>
      <xdr:rowOff>0</xdr:rowOff>
    </xdr:to>
    <xdr:sp macro="" textlink="">
      <xdr:nvSpPr>
        <xdr:cNvPr id="242" name="Rettangolo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/>
      </xdr:nvSpPr>
      <xdr:spPr>
        <a:xfrm>
          <a:off x="2984501" y="60960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1</xdr:colOff>
      <xdr:row>34</xdr:row>
      <xdr:rowOff>0</xdr:rowOff>
    </xdr:from>
    <xdr:to>
      <xdr:col>13</xdr:col>
      <xdr:colOff>1</xdr:colOff>
      <xdr:row>35</xdr:row>
      <xdr:rowOff>0</xdr:rowOff>
    </xdr:to>
    <xdr:sp macro="" textlink="">
      <xdr:nvSpPr>
        <xdr:cNvPr id="243" name="Rettangolo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/>
      </xdr:nvSpPr>
      <xdr:spPr>
        <a:xfrm>
          <a:off x="3012282" y="6286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261936</xdr:colOff>
      <xdr:row>31</xdr:row>
      <xdr:rowOff>0</xdr:rowOff>
    </xdr:from>
    <xdr:to>
      <xdr:col>17</xdr:col>
      <xdr:colOff>0</xdr:colOff>
      <xdr:row>32</xdr:row>
      <xdr:rowOff>0</xdr:rowOff>
    </xdr:to>
    <xdr:sp macro="" textlink="">
      <xdr:nvSpPr>
        <xdr:cNvPr id="248" name="Rettangolo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/>
      </xdr:nvSpPr>
      <xdr:spPr>
        <a:xfrm flipH="1">
          <a:off x="7552530" y="5730875"/>
          <a:ext cx="400845" cy="182563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0</xdr:colOff>
      <xdr:row>32</xdr:row>
      <xdr:rowOff>0</xdr:rowOff>
    </xdr:from>
    <xdr:to>
      <xdr:col>17</xdr:col>
      <xdr:colOff>0</xdr:colOff>
      <xdr:row>33</xdr:row>
      <xdr:rowOff>0</xdr:rowOff>
    </xdr:to>
    <xdr:sp macro="" textlink="">
      <xdr:nvSpPr>
        <xdr:cNvPr id="253" name="Rettangolo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/>
      </xdr:nvSpPr>
      <xdr:spPr>
        <a:xfrm>
          <a:off x="7552531" y="5913438"/>
          <a:ext cx="400844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37</xdr:row>
      <xdr:rowOff>0</xdr:rowOff>
    </xdr:from>
    <xdr:to>
      <xdr:col>15</xdr:col>
      <xdr:colOff>0</xdr:colOff>
      <xdr:row>38</xdr:row>
      <xdr:rowOff>0</xdr:rowOff>
    </xdr:to>
    <xdr:sp macro="" textlink="">
      <xdr:nvSpPr>
        <xdr:cNvPr id="254" name="Rettangolo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/>
      </xdr:nvSpPr>
      <xdr:spPr>
        <a:xfrm>
          <a:off x="3643313" y="68580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38</xdr:row>
      <xdr:rowOff>0</xdr:rowOff>
    </xdr:from>
    <xdr:to>
      <xdr:col>15</xdr:col>
      <xdr:colOff>0</xdr:colOff>
      <xdr:row>39</xdr:row>
      <xdr:rowOff>0</xdr:rowOff>
    </xdr:to>
    <xdr:sp macro="" textlink="">
      <xdr:nvSpPr>
        <xdr:cNvPr id="256" name="Rettangolo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/>
      </xdr:nvSpPr>
      <xdr:spPr>
        <a:xfrm>
          <a:off x="3643313" y="70485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31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257" name="Rettangolo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/>
      </xdr:nvSpPr>
      <xdr:spPr>
        <a:xfrm>
          <a:off x="3643313" y="57150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35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58" name="Rettangolo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/>
      </xdr:nvSpPr>
      <xdr:spPr>
        <a:xfrm>
          <a:off x="3643313" y="64770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36</xdr:row>
      <xdr:rowOff>0</xdr:rowOff>
    </xdr:from>
    <xdr:to>
      <xdr:col>15</xdr:col>
      <xdr:colOff>0</xdr:colOff>
      <xdr:row>37</xdr:row>
      <xdr:rowOff>0</xdr:rowOff>
    </xdr:to>
    <xdr:sp macro="" textlink="">
      <xdr:nvSpPr>
        <xdr:cNvPr id="259" name="Rettangolo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/>
      </xdr:nvSpPr>
      <xdr:spPr>
        <a:xfrm>
          <a:off x="3643313" y="66675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33</xdr:row>
      <xdr:rowOff>0</xdr:rowOff>
    </xdr:from>
    <xdr:to>
      <xdr:col>15</xdr:col>
      <xdr:colOff>0</xdr:colOff>
      <xdr:row>34</xdr:row>
      <xdr:rowOff>0</xdr:rowOff>
    </xdr:to>
    <xdr:sp macro="" textlink="">
      <xdr:nvSpPr>
        <xdr:cNvPr id="261" name="Rettangolo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/>
      </xdr:nvSpPr>
      <xdr:spPr>
        <a:xfrm>
          <a:off x="3643313" y="60960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34</xdr:row>
      <xdr:rowOff>0</xdr:rowOff>
    </xdr:from>
    <xdr:to>
      <xdr:col>15</xdr:col>
      <xdr:colOff>0</xdr:colOff>
      <xdr:row>35</xdr:row>
      <xdr:rowOff>0</xdr:rowOff>
    </xdr:to>
    <xdr:sp macro="" textlink="">
      <xdr:nvSpPr>
        <xdr:cNvPr id="262" name="Rettangolo 261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>
        <a:xfrm>
          <a:off x="3643313" y="62865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32</xdr:row>
      <xdr:rowOff>0</xdr:rowOff>
    </xdr:from>
    <xdr:to>
      <xdr:col>15</xdr:col>
      <xdr:colOff>0</xdr:colOff>
      <xdr:row>33</xdr:row>
      <xdr:rowOff>0</xdr:rowOff>
    </xdr:to>
    <xdr:sp macro="" textlink="">
      <xdr:nvSpPr>
        <xdr:cNvPr id="263" name="Rettangolo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>
        <a:xfrm>
          <a:off x="3643313" y="5905500"/>
          <a:ext cx="452437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0</xdr:colOff>
      <xdr:row>30</xdr:row>
      <xdr:rowOff>0</xdr:rowOff>
    </xdr:from>
    <xdr:to>
      <xdr:col>4</xdr:col>
      <xdr:colOff>2381</xdr:colOff>
      <xdr:row>31</xdr:row>
      <xdr:rowOff>0</xdr:rowOff>
    </xdr:to>
    <xdr:sp macro="" textlink="">
      <xdr:nvSpPr>
        <xdr:cNvPr id="328" name="Rettangolo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/>
      </xdr:nvSpPr>
      <xdr:spPr>
        <a:xfrm>
          <a:off x="1940719" y="5524500"/>
          <a:ext cx="65722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2381</xdr:colOff>
      <xdr:row>30</xdr:row>
      <xdr:rowOff>95250</xdr:rowOff>
    </xdr:from>
    <xdr:to>
      <xdr:col>5</xdr:col>
      <xdr:colOff>1</xdr:colOff>
      <xdr:row>42</xdr:row>
      <xdr:rowOff>95250</xdr:rowOff>
    </xdr:to>
    <xdr:cxnSp macro="">
      <xdr:nvCxnSpPr>
        <xdr:cNvPr id="330" name="Connettore 4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CxnSpPr>
          <a:stCxn id="328" idx="3"/>
          <a:endCxn id="547" idx="1"/>
        </xdr:cNvCxnSpPr>
      </xdr:nvCxnSpPr>
      <xdr:spPr>
        <a:xfrm>
          <a:off x="3021806" y="5867400"/>
          <a:ext cx="378620" cy="22860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38</xdr:row>
      <xdr:rowOff>95250</xdr:rowOff>
    </xdr:from>
    <xdr:to>
      <xdr:col>16</xdr:col>
      <xdr:colOff>1</xdr:colOff>
      <xdr:row>38</xdr:row>
      <xdr:rowOff>95250</xdr:rowOff>
    </xdr:to>
    <xdr:cxnSp macro="">
      <xdr:nvCxnSpPr>
        <xdr:cNvPr id="334" name="Connettore 4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CxnSpPr>
          <a:stCxn id="256" idx="3"/>
          <a:endCxn id="363" idx="1"/>
        </xdr:cNvCxnSpPr>
      </xdr:nvCxnSpPr>
      <xdr:spPr>
        <a:xfrm>
          <a:off x="4476750" y="7391400"/>
          <a:ext cx="247651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37</xdr:row>
      <xdr:rowOff>95250</xdr:rowOff>
    </xdr:from>
    <xdr:to>
      <xdr:col>16</xdr:col>
      <xdr:colOff>1</xdr:colOff>
      <xdr:row>37</xdr:row>
      <xdr:rowOff>95250</xdr:rowOff>
    </xdr:to>
    <xdr:cxnSp macro="">
      <xdr:nvCxnSpPr>
        <xdr:cNvPr id="339" name="Connettore 4 338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CxnSpPr>
          <a:stCxn id="254" idx="3"/>
          <a:endCxn id="362" idx="1"/>
        </xdr:cNvCxnSpPr>
      </xdr:nvCxnSpPr>
      <xdr:spPr>
        <a:xfrm>
          <a:off x="4476750" y="7200900"/>
          <a:ext cx="247651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32</xdr:row>
      <xdr:rowOff>91281</xdr:rowOff>
    </xdr:from>
    <xdr:to>
      <xdr:col>16</xdr:col>
      <xdr:colOff>0</xdr:colOff>
      <xdr:row>32</xdr:row>
      <xdr:rowOff>91281</xdr:rowOff>
    </xdr:to>
    <xdr:cxnSp macro="">
      <xdr:nvCxnSpPr>
        <xdr:cNvPr id="343" name="Connettore 4 342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CxnSpPr>
          <a:stCxn id="263" idx="3"/>
          <a:endCxn id="253" idx="1"/>
        </xdr:cNvCxnSpPr>
      </xdr:nvCxnSpPr>
      <xdr:spPr>
        <a:xfrm>
          <a:off x="7290594" y="6004719"/>
          <a:ext cx="261937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31</xdr:row>
      <xdr:rowOff>91282</xdr:rowOff>
    </xdr:from>
    <xdr:to>
      <xdr:col>15</xdr:col>
      <xdr:colOff>261936</xdr:colOff>
      <xdr:row>31</xdr:row>
      <xdr:rowOff>91282</xdr:rowOff>
    </xdr:to>
    <xdr:cxnSp macro="">
      <xdr:nvCxnSpPr>
        <xdr:cNvPr id="344" name="Connettore 4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CxnSpPr>
          <a:stCxn id="248" idx="3"/>
          <a:endCxn id="257" idx="3"/>
        </xdr:cNvCxnSpPr>
      </xdr:nvCxnSpPr>
      <xdr:spPr>
        <a:xfrm flipH="1">
          <a:off x="7290594" y="5822157"/>
          <a:ext cx="261936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34</xdr:row>
      <xdr:rowOff>95250</xdr:rowOff>
    </xdr:from>
    <xdr:to>
      <xdr:col>14</xdr:col>
      <xdr:colOff>0</xdr:colOff>
      <xdr:row>34</xdr:row>
      <xdr:rowOff>95250</xdr:rowOff>
    </xdr:to>
    <xdr:cxnSp macro="">
      <xdr:nvCxnSpPr>
        <xdr:cNvPr id="378" name="Connettore 4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CxnSpPr>
          <a:stCxn id="243" idx="3"/>
          <a:endCxn id="262" idx="1"/>
        </xdr:cNvCxnSpPr>
      </xdr:nvCxnSpPr>
      <xdr:spPr>
        <a:xfrm>
          <a:off x="3781426" y="66294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33</xdr:row>
      <xdr:rowOff>95250</xdr:rowOff>
    </xdr:from>
    <xdr:to>
      <xdr:col>14</xdr:col>
      <xdr:colOff>0</xdr:colOff>
      <xdr:row>33</xdr:row>
      <xdr:rowOff>95250</xdr:rowOff>
    </xdr:to>
    <xdr:cxnSp macro="">
      <xdr:nvCxnSpPr>
        <xdr:cNvPr id="379" name="Connettore 4 378">
          <a:extLs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CxnSpPr>
          <a:stCxn id="261" idx="1"/>
          <a:endCxn id="242" idx="3"/>
        </xdr:cNvCxnSpPr>
      </xdr:nvCxnSpPr>
      <xdr:spPr>
        <a:xfrm flipH="1">
          <a:off x="3781426" y="6438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36</xdr:row>
      <xdr:rowOff>95250</xdr:rowOff>
    </xdr:from>
    <xdr:to>
      <xdr:col>14</xdr:col>
      <xdr:colOff>0</xdr:colOff>
      <xdr:row>36</xdr:row>
      <xdr:rowOff>95250</xdr:rowOff>
    </xdr:to>
    <xdr:cxnSp macro="">
      <xdr:nvCxnSpPr>
        <xdr:cNvPr id="384" name="Connettore 4 383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CxnSpPr>
          <a:stCxn id="239" idx="3"/>
          <a:endCxn id="259" idx="1"/>
        </xdr:cNvCxnSpPr>
      </xdr:nvCxnSpPr>
      <xdr:spPr>
        <a:xfrm>
          <a:off x="3781426" y="70104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35</xdr:row>
      <xdr:rowOff>95250</xdr:rowOff>
    </xdr:from>
    <xdr:to>
      <xdr:col>14</xdr:col>
      <xdr:colOff>0</xdr:colOff>
      <xdr:row>35</xdr:row>
      <xdr:rowOff>95250</xdr:rowOff>
    </xdr:to>
    <xdr:cxnSp macro="">
      <xdr:nvCxnSpPr>
        <xdr:cNvPr id="385" name="Connettore 4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>
          <a:stCxn id="258" idx="1"/>
          <a:endCxn id="238" idx="3"/>
        </xdr:cNvCxnSpPr>
      </xdr:nvCxnSpPr>
      <xdr:spPr>
        <a:xfrm flipH="1">
          <a:off x="3781426" y="6819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38</xdr:row>
      <xdr:rowOff>95250</xdr:rowOff>
    </xdr:from>
    <xdr:to>
      <xdr:col>14</xdr:col>
      <xdr:colOff>0</xdr:colOff>
      <xdr:row>38</xdr:row>
      <xdr:rowOff>95250</xdr:rowOff>
    </xdr:to>
    <xdr:cxnSp macro="">
      <xdr:nvCxnSpPr>
        <xdr:cNvPr id="391" name="Connettore 4 390">
          <a:extLs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CxnSpPr>
          <a:stCxn id="236" idx="3"/>
          <a:endCxn id="256" idx="1"/>
        </xdr:cNvCxnSpPr>
      </xdr:nvCxnSpPr>
      <xdr:spPr>
        <a:xfrm>
          <a:off x="3781426" y="73914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</xdr:colOff>
      <xdr:row>37</xdr:row>
      <xdr:rowOff>95250</xdr:rowOff>
    </xdr:from>
    <xdr:to>
      <xdr:col>14</xdr:col>
      <xdr:colOff>0</xdr:colOff>
      <xdr:row>37</xdr:row>
      <xdr:rowOff>95250</xdr:rowOff>
    </xdr:to>
    <xdr:cxnSp macro="">
      <xdr:nvCxnSpPr>
        <xdr:cNvPr id="392" name="Connettore 4 391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CxnSpPr>
          <a:stCxn id="254" idx="1"/>
          <a:endCxn id="235" idx="3"/>
        </xdr:cNvCxnSpPr>
      </xdr:nvCxnSpPr>
      <xdr:spPr>
        <a:xfrm flipH="1">
          <a:off x="3781426" y="7200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49</xdr:row>
      <xdr:rowOff>183444</xdr:rowOff>
    </xdr:from>
    <xdr:to>
      <xdr:col>20</xdr:col>
      <xdr:colOff>0</xdr:colOff>
      <xdr:row>51</xdr:row>
      <xdr:rowOff>0</xdr:rowOff>
    </xdr:to>
    <xdr:sp macro="" textlink="">
      <xdr:nvSpPr>
        <xdr:cNvPr id="397" name="Rettangolo 396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/>
      </xdr:nvSpPr>
      <xdr:spPr>
        <a:xfrm>
          <a:off x="8734778" y="9242777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42</xdr:row>
      <xdr:rowOff>0</xdr:rowOff>
    </xdr:from>
    <xdr:to>
      <xdr:col>19</xdr:col>
      <xdr:colOff>400842</xdr:colOff>
      <xdr:row>43</xdr:row>
      <xdr:rowOff>0</xdr:rowOff>
    </xdr:to>
    <xdr:sp macro="" textlink="">
      <xdr:nvSpPr>
        <xdr:cNvPr id="398" name="Rettangolo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>
        <a:xfrm>
          <a:off x="8755063" y="7739063"/>
          <a:ext cx="400842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18</xdr:col>
      <xdr:colOff>398638</xdr:colOff>
      <xdr:row>45</xdr:row>
      <xdr:rowOff>183443</xdr:rowOff>
    </xdr:from>
    <xdr:to>
      <xdr:col>19</xdr:col>
      <xdr:colOff>398638</xdr:colOff>
      <xdr:row>46</xdr:row>
      <xdr:rowOff>183444</xdr:rowOff>
    </xdr:to>
    <xdr:sp macro="" textlink="">
      <xdr:nvSpPr>
        <xdr:cNvPr id="399" name="Rettangolo 398">
          <a:extLs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>
        <a:xfrm>
          <a:off x="8734777" y="8508999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48</xdr:row>
      <xdr:rowOff>0</xdr:rowOff>
    </xdr:from>
    <xdr:to>
      <xdr:col>20</xdr:col>
      <xdr:colOff>0</xdr:colOff>
      <xdr:row>48</xdr:row>
      <xdr:rowOff>183444</xdr:rowOff>
    </xdr:to>
    <xdr:sp macro="" textlink="">
      <xdr:nvSpPr>
        <xdr:cNvPr id="400" name="Rettangolo 399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>
        <a:xfrm>
          <a:off x="8734778" y="8875889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50</xdr:row>
      <xdr:rowOff>0</xdr:rowOff>
    </xdr:from>
    <xdr:to>
      <xdr:col>20</xdr:col>
      <xdr:colOff>0</xdr:colOff>
      <xdr:row>51</xdr:row>
      <xdr:rowOff>0</xdr:rowOff>
    </xdr:to>
    <xdr:sp macro="" textlink="">
      <xdr:nvSpPr>
        <xdr:cNvPr id="401" name="Rettangolo 400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/>
      </xdr:nvSpPr>
      <xdr:spPr>
        <a:xfrm>
          <a:off x="8734778" y="9242778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199319</xdr:colOff>
      <xdr:row>46</xdr:row>
      <xdr:rowOff>183444</xdr:rowOff>
    </xdr:from>
    <xdr:to>
      <xdr:col>19</xdr:col>
      <xdr:colOff>199320</xdr:colOff>
      <xdr:row>48</xdr:row>
      <xdr:rowOff>0</xdr:rowOff>
    </xdr:to>
    <xdr:cxnSp macro="">
      <xdr:nvCxnSpPr>
        <xdr:cNvPr id="402" name="Connettore 4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CxnSpPr>
          <a:stCxn id="399" idx="2"/>
          <a:endCxn id="400" idx="0"/>
        </xdr:cNvCxnSpPr>
      </xdr:nvCxnSpPr>
      <xdr:spPr>
        <a:xfrm>
          <a:off x="8934097" y="8692444"/>
          <a:ext cx="1" cy="18344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199320</xdr:colOff>
      <xdr:row>48</xdr:row>
      <xdr:rowOff>183444</xdr:rowOff>
    </xdr:from>
    <xdr:to>
      <xdr:col>19</xdr:col>
      <xdr:colOff>199320</xdr:colOff>
      <xdr:row>50</xdr:row>
      <xdr:rowOff>0</xdr:rowOff>
    </xdr:to>
    <xdr:cxnSp macro="">
      <xdr:nvCxnSpPr>
        <xdr:cNvPr id="403" name="Connettore 4 402">
          <a:extLs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CxnSpPr>
          <a:stCxn id="400" idx="2"/>
          <a:endCxn id="401" idx="0"/>
        </xdr:cNvCxnSpPr>
      </xdr:nvCxnSpPr>
      <xdr:spPr>
        <a:xfrm>
          <a:off x="8934098" y="9059333"/>
          <a:ext cx="0" cy="18344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261054</xdr:colOff>
      <xdr:row>42</xdr:row>
      <xdr:rowOff>0</xdr:rowOff>
    </xdr:from>
    <xdr:to>
      <xdr:col>23</xdr:col>
      <xdr:colOff>398638</xdr:colOff>
      <xdr:row>43</xdr:row>
      <xdr:rowOff>0</xdr:rowOff>
    </xdr:to>
    <xdr:sp macro="" textlink="">
      <xdr:nvSpPr>
        <xdr:cNvPr id="404" name="Rettangolo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>
        <a:xfrm>
          <a:off x="10124721" y="7775222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261054</xdr:colOff>
      <xdr:row>44</xdr:row>
      <xdr:rowOff>0</xdr:rowOff>
    </xdr:from>
    <xdr:to>
      <xdr:col>23</xdr:col>
      <xdr:colOff>398638</xdr:colOff>
      <xdr:row>45</xdr:row>
      <xdr:rowOff>0</xdr:rowOff>
    </xdr:to>
    <xdr:sp macro="" textlink="">
      <xdr:nvSpPr>
        <xdr:cNvPr id="405" name="Rettangolo 404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/>
      </xdr:nvSpPr>
      <xdr:spPr>
        <a:xfrm>
          <a:off x="10124721" y="8142111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261054</xdr:colOff>
      <xdr:row>37</xdr:row>
      <xdr:rowOff>0</xdr:rowOff>
    </xdr:from>
    <xdr:to>
      <xdr:col>23</xdr:col>
      <xdr:colOff>398638</xdr:colOff>
      <xdr:row>41</xdr:row>
      <xdr:rowOff>0</xdr:rowOff>
    </xdr:to>
    <xdr:sp macro="" textlink="">
      <xdr:nvSpPr>
        <xdr:cNvPr id="406" name="Rettangolo 405">
          <a:extLs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>
        <a:xfrm>
          <a:off x="10124721" y="6858000"/>
          <a:ext cx="398639" cy="733778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199319</xdr:colOff>
      <xdr:row>41</xdr:row>
      <xdr:rowOff>0</xdr:rowOff>
    </xdr:from>
    <xdr:to>
      <xdr:col>23</xdr:col>
      <xdr:colOff>199319</xdr:colOff>
      <xdr:row>42</xdr:row>
      <xdr:rowOff>0</xdr:rowOff>
    </xdr:to>
    <xdr:cxnSp macro="">
      <xdr:nvCxnSpPr>
        <xdr:cNvPr id="407" name="Connettore 4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CxnSpPr>
          <a:stCxn id="404" idx="0"/>
          <a:endCxn id="406" idx="2"/>
        </xdr:cNvCxnSpPr>
      </xdr:nvCxnSpPr>
      <xdr:spPr>
        <a:xfrm flipV="1">
          <a:off x="10324041" y="7591778"/>
          <a:ext cx="0" cy="1834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248444</xdr:colOff>
      <xdr:row>37</xdr:row>
      <xdr:rowOff>0</xdr:rowOff>
    </xdr:from>
    <xdr:to>
      <xdr:col>24</xdr:col>
      <xdr:colOff>0</xdr:colOff>
      <xdr:row>37</xdr:row>
      <xdr:rowOff>183444</xdr:rowOff>
    </xdr:to>
    <xdr:sp macro="" textlink="">
      <xdr:nvSpPr>
        <xdr:cNvPr id="408" name="Rettangolo 407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>
        <a:xfrm>
          <a:off x="10112111" y="6858000"/>
          <a:ext cx="411250" cy="183444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248444</xdr:colOff>
      <xdr:row>37</xdr:row>
      <xdr:rowOff>183444</xdr:rowOff>
    </xdr:from>
    <xdr:to>
      <xdr:col>24</xdr:col>
      <xdr:colOff>0</xdr:colOff>
      <xdr:row>39</xdr:row>
      <xdr:rowOff>0</xdr:rowOff>
    </xdr:to>
    <xdr:sp macro="" textlink="">
      <xdr:nvSpPr>
        <xdr:cNvPr id="409" name="Rettangolo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/>
      </xdr:nvSpPr>
      <xdr:spPr>
        <a:xfrm>
          <a:off x="10112111" y="7041444"/>
          <a:ext cx="411250" cy="18344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248444</xdr:colOff>
      <xdr:row>48</xdr:row>
      <xdr:rowOff>1</xdr:rowOff>
    </xdr:from>
    <xdr:to>
      <xdr:col>24</xdr:col>
      <xdr:colOff>0</xdr:colOff>
      <xdr:row>49</xdr:row>
      <xdr:rowOff>1</xdr:rowOff>
    </xdr:to>
    <xdr:sp macro="" textlink="">
      <xdr:nvSpPr>
        <xdr:cNvPr id="410" name="Rettangolo 409">
          <a:extLs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>
        <a:xfrm>
          <a:off x="10112111" y="8875890"/>
          <a:ext cx="411250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261054</xdr:colOff>
      <xdr:row>51</xdr:row>
      <xdr:rowOff>0</xdr:rowOff>
    </xdr:from>
    <xdr:to>
      <xdr:col>23</xdr:col>
      <xdr:colOff>398638</xdr:colOff>
      <xdr:row>54</xdr:row>
      <xdr:rowOff>0</xdr:rowOff>
    </xdr:to>
    <xdr:sp macro="" textlink="">
      <xdr:nvSpPr>
        <xdr:cNvPr id="411" name="Rettangolo 410">
          <a:extLs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>
        <a:xfrm>
          <a:off x="10124721" y="9426222"/>
          <a:ext cx="398639" cy="55033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248444</xdr:colOff>
      <xdr:row>48</xdr:row>
      <xdr:rowOff>183444</xdr:rowOff>
    </xdr:from>
    <xdr:to>
      <xdr:col>24</xdr:col>
      <xdr:colOff>0</xdr:colOff>
      <xdr:row>50</xdr:row>
      <xdr:rowOff>0</xdr:rowOff>
    </xdr:to>
    <xdr:sp macro="" textlink="">
      <xdr:nvSpPr>
        <xdr:cNvPr id="412" name="Rettangolo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>
        <a:xfrm>
          <a:off x="10112111" y="9059333"/>
          <a:ext cx="411250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193014</xdr:colOff>
      <xdr:row>50</xdr:row>
      <xdr:rowOff>0</xdr:rowOff>
    </xdr:from>
    <xdr:to>
      <xdr:col>23</xdr:col>
      <xdr:colOff>199319</xdr:colOff>
      <xdr:row>51</xdr:row>
      <xdr:rowOff>0</xdr:rowOff>
    </xdr:to>
    <xdr:cxnSp macro="">
      <xdr:nvCxnSpPr>
        <xdr:cNvPr id="413" name="Connettore 4 412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CxnSpPr>
          <a:stCxn id="412" idx="2"/>
          <a:endCxn id="411" idx="0"/>
        </xdr:cNvCxnSpPr>
      </xdr:nvCxnSpPr>
      <xdr:spPr>
        <a:xfrm>
          <a:off x="10317736" y="9242778"/>
          <a:ext cx="6305" cy="1834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199319</xdr:colOff>
      <xdr:row>54</xdr:row>
      <xdr:rowOff>0</xdr:rowOff>
    </xdr:from>
    <xdr:to>
      <xdr:col>23</xdr:col>
      <xdr:colOff>199319</xdr:colOff>
      <xdr:row>55</xdr:row>
      <xdr:rowOff>0</xdr:rowOff>
    </xdr:to>
    <xdr:cxnSp macro="">
      <xdr:nvCxnSpPr>
        <xdr:cNvPr id="414" name="Connettore 4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CxnSpPr>
          <a:stCxn id="411" idx="2"/>
          <a:endCxn id="415" idx="0"/>
        </xdr:cNvCxnSpPr>
      </xdr:nvCxnSpPr>
      <xdr:spPr>
        <a:xfrm>
          <a:off x="10324041" y="9976556"/>
          <a:ext cx="0" cy="1834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261054</xdr:colOff>
      <xdr:row>55</xdr:row>
      <xdr:rowOff>0</xdr:rowOff>
    </xdr:from>
    <xdr:to>
      <xdr:col>23</xdr:col>
      <xdr:colOff>398638</xdr:colOff>
      <xdr:row>55</xdr:row>
      <xdr:rowOff>183444</xdr:rowOff>
    </xdr:to>
    <xdr:sp macro="" textlink="">
      <xdr:nvSpPr>
        <xdr:cNvPr id="415" name="Rettangolo 414">
          <a:extLs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>
        <a:xfrm>
          <a:off x="10124721" y="10160000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261054</xdr:colOff>
      <xdr:row>57</xdr:row>
      <xdr:rowOff>0</xdr:rowOff>
    </xdr:from>
    <xdr:to>
      <xdr:col>23</xdr:col>
      <xdr:colOff>398638</xdr:colOff>
      <xdr:row>57</xdr:row>
      <xdr:rowOff>183444</xdr:rowOff>
    </xdr:to>
    <xdr:sp macro="" textlink="">
      <xdr:nvSpPr>
        <xdr:cNvPr id="416" name="Rettangolo 415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/>
      </xdr:nvSpPr>
      <xdr:spPr>
        <a:xfrm>
          <a:off x="10124721" y="10526889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199319</xdr:colOff>
      <xdr:row>55</xdr:row>
      <xdr:rowOff>183444</xdr:rowOff>
    </xdr:from>
    <xdr:to>
      <xdr:col>23</xdr:col>
      <xdr:colOff>199319</xdr:colOff>
      <xdr:row>57</xdr:row>
      <xdr:rowOff>0</xdr:rowOff>
    </xdr:to>
    <xdr:cxnSp macro="">
      <xdr:nvCxnSpPr>
        <xdr:cNvPr id="417" name="Connettore 4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CxnSpPr>
          <a:stCxn id="415" idx="2"/>
          <a:endCxn id="416" idx="0"/>
        </xdr:cNvCxnSpPr>
      </xdr:nvCxnSpPr>
      <xdr:spPr>
        <a:xfrm>
          <a:off x="10324041" y="10343444"/>
          <a:ext cx="0" cy="18344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2203</xdr:colOff>
      <xdr:row>42</xdr:row>
      <xdr:rowOff>91723</xdr:rowOff>
    </xdr:from>
    <xdr:to>
      <xdr:col>22</xdr:col>
      <xdr:colOff>261054</xdr:colOff>
      <xdr:row>42</xdr:row>
      <xdr:rowOff>91723</xdr:rowOff>
    </xdr:to>
    <xdr:cxnSp macro="">
      <xdr:nvCxnSpPr>
        <xdr:cNvPr id="418" name="Connettore 4 417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CxnSpPr>
          <a:stCxn id="398" idx="3"/>
          <a:endCxn id="404" idx="1"/>
        </xdr:cNvCxnSpPr>
      </xdr:nvCxnSpPr>
      <xdr:spPr>
        <a:xfrm>
          <a:off x="9135620" y="7866945"/>
          <a:ext cx="989101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199319</xdr:colOff>
      <xdr:row>44</xdr:row>
      <xdr:rowOff>91722</xdr:rowOff>
    </xdr:from>
    <xdr:to>
      <xdr:col>22</xdr:col>
      <xdr:colOff>261054</xdr:colOff>
      <xdr:row>45</xdr:row>
      <xdr:rowOff>183442</xdr:rowOff>
    </xdr:to>
    <xdr:cxnSp macro="">
      <xdr:nvCxnSpPr>
        <xdr:cNvPr id="420" name="Connettore 4 27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CxnSpPr>
          <a:stCxn id="405" idx="1"/>
          <a:endCxn id="399" idx="0"/>
        </xdr:cNvCxnSpPr>
      </xdr:nvCxnSpPr>
      <xdr:spPr>
        <a:xfrm rot="10800000" flipV="1">
          <a:off x="8934097" y="8233833"/>
          <a:ext cx="1190624" cy="275165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398638</xdr:colOff>
      <xdr:row>46</xdr:row>
      <xdr:rowOff>91722</xdr:rowOff>
    </xdr:from>
    <xdr:to>
      <xdr:col>23</xdr:col>
      <xdr:colOff>193014</xdr:colOff>
      <xdr:row>48</xdr:row>
      <xdr:rowOff>1</xdr:rowOff>
    </xdr:to>
    <xdr:cxnSp macro="">
      <xdr:nvCxnSpPr>
        <xdr:cNvPr id="421" name="Connettore 4 34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CxnSpPr>
          <a:stCxn id="399" idx="3"/>
          <a:endCxn id="410" idx="0"/>
        </xdr:cNvCxnSpPr>
      </xdr:nvCxnSpPr>
      <xdr:spPr>
        <a:xfrm>
          <a:off x="9133416" y="8600722"/>
          <a:ext cx="1184320" cy="275168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48</xdr:row>
      <xdr:rowOff>91723</xdr:rowOff>
    </xdr:from>
    <xdr:to>
      <xdr:col>22</xdr:col>
      <xdr:colOff>248444</xdr:colOff>
      <xdr:row>50</xdr:row>
      <xdr:rowOff>91722</xdr:rowOff>
    </xdr:to>
    <xdr:cxnSp macro="">
      <xdr:nvCxnSpPr>
        <xdr:cNvPr id="422" name="Connettore 4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CxnSpPr>
          <a:stCxn id="401" idx="3"/>
          <a:endCxn id="410" idx="1"/>
        </xdr:cNvCxnSpPr>
      </xdr:nvCxnSpPr>
      <xdr:spPr>
        <a:xfrm flipV="1">
          <a:off x="9133417" y="8967612"/>
          <a:ext cx="978694" cy="36688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261054</xdr:colOff>
      <xdr:row>43</xdr:row>
      <xdr:rowOff>0</xdr:rowOff>
    </xdr:from>
    <xdr:to>
      <xdr:col>23</xdr:col>
      <xdr:colOff>199319</xdr:colOff>
      <xdr:row>52</xdr:row>
      <xdr:rowOff>91722</xdr:rowOff>
    </xdr:to>
    <xdr:cxnSp macro="">
      <xdr:nvCxnSpPr>
        <xdr:cNvPr id="423" name="Connettore 4 7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CxnSpPr>
          <a:stCxn id="404" idx="2"/>
          <a:endCxn id="411" idx="1"/>
        </xdr:cNvCxnSpPr>
      </xdr:nvCxnSpPr>
      <xdr:spPr>
        <a:xfrm rot="5400000">
          <a:off x="9353020" y="8730368"/>
          <a:ext cx="1742722" cy="199320"/>
        </a:xfrm>
        <a:prstGeom prst="bentConnector4">
          <a:avLst>
            <a:gd name="adj1" fmla="val 6680"/>
            <a:gd name="adj2" fmla="val 21469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37</xdr:row>
      <xdr:rowOff>0</xdr:rowOff>
    </xdr:from>
    <xdr:to>
      <xdr:col>20</xdr:col>
      <xdr:colOff>1</xdr:colOff>
      <xdr:row>38</xdr:row>
      <xdr:rowOff>0</xdr:rowOff>
    </xdr:to>
    <xdr:sp macro="" textlink="">
      <xdr:nvSpPr>
        <xdr:cNvPr id="430" name="Rettangolo 429">
          <a:extLs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>
        <a:xfrm>
          <a:off x="8755063" y="6826250"/>
          <a:ext cx="400844" cy="182563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38</xdr:row>
      <xdr:rowOff>0</xdr:rowOff>
    </xdr:from>
    <xdr:to>
      <xdr:col>20</xdr:col>
      <xdr:colOff>1</xdr:colOff>
      <xdr:row>39</xdr:row>
      <xdr:rowOff>0</xdr:rowOff>
    </xdr:to>
    <xdr:sp macro="" textlink="">
      <xdr:nvSpPr>
        <xdr:cNvPr id="431" name="Rettangolo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>
        <a:xfrm>
          <a:off x="8755063" y="7008813"/>
          <a:ext cx="400844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35</xdr:row>
      <xdr:rowOff>0</xdr:rowOff>
    </xdr:from>
    <xdr:to>
      <xdr:col>20</xdr:col>
      <xdr:colOff>1</xdr:colOff>
      <xdr:row>36</xdr:row>
      <xdr:rowOff>0</xdr:rowOff>
    </xdr:to>
    <xdr:sp macro="" textlink="">
      <xdr:nvSpPr>
        <xdr:cNvPr id="432" name="Rettangolo 431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>
        <a:xfrm>
          <a:off x="8755063" y="6461125"/>
          <a:ext cx="400844" cy="182563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18</xdr:col>
      <xdr:colOff>400843</xdr:colOff>
      <xdr:row>36</xdr:row>
      <xdr:rowOff>3969</xdr:rowOff>
    </xdr:from>
    <xdr:to>
      <xdr:col>20</xdr:col>
      <xdr:colOff>0</xdr:colOff>
      <xdr:row>37</xdr:row>
      <xdr:rowOff>3969</xdr:rowOff>
    </xdr:to>
    <xdr:sp macro="" textlink="">
      <xdr:nvSpPr>
        <xdr:cNvPr id="433" name="Rettangolo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/>
      </xdr:nvSpPr>
      <xdr:spPr>
        <a:xfrm>
          <a:off x="8755062" y="6647657"/>
          <a:ext cx="400844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18</xdr:col>
      <xdr:colOff>396875</xdr:colOff>
      <xdr:row>33</xdr:row>
      <xdr:rowOff>1</xdr:rowOff>
    </xdr:from>
    <xdr:to>
      <xdr:col>20</xdr:col>
      <xdr:colOff>0</xdr:colOff>
      <xdr:row>34</xdr:row>
      <xdr:rowOff>0</xdr:rowOff>
    </xdr:to>
    <xdr:sp macro="" textlink="">
      <xdr:nvSpPr>
        <xdr:cNvPr id="434" name="Rettangolo 433">
          <a:extLs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>
        <a:xfrm>
          <a:off x="8751094" y="6096001"/>
          <a:ext cx="404812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19</xdr:col>
      <xdr:colOff>0</xdr:colOff>
      <xdr:row>34</xdr:row>
      <xdr:rowOff>0</xdr:rowOff>
    </xdr:from>
    <xdr:to>
      <xdr:col>20</xdr:col>
      <xdr:colOff>0</xdr:colOff>
      <xdr:row>35</xdr:row>
      <xdr:rowOff>0</xdr:rowOff>
    </xdr:to>
    <xdr:sp macro="" textlink="">
      <xdr:nvSpPr>
        <xdr:cNvPr id="435" name="Rettangolo 434">
          <a:extLs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>
        <a:xfrm>
          <a:off x="8755063" y="6278563"/>
          <a:ext cx="400843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1</xdr:colOff>
      <xdr:row>31</xdr:row>
      <xdr:rowOff>0</xdr:rowOff>
    </xdr:from>
    <xdr:to>
      <xdr:col>24</xdr:col>
      <xdr:colOff>0</xdr:colOff>
      <xdr:row>32</xdr:row>
      <xdr:rowOff>0</xdr:rowOff>
    </xdr:to>
    <xdr:sp macro="" textlink="">
      <xdr:nvSpPr>
        <xdr:cNvPr id="436" name="Rettangolo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>
        <a:xfrm>
          <a:off x="10148095" y="5730875"/>
          <a:ext cx="400843" cy="182563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23</xdr:col>
      <xdr:colOff>0</xdr:colOff>
      <xdr:row>32</xdr:row>
      <xdr:rowOff>0</xdr:rowOff>
    </xdr:from>
    <xdr:to>
      <xdr:col>24</xdr:col>
      <xdr:colOff>0</xdr:colOff>
      <xdr:row>33</xdr:row>
      <xdr:rowOff>0</xdr:rowOff>
    </xdr:to>
    <xdr:sp macro="" textlink="">
      <xdr:nvSpPr>
        <xdr:cNvPr id="438" name="Rettangolo 437">
          <a:extLs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>
        <a:xfrm>
          <a:off x="10148094" y="5913438"/>
          <a:ext cx="400844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37</xdr:row>
      <xdr:rowOff>0</xdr:rowOff>
    </xdr:from>
    <xdr:to>
      <xdr:col>21</xdr:col>
      <xdr:colOff>469194</xdr:colOff>
      <xdr:row>37</xdr:row>
      <xdr:rowOff>183444</xdr:rowOff>
    </xdr:to>
    <xdr:sp macro="" textlink="">
      <xdr:nvSpPr>
        <xdr:cNvPr id="439" name="Rettangolo 438">
          <a:extLs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>
        <a:xfrm>
          <a:off x="9394471" y="6858000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37</xdr:row>
      <xdr:rowOff>183444</xdr:rowOff>
    </xdr:from>
    <xdr:to>
      <xdr:col>21</xdr:col>
      <xdr:colOff>469194</xdr:colOff>
      <xdr:row>39</xdr:row>
      <xdr:rowOff>0</xdr:rowOff>
    </xdr:to>
    <xdr:sp macro="" textlink="">
      <xdr:nvSpPr>
        <xdr:cNvPr id="440" name="Rettangolo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>
        <a:xfrm>
          <a:off x="9394471" y="7041444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30</xdr:row>
      <xdr:rowOff>183444</xdr:rowOff>
    </xdr:from>
    <xdr:to>
      <xdr:col>21</xdr:col>
      <xdr:colOff>469194</xdr:colOff>
      <xdr:row>32</xdr:row>
      <xdr:rowOff>0</xdr:rowOff>
    </xdr:to>
    <xdr:sp macro="" textlink="">
      <xdr:nvSpPr>
        <xdr:cNvPr id="441" name="Rettangolo 440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/>
      </xdr:nvSpPr>
      <xdr:spPr>
        <a:xfrm>
          <a:off x="9394471" y="5757333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35</xdr:row>
      <xdr:rowOff>0</xdr:rowOff>
    </xdr:from>
    <xdr:to>
      <xdr:col>21</xdr:col>
      <xdr:colOff>469194</xdr:colOff>
      <xdr:row>36</xdr:row>
      <xdr:rowOff>0</xdr:rowOff>
    </xdr:to>
    <xdr:sp macro="" textlink="">
      <xdr:nvSpPr>
        <xdr:cNvPr id="442" name="Rettangolo 441">
          <a:extLs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>
        <a:xfrm>
          <a:off x="9394471" y="6491111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36</xdr:row>
      <xdr:rowOff>0</xdr:rowOff>
    </xdr:from>
    <xdr:to>
      <xdr:col>21</xdr:col>
      <xdr:colOff>469194</xdr:colOff>
      <xdr:row>37</xdr:row>
      <xdr:rowOff>0</xdr:rowOff>
    </xdr:to>
    <xdr:sp macro="" textlink="">
      <xdr:nvSpPr>
        <xdr:cNvPr id="443" name="Rettangolo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>
        <a:xfrm>
          <a:off x="9394471" y="6674556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33</xdr:row>
      <xdr:rowOff>0</xdr:rowOff>
    </xdr:from>
    <xdr:to>
      <xdr:col>21</xdr:col>
      <xdr:colOff>469194</xdr:colOff>
      <xdr:row>34</xdr:row>
      <xdr:rowOff>0</xdr:rowOff>
    </xdr:to>
    <xdr:sp macro="" textlink="">
      <xdr:nvSpPr>
        <xdr:cNvPr id="444" name="Rettangolo 443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>
        <a:xfrm>
          <a:off x="9394471" y="6124222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34</xdr:row>
      <xdr:rowOff>0</xdr:rowOff>
    </xdr:from>
    <xdr:to>
      <xdr:col>21</xdr:col>
      <xdr:colOff>469194</xdr:colOff>
      <xdr:row>35</xdr:row>
      <xdr:rowOff>0</xdr:rowOff>
    </xdr:to>
    <xdr:sp macro="" textlink="">
      <xdr:nvSpPr>
        <xdr:cNvPr id="445" name="Rettangolo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/>
      </xdr:nvSpPr>
      <xdr:spPr>
        <a:xfrm>
          <a:off x="9394471" y="6307667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261054</xdr:colOff>
      <xdr:row>32</xdr:row>
      <xdr:rowOff>0</xdr:rowOff>
    </xdr:from>
    <xdr:to>
      <xdr:col>21</xdr:col>
      <xdr:colOff>469194</xdr:colOff>
      <xdr:row>33</xdr:row>
      <xdr:rowOff>0</xdr:rowOff>
    </xdr:to>
    <xdr:sp macro="" textlink="">
      <xdr:nvSpPr>
        <xdr:cNvPr id="446" name="Rettangolo 445">
          <a:extLs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>
        <a:xfrm>
          <a:off x="9394471" y="5940778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469194</xdr:colOff>
      <xdr:row>38</xdr:row>
      <xdr:rowOff>91723</xdr:rowOff>
    </xdr:from>
    <xdr:to>
      <xdr:col>23</xdr:col>
      <xdr:colOff>0</xdr:colOff>
      <xdr:row>38</xdr:row>
      <xdr:rowOff>91723</xdr:rowOff>
    </xdr:to>
    <xdr:cxnSp macro="">
      <xdr:nvCxnSpPr>
        <xdr:cNvPr id="447" name="Connettore 4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CxnSpPr>
          <a:stCxn id="440" idx="3"/>
        </xdr:cNvCxnSpPr>
      </xdr:nvCxnSpPr>
      <xdr:spPr>
        <a:xfrm>
          <a:off x="9863666" y="7133167"/>
          <a:ext cx="26105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469194</xdr:colOff>
      <xdr:row>37</xdr:row>
      <xdr:rowOff>91722</xdr:rowOff>
    </xdr:from>
    <xdr:to>
      <xdr:col>23</xdr:col>
      <xdr:colOff>0</xdr:colOff>
      <xdr:row>37</xdr:row>
      <xdr:rowOff>91722</xdr:rowOff>
    </xdr:to>
    <xdr:cxnSp macro="">
      <xdr:nvCxnSpPr>
        <xdr:cNvPr id="448" name="Connettore 4 447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CxnSpPr>
          <a:stCxn id="439" idx="3"/>
        </xdr:cNvCxnSpPr>
      </xdr:nvCxnSpPr>
      <xdr:spPr>
        <a:xfrm>
          <a:off x="9863666" y="6949722"/>
          <a:ext cx="26105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469194</xdr:colOff>
      <xdr:row>32</xdr:row>
      <xdr:rowOff>91722</xdr:rowOff>
    </xdr:from>
    <xdr:to>
      <xdr:col>23</xdr:col>
      <xdr:colOff>0</xdr:colOff>
      <xdr:row>32</xdr:row>
      <xdr:rowOff>91722</xdr:rowOff>
    </xdr:to>
    <xdr:cxnSp macro="">
      <xdr:nvCxnSpPr>
        <xdr:cNvPr id="449" name="Connettore 4 448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CxnSpPr>
          <a:stCxn id="446" idx="3"/>
          <a:endCxn id="438" idx="1"/>
        </xdr:cNvCxnSpPr>
      </xdr:nvCxnSpPr>
      <xdr:spPr>
        <a:xfrm>
          <a:off x="9863666" y="6032500"/>
          <a:ext cx="261056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469194</xdr:colOff>
      <xdr:row>31</xdr:row>
      <xdr:rowOff>91723</xdr:rowOff>
    </xdr:from>
    <xdr:to>
      <xdr:col>23</xdr:col>
      <xdr:colOff>1</xdr:colOff>
      <xdr:row>31</xdr:row>
      <xdr:rowOff>91723</xdr:rowOff>
    </xdr:to>
    <xdr:cxnSp macro="">
      <xdr:nvCxnSpPr>
        <xdr:cNvPr id="450" name="Connettore 4 449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CxnSpPr>
          <a:stCxn id="436" idx="1"/>
          <a:endCxn id="441" idx="3"/>
        </xdr:cNvCxnSpPr>
      </xdr:nvCxnSpPr>
      <xdr:spPr>
        <a:xfrm flipH="1">
          <a:off x="9863666" y="5849056"/>
          <a:ext cx="261057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34</xdr:row>
      <xdr:rowOff>91722</xdr:rowOff>
    </xdr:from>
    <xdr:to>
      <xdr:col>20</xdr:col>
      <xdr:colOff>261054</xdr:colOff>
      <xdr:row>34</xdr:row>
      <xdr:rowOff>91722</xdr:rowOff>
    </xdr:to>
    <xdr:cxnSp macro="">
      <xdr:nvCxnSpPr>
        <xdr:cNvPr id="451" name="Connettore 4 450">
          <a:extLs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CxnSpPr>
          <a:stCxn id="435" idx="3"/>
          <a:endCxn id="445" idx="1"/>
        </xdr:cNvCxnSpPr>
      </xdr:nvCxnSpPr>
      <xdr:spPr>
        <a:xfrm>
          <a:off x="9133417" y="6399389"/>
          <a:ext cx="261054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33</xdr:row>
      <xdr:rowOff>91723</xdr:rowOff>
    </xdr:from>
    <xdr:to>
      <xdr:col>20</xdr:col>
      <xdr:colOff>261054</xdr:colOff>
      <xdr:row>33</xdr:row>
      <xdr:rowOff>91723</xdr:rowOff>
    </xdr:to>
    <xdr:cxnSp macro="">
      <xdr:nvCxnSpPr>
        <xdr:cNvPr id="452" name="Connettore 4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CxnSpPr>
          <a:stCxn id="444" idx="1"/>
          <a:endCxn id="434" idx="3"/>
        </xdr:cNvCxnSpPr>
      </xdr:nvCxnSpPr>
      <xdr:spPr>
        <a:xfrm flipH="1">
          <a:off x="9133417" y="6215945"/>
          <a:ext cx="261054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36</xdr:row>
      <xdr:rowOff>91722</xdr:rowOff>
    </xdr:from>
    <xdr:to>
      <xdr:col>20</xdr:col>
      <xdr:colOff>261054</xdr:colOff>
      <xdr:row>36</xdr:row>
      <xdr:rowOff>95691</xdr:rowOff>
    </xdr:to>
    <xdr:cxnSp macro="">
      <xdr:nvCxnSpPr>
        <xdr:cNvPr id="453" name="Connettore 4 452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CxnSpPr>
          <a:stCxn id="433" idx="3"/>
          <a:endCxn id="443" idx="1"/>
        </xdr:cNvCxnSpPr>
      </xdr:nvCxnSpPr>
      <xdr:spPr>
        <a:xfrm flipV="1">
          <a:off x="9133417" y="6766278"/>
          <a:ext cx="261054" cy="3969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</xdr:colOff>
      <xdr:row>35</xdr:row>
      <xdr:rowOff>91723</xdr:rowOff>
    </xdr:from>
    <xdr:to>
      <xdr:col>20</xdr:col>
      <xdr:colOff>261054</xdr:colOff>
      <xdr:row>35</xdr:row>
      <xdr:rowOff>91723</xdr:rowOff>
    </xdr:to>
    <xdr:cxnSp macro="">
      <xdr:nvCxnSpPr>
        <xdr:cNvPr id="454" name="Connettore 4 453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CxnSpPr>
          <a:stCxn id="442" idx="1"/>
          <a:endCxn id="432" idx="3"/>
        </xdr:cNvCxnSpPr>
      </xdr:nvCxnSpPr>
      <xdr:spPr>
        <a:xfrm flipH="1">
          <a:off x="9133418" y="6582834"/>
          <a:ext cx="261053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</xdr:colOff>
      <xdr:row>38</xdr:row>
      <xdr:rowOff>91723</xdr:rowOff>
    </xdr:from>
    <xdr:to>
      <xdr:col>20</xdr:col>
      <xdr:colOff>261054</xdr:colOff>
      <xdr:row>38</xdr:row>
      <xdr:rowOff>91723</xdr:rowOff>
    </xdr:to>
    <xdr:cxnSp macro="">
      <xdr:nvCxnSpPr>
        <xdr:cNvPr id="455" name="Connettore 4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CxnSpPr>
          <a:stCxn id="431" idx="3"/>
          <a:endCxn id="440" idx="1"/>
        </xdr:cNvCxnSpPr>
      </xdr:nvCxnSpPr>
      <xdr:spPr>
        <a:xfrm>
          <a:off x="9133418" y="7133167"/>
          <a:ext cx="261053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</xdr:colOff>
      <xdr:row>37</xdr:row>
      <xdr:rowOff>91722</xdr:rowOff>
    </xdr:from>
    <xdr:to>
      <xdr:col>20</xdr:col>
      <xdr:colOff>261054</xdr:colOff>
      <xdr:row>37</xdr:row>
      <xdr:rowOff>91722</xdr:rowOff>
    </xdr:to>
    <xdr:cxnSp macro="">
      <xdr:nvCxnSpPr>
        <xdr:cNvPr id="456" name="Connettore 4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CxnSpPr>
          <a:stCxn id="439" idx="1"/>
          <a:endCxn id="430" idx="3"/>
        </xdr:cNvCxnSpPr>
      </xdr:nvCxnSpPr>
      <xdr:spPr>
        <a:xfrm flipH="1">
          <a:off x="9133418" y="6949722"/>
          <a:ext cx="261053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398638</xdr:colOff>
      <xdr:row>42</xdr:row>
      <xdr:rowOff>0</xdr:rowOff>
    </xdr:from>
    <xdr:to>
      <xdr:col>26</xdr:col>
      <xdr:colOff>398638</xdr:colOff>
      <xdr:row>43</xdr:row>
      <xdr:rowOff>0</xdr:rowOff>
    </xdr:to>
    <xdr:sp macro="" textlink="">
      <xdr:nvSpPr>
        <xdr:cNvPr id="578" name="Rettangolo 577">
          <a:extLs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SpPr/>
      </xdr:nvSpPr>
      <xdr:spPr>
        <a:xfrm>
          <a:off x="11320638" y="7775222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25</xdr:col>
      <xdr:colOff>398638</xdr:colOff>
      <xdr:row>46</xdr:row>
      <xdr:rowOff>0</xdr:rowOff>
    </xdr:from>
    <xdr:to>
      <xdr:col>26</xdr:col>
      <xdr:colOff>398638</xdr:colOff>
      <xdr:row>46</xdr:row>
      <xdr:rowOff>183444</xdr:rowOff>
    </xdr:to>
    <xdr:sp macro="" textlink="">
      <xdr:nvSpPr>
        <xdr:cNvPr id="579" name="Rettangolo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SpPr/>
      </xdr:nvSpPr>
      <xdr:spPr>
        <a:xfrm>
          <a:off x="11320638" y="8509000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25</xdr:col>
      <xdr:colOff>398638</xdr:colOff>
      <xdr:row>48</xdr:row>
      <xdr:rowOff>0</xdr:rowOff>
    </xdr:from>
    <xdr:to>
      <xdr:col>26</xdr:col>
      <xdr:colOff>398638</xdr:colOff>
      <xdr:row>48</xdr:row>
      <xdr:rowOff>183444</xdr:rowOff>
    </xdr:to>
    <xdr:sp macro="" textlink="">
      <xdr:nvSpPr>
        <xdr:cNvPr id="580" name="Rettangolo 579">
          <a:extLs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SpPr/>
      </xdr:nvSpPr>
      <xdr:spPr>
        <a:xfrm>
          <a:off x="11320638" y="8875889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50</xdr:row>
      <xdr:rowOff>1</xdr:rowOff>
    </xdr:from>
    <xdr:to>
      <xdr:col>27</xdr:col>
      <xdr:colOff>0</xdr:colOff>
      <xdr:row>51</xdr:row>
      <xdr:rowOff>1</xdr:rowOff>
    </xdr:to>
    <xdr:sp macro="" textlink="">
      <xdr:nvSpPr>
        <xdr:cNvPr id="581" name="Rettangolo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SpPr/>
      </xdr:nvSpPr>
      <xdr:spPr>
        <a:xfrm>
          <a:off x="11320639" y="9242779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199319</xdr:colOff>
      <xdr:row>46</xdr:row>
      <xdr:rowOff>183444</xdr:rowOff>
    </xdr:from>
    <xdr:to>
      <xdr:col>26</xdr:col>
      <xdr:colOff>199319</xdr:colOff>
      <xdr:row>48</xdr:row>
      <xdr:rowOff>0</xdr:rowOff>
    </xdr:to>
    <xdr:cxnSp macro="">
      <xdr:nvCxnSpPr>
        <xdr:cNvPr id="582" name="Connettore 4 581">
          <a:extLs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CxnSpPr>
          <a:stCxn id="579" idx="2"/>
          <a:endCxn id="580" idx="0"/>
        </xdr:cNvCxnSpPr>
      </xdr:nvCxnSpPr>
      <xdr:spPr>
        <a:xfrm>
          <a:off x="11519958" y="8692444"/>
          <a:ext cx="0" cy="18344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199319</xdr:colOff>
      <xdr:row>48</xdr:row>
      <xdr:rowOff>183444</xdr:rowOff>
    </xdr:from>
    <xdr:to>
      <xdr:col>26</xdr:col>
      <xdr:colOff>199320</xdr:colOff>
      <xdr:row>50</xdr:row>
      <xdr:rowOff>1</xdr:rowOff>
    </xdr:to>
    <xdr:cxnSp macro="">
      <xdr:nvCxnSpPr>
        <xdr:cNvPr id="583" name="Connettore 4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CxnSpPr>
          <a:stCxn id="580" idx="2"/>
          <a:endCxn id="581" idx="0"/>
        </xdr:cNvCxnSpPr>
      </xdr:nvCxnSpPr>
      <xdr:spPr>
        <a:xfrm>
          <a:off x="11519958" y="9059333"/>
          <a:ext cx="1" cy="18344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261054</xdr:colOff>
      <xdr:row>42</xdr:row>
      <xdr:rowOff>0</xdr:rowOff>
    </xdr:from>
    <xdr:to>
      <xdr:col>30</xdr:col>
      <xdr:colOff>398638</xdr:colOff>
      <xdr:row>43</xdr:row>
      <xdr:rowOff>0</xdr:rowOff>
    </xdr:to>
    <xdr:sp macro="" textlink="">
      <xdr:nvSpPr>
        <xdr:cNvPr id="584" name="Rettangolo 583">
          <a:extLs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SpPr/>
      </xdr:nvSpPr>
      <xdr:spPr>
        <a:xfrm>
          <a:off x="12710582" y="7775222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261054</xdr:colOff>
      <xdr:row>44</xdr:row>
      <xdr:rowOff>0</xdr:rowOff>
    </xdr:from>
    <xdr:to>
      <xdr:col>30</xdr:col>
      <xdr:colOff>398638</xdr:colOff>
      <xdr:row>45</xdr:row>
      <xdr:rowOff>0</xdr:rowOff>
    </xdr:to>
    <xdr:sp macro="" textlink="">
      <xdr:nvSpPr>
        <xdr:cNvPr id="585" name="Rettangolo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SpPr/>
      </xdr:nvSpPr>
      <xdr:spPr>
        <a:xfrm>
          <a:off x="12710582" y="8142111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261054</xdr:colOff>
      <xdr:row>37</xdr:row>
      <xdr:rowOff>0</xdr:rowOff>
    </xdr:from>
    <xdr:to>
      <xdr:col>30</xdr:col>
      <xdr:colOff>398638</xdr:colOff>
      <xdr:row>41</xdr:row>
      <xdr:rowOff>0</xdr:rowOff>
    </xdr:to>
    <xdr:sp macro="" textlink="">
      <xdr:nvSpPr>
        <xdr:cNvPr id="586" name="Rettangolo 585">
          <a:extLs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SpPr/>
      </xdr:nvSpPr>
      <xdr:spPr>
        <a:xfrm>
          <a:off x="12710582" y="6858000"/>
          <a:ext cx="398639" cy="733778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199319</xdr:colOff>
      <xdr:row>41</xdr:row>
      <xdr:rowOff>0</xdr:rowOff>
    </xdr:from>
    <xdr:to>
      <xdr:col>30</xdr:col>
      <xdr:colOff>199319</xdr:colOff>
      <xdr:row>42</xdr:row>
      <xdr:rowOff>0</xdr:rowOff>
    </xdr:to>
    <xdr:cxnSp macro="">
      <xdr:nvCxnSpPr>
        <xdr:cNvPr id="587" name="Connettore 4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CxnSpPr>
          <a:stCxn id="584" idx="0"/>
          <a:endCxn id="586" idx="2"/>
        </xdr:cNvCxnSpPr>
      </xdr:nvCxnSpPr>
      <xdr:spPr>
        <a:xfrm flipV="1">
          <a:off x="12909902" y="7591778"/>
          <a:ext cx="0" cy="1834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248444</xdr:colOff>
      <xdr:row>37</xdr:row>
      <xdr:rowOff>0</xdr:rowOff>
    </xdr:from>
    <xdr:to>
      <xdr:col>30</xdr:col>
      <xdr:colOff>379412</xdr:colOff>
      <xdr:row>38</xdr:row>
      <xdr:rowOff>0</xdr:rowOff>
    </xdr:to>
    <xdr:sp macro="" textlink="">
      <xdr:nvSpPr>
        <xdr:cNvPr id="588" name="Rettangolo 587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SpPr/>
      </xdr:nvSpPr>
      <xdr:spPr>
        <a:xfrm>
          <a:off x="9261475" y="68580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248444</xdr:colOff>
      <xdr:row>38</xdr:row>
      <xdr:rowOff>0</xdr:rowOff>
    </xdr:from>
    <xdr:to>
      <xdr:col>30</xdr:col>
      <xdr:colOff>379412</xdr:colOff>
      <xdr:row>39</xdr:row>
      <xdr:rowOff>0</xdr:rowOff>
    </xdr:to>
    <xdr:sp macro="" textlink="">
      <xdr:nvSpPr>
        <xdr:cNvPr id="589" name="Rettangolo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SpPr/>
      </xdr:nvSpPr>
      <xdr:spPr>
        <a:xfrm>
          <a:off x="9261475" y="704850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261054</xdr:colOff>
      <xdr:row>48</xdr:row>
      <xdr:rowOff>1</xdr:rowOff>
    </xdr:from>
    <xdr:to>
      <xdr:col>30</xdr:col>
      <xdr:colOff>398638</xdr:colOff>
      <xdr:row>49</xdr:row>
      <xdr:rowOff>1</xdr:rowOff>
    </xdr:to>
    <xdr:sp macro="" textlink="">
      <xdr:nvSpPr>
        <xdr:cNvPr id="590" name="Rettangolo 589">
          <a:extLs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SpPr/>
      </xdr:nvSpPr>
      <xdr:spPr>
        <a:xfrm>
          <a:off x="12710582" y="8875890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261054</xdr:colOff>
      <xdr:row>51</xdr:row>
      <xdr:rowOff>0</xdr:rowOff>
    </xdr:from>
    <xdr:to>
      <xdr:col>30</xdr:col>
      <xdr:colOff>398638</xdr:colOff>
      <xdr:row>54</xdr:row>
      <xdr:rowOff>0</xdr:rowOff>
    </xdr:to>
    <xdr:sp macro="" textlink="">
      <xdr:nvSpPr>
        <xdr:cNvPr id="591" name="Rettangolo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SpPr/>
      </xdr:nvSpPr>
      <xdr:spPr>
        <a:xfrm>
          <a:off x="12710582" y="9426222"/>
          <a:ext cx="398639" cy="55033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261054</xdr:colOff>
      <xdr:row>48</xdr:row>
      <xdr:rowOff>183444</xdr:rowOff>
    </xdr:from>
    <xdr:to>
      <xdr:col>30</xdr:col>
      <xdr:colOff>398638</xdr:colOff>
      <xdr:row>50</xdr:row>
      <xdr:rowOff>0</xdr:rowOff>
    </xdr:to>
    <xdr:sp macro="" textlink="">
      <xdr:nvSpPr>
        <xdr:cNvPr id="592" name="Rettangolo 591">
          <a:extLs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SpPr/>
      </xdr:nvSpPr>
      <xdr:spPr>
        <a:xfrm>
          <a:off x="12710582" y="9059333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199319</xdr:colOff>
      <xdr:row>50</xdr:row>
      <xdr:rowOff>0</xdr:rowOff>
    </xdr:from>
    <xdr:to>
      <xdr:col>30</xdr:col>
      <xdr:colOff>199319</xdr:colOff>
      <xdr:row>51</xdr:row>
      <xdr:rowOff>0</xdr:rowOff>
    </xdr:to>
    <xdr:cxnSp macro="">
      <xdr:nvCxnSpPr>
        <xdr:cNvPr id="593" name="Connettore 4 592">
          <a:extLs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CxnSpPr>
          <a:stCxn id="592" idx="2"/>
          <a:endCxn id="591" idx="0"/>
        </xdr:cNvCxnSpPr>
      </xdr:nvCxnSpPr>
      <xdr:spPr>
        <a:xfrm>
          <a:off x="12909902" y="9242778"/>
          <a:ext cx="0" cy="1834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199319</xdr:colOff>
      <xdr:row>54</xdr:row>
      <xdr:rowOff>0</xdr:rowOff>
    </xdr:from>
    <xdr:to>
      <xdr:col>30</xdr:col>
      <xdr:colOff>199319</xdr:colOff>
      <xdr:row>55</xdr:row>
      <xdr:rowOff>0</xdr:rowOff>
    </xdr:to>
    <xdr:cxnSp macro="">
      <xdr:nvCxnSpPr>
        <xdr:cNvPr id="594" name="Connettore 4 593">
          <a:extLs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CxnSpPr>
          <a:stCxn id="591" idx="2"/>
          <a:endCxn id="595" idx="0"/>
        </xdr:cNvCxnSpPr>
      </xdr:nvCxnSpPr>
      <xdr:spPr>
        <a:xfrm>
          <a:off x="12909902" y="9976556"/>
          <a:ext cx="0" cy="1834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261054</xdr:colOff>
      <xdr:row>55</xdr:row>
      <xdr:rowOff>0</xdr:rowOff>
    </xdr:from>
    <xdr:to>
      <xdr:col>30</xdr:col>
      <xdr:colOff>398638</xdr:colOff>
      <xdr:row>55</xdr:row>
      <xdr:rowOff>183444</xdr:rowOff>
    </xdr:to>
    <xdr:sp macro="" textlink="">
      <xdr:nvSpPr>
        <xdr:cNvPr id="595" name="Rettangolo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SpPr/>
      </xdr:nvSpPr>
      <xdr:spPr>
        <a:xfrm>
          <a:off x="12710582" y="10160000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261054</xdr:colOff>
      <xdr:row>57</xdr:row>
      <xdr:rowOff>0</xdr:rowOff>
    </xdr:from>
    <xdr:to>
      <xdr:col>30</xdr:col>
      <xdr:colOff>398638</xdr:colOff>
      <xdr:row>57</xdr:row>
      <xdr:rowOff>183444</xdr:rowOff>
    </xdr:to>
    <xdr:sp macro="" textlink="">
      <xdr:nvSpPr>
        <xdr:cNvPr id="596" name="Rettangolo 595">
          <a:extLs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SpPr/>
      </xdr:nvSpPr>
      <xdr:spPr>
        <a:xfrm>
          <a:off x="12710582" y="10526889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199319</xdr:colOff>
      <xdr:row>55</xdr:row>
      <xdr:rowOff>183444</xdr:rowOff>
    </xdr:from>
    <xdr:to>
      <xdr:col>30</xdr:col>
      <xdr:colOff>199319</xdr:colOff>
      <xdr:row>57</xdr:row>
      <xdr:rowOff>0</xdr:rowOff>
    </xdr:to>
    <xdr:cxnSp macro="">
      <xdr:nvCxnSpPr>
        <xdr:cNvPr id="597" name="Connettore 4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CxnSpPr>
          <a:stCxn id="595" idx="2"/>
          <a:endCxn id="596" idx="0"/>
        </xdr:cNvCxnSpPr>
      </xdr:nvCxnSpPr>
      <xdr:spPr>
        <a:xfrm>
          <a:off x="12909902" y="10343444"/>
          <a:ext cx="0" cy="18344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398638</xdr:colOff>
      <xdr:row>42</xdr:row>
      <xdr:rowOff>91723</xdr:rowOff>
    </xdr:from>
    <xdr:to>
      <xdr:col>29</xdr:col>
      <xdr:colOff>261054</xdr:colOff>
      <xdr:row>42</xdr:row>
      <xdr:rowOff>91723</xdr:rowOff>
    </xdr:to>
    <xdr:cxnSp macro="">
      <xdr:nvCxnSpPr>
        <xdr:cNvPr id="598" name="Connettore 4 597">
          <a:extLs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CxnSpPr>
          <a:stCxn id="578" idx="3"/>
          <a:endCxn id="584" idx="1"/>
        </xdr:cNvCxnSpPr>
      </xdr:nvCxnSpPr>
      <xdr:spPr>
        <a:xfrm>
          <a:off x="11719277" y="7866945"/>
          <a:ext cx="99130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379412</xdr:colOff>
      <xdr:row>38</xdr:row>
      <xdr:rowOff>91723</xdr:rowOff>
    </xdr:from>
    <xdr:to>
      <xdr:col>30</xdr:col>
      <xdr:colOff>398638</xdr:colOff>
      <xdr:row>44</xdr:row>
      <xdr:rowOff>91723</xdr:rowOff>
    </xdr:to>
    <xdr:cxnSp macro="">
      <xdr:nvCxnSpPr>
        <xdr:cNvPr id="599" name="Connettore 4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CxnSpPr>
          <a:stCxn id="589" idx="3"/>
          <a:endCxn id="585" idx="3"/>
        </xdr:cNvCxnSpPr>
      </xdr:nvCxnSpPr>
      <xdr:spPr>
        <a:xfrm>
          <a:off x="13089995" y="7133167"/>
          <a:ext cx="19226" cy="1100667"/>
        </a:xfrm>
        <a:prstGeom prst="bentConnector3">
          <a:avLst>
            <a:gd name="adj1" fmla="val 1289015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199319</xdr:colOff>
      <xdr:row>44</xdr:row>
      <xdr:rowOff>91723</xdr:rowOff>
    </xdr:from>
    <xdr:to>
      <xdr:col>29</xdr:col>
      <xdr:colOff>261054</xdr:colOff>
      <xdr:row>46</xdr:row>
      <xdr:rowOff>0</xdr:rowOff>
    </xdr:to>
    <xdr:cxnSp macro="">
      <xdr:nvCxnSpPr>
        <xdr:cNvPr id="600" name="Connettore 4 27">
          <a:extLs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CxnSpPr>
          <a:stCxn id="585" idx="1"/>
          <a:endCxn id="579" idx="0"/>
        </xdr:cNvCxnSpPr>
      </xdr:nvCxnSpPr>
      <xdr:spPr>
        <a:xfrm rot="10800000" flipV="1">
          <a:off x="11519958" y="8233834"/>
          <a:ext cx="1190624" cy="275166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398638</xdr:colOff>
      <xdr:row>46</xdr:row>
      <xdr:rowOff>91722</xdr:rowOff>
    </xdr:from>
    <xdr:to>
      <xdr:col>30</xdr:col>
      <xdr:colOff>199319</xdr:colOff>
      <xdr:row>48</xdr:row>
      <xdr:rowOff>1</xdr:rowOff>
    </xdr:to>
    <xdr:cxnSp macro="">
      <xdr:nvCxnSpPr>
        <xdr:cNvPr id="601" name="Connettore 4 34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CxnSpPr>
          <a:stCxn id="579" idx="3"/>
          <a:endCxn id="590" idx="0"/>
        </xdr:cNvCxnSpPr>
      </xdr:nvCxnSpPr>
      <xdr:spPr>
        <a:xfrm>
          <a:off x="11719277" y="8600722"/>
          <a:ext cx="1190625" cy="275168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48</xdr:row>
      <xdr:rowOff>91723</xdr:rowOff>
    </xdr:from>
    <xdr:to>
      <xdr:col>29</xdr:col>
      <xdr:colOff>261054</xdr:colOff>
      <xdr:row>50</xdr:row>
      <xdr:rowOff>91723</xdr:rowOff>
    </xdr:to>
    <xdr:cxnSp macro="">
      <xdr:nvCxnSpPr>
        <xdr:cNvPr id="602" name="Connettore 4 601">
          <a:extLs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CxnSpPr>
          <a:stCxn id="581" idx="3"/>
          <a:endCxn id="590" idx="1"/>
        </xdr:cNvCxnSpPr>
      </xdr:nvCxnSpPr>
      <xdr:spPr>
        <a:xfrm flipV="1">
          <a:off x="11719278" y="8967612"/>
          <a:ext cx="991304" cy="36688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261054</xdr:colOff>
      <xdr:row>43</xdr:row>
      <xdr:rowOff>0</xdr:rowOff>
    </xdr:from>
    <xdr:to>
      <xdr:col>30</xdr:col>
      <xdr:colOff>199319</xdr:colOff>
      <xdr:row>52</xdr:row>
      <xdr:rowOff>91722</xdr:rowOff>
    </xdr:to>
    <xdr:cxnSp macro="">
      <xdr:nvCxnSpPr>
        <xdr:cNvPr id="603" name="Connettore 4 7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CxnSpPr>
          <a:stCxn id="584" idx="2"/>
          <a:endCxn id="591" idx="1"/>
        </xdr:cNvCxnSpPr>
      </xdr:nvCxnSpPr>
      <xdr:spPr>
        <a:xfrm rot="5400000">
          <a:off x="11938881" y="8730368"/>
          <a:ext cx="1742722" cy="199320"/>
        </a:xfrm>
        <a:prstGeom prst="bentConnector4">
          <a:avLst>
            <a:gd name="adj1" fmla="val 6073"/>
            <a:gd name="adj2" fmla="val 21469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37</xdr:row>
      <xdr:rowOff>3528</xdr:rowOff>
    </xdr:from>
    <xdr:to>
      <xdr:col>27</xdr:col>
      <xdr:colOff>0</xdr:colOff>
      <xdr:row>38</xdr:row>
      <xdr:rowOff>3528</xdr:rowOff>
    </xdr:to>
    <xdr:sp macro="" textlink="">
      <xdr:nvSpPr>
        <xdr:cNvPr id="610" name="Rettangolo 609">
          <a:extLs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SpPr/>
      </xdr:nvSpPr>
      <xdr:spPr>
        <a:xfrm>
          <a:off x="11320639" y="6861528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38</xdr:row>
      <xdr:rowOff>3527</xdr:rowOff>
    </xdr:from>
    <xdr:to>
      <xdr:col>27</xdr:col>
      <xdr:colOff>0</xdr:colOff>
      <xdr:row>39</xdr:row>
      <xdr:rowOff>3527</xdr:rowOff>
    </xdr:to>
    <xdr:sp macro="" textlink="">
      <xdr:nvSpPr>
        <xdr:cNvPr id="611" name="Rettangolo 610">
          <a:extLs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SpPr/>
      </xdr:nvSpPr>
      <xdr:spPr>
        <a:xfrm>
          <a:off x="11320639" y="7044971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27</xdr:col>
      <xdr:colOff>0</xdr:colOff>
      <xdr:row>36</xdr:row>
      <xdr:rowOff>0</xdr:rowOff>
    </xdr:to>
    <xdr:sp macro="" textlink="">
      <xdr:nvSpPr>
        <xdr:cNvPr id="612" name="Rettangolo 611">
          <a:extLs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SpPr/>
      </xdr:nvSpPr>
      <xdr:spPr>
        <a:xfrm>
          <a:off x="11320639" y="6491111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36</xdr:row>
      <xdr:rowOff>0</xdr:rowOff>
    </xdr:from>
    <xdr:to>
      <xdr:col>27</xdr:col>
      <xdr:colOff>0</xdr:colOff>
      <xdr:row>37</xdr:row>
      <xdr:rowOff>0</xdr:rowOff>
    </xdr:to>
    <xdr:sp macro="" textlink="">
      <xdr:nvSpPr>
        <xdr:cNvPr id="613" name="Rettangolo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SpPr/>
      </xdr:nvSpPr>
      <xdr:spPr>
        <a:xfrm>
          <a:off x="11320639" y="6674556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33</xdr:row>
      <xdr:rowOff>0</xdr:rowOff>
    </xdr:from>
    <xdr:to>
      <xdr:col>27</xdr:col>
      <xdr:colOff>0</xdr:colOff>
      <xdr:row>34</xdr:row>
      <xdr:rowOff>0</xdr:rowOff>
    </xdr:to>
    <xdr:sp macro="" textlink="">
      <xdr:nvSpPr>
        <xdr:cNvPr id="614" name="Rettangolo 613">
          <a:extLs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SpPr/>
      </xdr:nvSpPr>
      <xdr:spPr>
        <a:xfrm>
          <a:off x="11320639" y="6124222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34</xdr:row>
      <xdr:rowOff>0</xdr:rowOff>
    </xdr:from>
    <xdr:to>
      <xdr:col>27</xdr:col>
      <xdr:colOff>0</xdr:colOff>
      <xdr:row>35</xdr:row>
      <xdr:rowOff>0</xdr:rowOff>
    </xdr:to>
    <xdr:sp macro="" textlink="">
      <xdr:nvSpPr>
        <xdr:cNvPr id="615" name="Rettangolo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SpPr/>
      </xdr:nvSpPr>
      <xdr:spPr>
        <a:xfrm>
          <a:off x="11320639" y="6307667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261055</xdr:colOff>
      <xdr:row>30</xdr:row>
      <xdr:rowOff>183444</xdr:rowOff>
    </xdr:from>
    <xdr:to>
      <xdr:col>31</xdr:col>
      <xdr:colOff>0</xdr:colOff>
      <xdr:row>32</xdr:row>
      <xdr:rowOff>0</xdr:rowOff>
    </xdr:to>
    <xdr:sp macro="" textlink="">
      <xdr:nvSpPr>
        <xdr:cNvPr id="616" name="Rettangolo 615">
          <a:extLs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SpPr/>
      </xdr:nvSpPr>
      <xdr:spPr>
        <a:xfrm>
          <a:off x="12710583" y="5757333"/>
          <a:ext cx="398639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261055</xdr:colOff>
      <xdr:row>32</xdr:row>
      <xdr:rowOff>0</xdr:rowOff>
    </xdr:from>
    <xdr:to>
      <xdr:col>31</xdr:col>
      <xdr:colOff>0</xdr:colOff>
      <xdr:row>33</xdr:row>
      <xdr:rowOff>0</xdr:rowOff>
    </xdr:to>
    <xdr:sp macro="" textlink="">
      <xdr:nvSpPr>
        <xdr:cNvPr id="618" name="Rettangolo 617">
          <a:extLs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SpPr/>
      </xdr:nvSpPr>
      <xdr:spPr>
        <a:xfrm>
          <a:off x="12710583" y="5940778"/>
          <a:ext cx="398639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37</xdr:row>
      <xdr:rowOff>0</xdr:rowOff>
    </xdr:from>
    <xdr:to>
      <xdr:col>28</xdr:col>
      <xdr:colOff>469194</xdr:colOff>
      <xdr:row>37</xdr:row>
      <xdr:rowOff>183444</xdr:rowOff>
    </xdr:to>
    <xdr:sp macro="" textlink="">
      <xdr:nvSpPr>
        <xdr:cNvPr id="619" name="Rettangolo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SpPr/>
      </xdr:nvSpPr>
      <xdr:spPr>
        <a:xfrm>
          <a:off x="11980332" y="6858000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37</xdr:row>
      <xdr:rowOff>183444</xdr:rowOff>
    </xdr:from>
    <xdr:to>
      <xdr:col>28</xdr:col>
      <xdr:colOff>469194</xdr:colOff>
      <xdr:row>39</xdr:row>
      <xdr:rowOff>0</xdr:rowOff>
    </xdr:to>
    <xdr:sp macro="" textlink="">
      <xdr:nvSpPr>
        <xdr:cNvPr id="620" name="Rettangolo 619">
          <a:extLs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SpPr/>
      </xdr:nvSpPr>
      <xdr:spPr>
        <a:xfrm>
          <a:off x="11980332" y="7041444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30</xdr:row>
      <xdr:rowOff>183444</xdr:rowOff>
    </xdr:from>
    <xdr:to>
      <xdr:col>28</xdr:col>
      <xdr:colOff>469194</xdr:colOff>
      <xdr:row>32</xdr:row>
      <xdr:rowOff>0</xdr:rowOff>
    </xdr:to>
    <xdr:sp macro="" textlink="">
      <xdr:nvSpPr>
        <xdr:cNvPr id="621" name="Rettangolo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SpPr/>
      </xdr:nvSpPr>
      <xdr:spPr>
        <a:xfrm>
          <a:off x="11980332" y="5757333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35</xdr:row>
      <xdr:rowOff>0</xdr:rowOff>
    </xdr:from>
    <xdr:to>
      <xdr:col>28</xdr:col>
      <xdr:colOff>469194</xdr:colOff>
      <xdr:row>36</xdr:row>
      <xdr:rowOff>0</xdr:rowOff>
    </xdr:to>
    <xdr:sp macro="" textlink="">
      <xdr:nvSpPr>
        <xdr:cNvPr id="622" name="Rettangolo 621">
          <a:extLs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SpPr/>
      </xdr:nvSpPr>
      <xdr:spPr>
        <a:xfrm>
          <a:off x="11980332" y="6491111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36</xdr:row>
      <xdr:rowOff>0</xdr:rowOff>
    </xdr:from>
    <xdr:to>
      <xdr:col>28</xdr:col>
      <xdr:colOff>469194</xdr:colOff>
      <xdr:row>37</xdr:row>
      <xdr:rowOff>0</xdr:rowOff>
    </xdr:to>
    <xdr:sp macro="" textlink="">
      <xdr:nvSpPr>
        <xdr:cNvPr id="623" name="Rettangolo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SpPr/>
      </xdr:nvSpPr>
      <xdr:spPr>
        <a:xfrm>
          <a:off x="11980332" y="6674556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33</xdr:row>
      <xdr:rowOff>0</xdr:rowOff>
    </xdr:from>
    <xdr:to>
      <xdr:col>28</xdr:col>
      <xdr:colOff>469194</xdr:colOff>
      <xdr:row>34</xdr:row>
      <xdr:rowOff>0</xdr:rowOff>
    </xdr:to>
    <xdr:sp macro="" textlink="">
      <xdr:nvSpPr>
        <xdr:cNvPr id="624" name="Rettangolo 623">
          <a:extLs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SpPr/>
      </xdr:nvSpPr>
      <xdr:spPr>
        <a:xfrm>
          <a:off x="11980332" y="6124222"/>
          <a:ext cx="469195" cy="18344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261054</xdr:colOff>
      <xdr:row>34</xdr:row>
      <xdr:rowOff>0</xdr:rowOff>
    </xdr:from>
    <xdr:to>
      <xdr:col>28</xdr:col>
      <xdr:colOff>469194</xdr:colOff>
      <xdr:row>35</xdr:row>
      <xdr:rowOff>0</xdr:rowOff>
    </xdr:to>
    <xdr:sp macro="" textlink="">
      <xdr:nvSpPr>
        <xdr:cNvPr id="625" name="Rettangol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SpPr/>
      </xdr:nvSpPr>
      <xdr:spPr>
        <a:xfrm>
          <a:off x="11980332" y="6307667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261055</xdr:colOff>
      <xdr:row>32</xdr:row>
      <xdr:rowOff>0</xdr:rowOff>
    </xdr:from>
    <xdr:to>
      <xdr:col>29</xdr:col>
      <xdr:colOff>0</xdr:colOff>
      <xdr:row>33</xdr:row>
      <xdr:rowOff>0</xdr:rowOff>
    </xdr:to>
    <xdr:sp macro="" textlink="">
      <xdr:nvSpPr>
        <xdr:cNvPr id="626" name="Rettangolo 625">
          <a:extLs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SpPr/>
      </xdr:nvSpPr>
      <xdr:spPr>
        <a:xfrm>
          <a:off x="11980333" y="5940778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469194</xdr:colOff>
      <xdr:row>38</xdr:row>
      <xdr:rowOff>91723</xdr:rowOff>
    </xdr:from>
    <xdr:to>
      <xdr:col>29</xdr:col>
      <xdr:colOff>261055</xdr:colOff>
      <xdr:row>38</xdr:row>
      <xdr:rowOff>91723</xdr:rowOff>
    </xdr:to>
    <xdr:cxnSp macro="">
      <xdr:nvCxnSpPr>
        <xdr:cNvPr id="627" name="Connettore 4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CxnSpPr>
          <a:stCxn id="620" idx="3"/>
        </xdr:cNvCxnSpPr>
      </xdr:nvCxnSpPr>
      <xdr:spPr>
        <a:xfrm>
          <a:off x="12449527" y="7133167"/>
          <a:ext cx="26105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469194</xdr:colOff>
      <xdr:row>37</xdr:row>
      <xdr:rowOff>91722</xdr:rowOff>
    </xdr:from>
    <xdr:to>
      <xdr:col>29</xdr:col>
      <xdr:colOff>261055</xdr:colOff>
      <xdr:row>37</xdr:row>
      <xdr:rowOff>91722</xdr:rowOff>
    </xdr:to>
    <xdr:cxnSp macro="">
      <xdr:nvCxnSpPr>
        <xdr:cNvPr id="628" name="Connettore 4 627">
          <a:extLs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CxnSpPr>
          <a:stCxn id="619" idx="3"/>
        </xdr:cNvCxnSpPr>
      </xdr:nvCxnSpPr>
      <xdr:spPr>
        <a:xfrm>
          <a:off x="12449527" y="6949722"/>
          <a:ext cx="26105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32</xdr:row>
      <xdr:rowOff>91722</xdr:rowOff>
    </xdr:from>
    <xdr:to>
      <xdr:col>29</xdr:col>
      <xdr:colOff>261055</xdr:colOff>
      <xdr:row>32</xdr:row>
      <xdr:rowOff>91722</xdr:rowOff>
    </xdr:to>
    <xdr:cxnSp macro="">
      <xdr:nvCxnSpPr>
        <xdr:cNvPr id="629" name="Connettore 4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CxnSpPr>
          <a:stCxn id="626" idx="3"/>
          <a:endCxn id="618" idx="1"/>
        </xdr:cNvCxnSpPr>
      </xdr:nvCxnSpPr>
      <xdr:spPr>
        <a:xfrm>
          <a:off x="12449528" y="6032500"/>
          <a:ext cx="261055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469194</xdr:colOff>
      <xdr:row>31</xdr:row>
      <xdr:rowOff>91723</xdr:rowOff>
    </xdr:from>
    <xdr:to>
      <xdr:col>29</xdr:col>
      <xdr:colOff>261055</xdr:colOff>
      <xdr:row>31</xdr:row>
      <xdr:rowOff>91723</xdr:rowOff>
    </xdr:to>
    <xdr:cxnSp macro="">
      <xdr:nvCxnSpPr>
        <xdr:cNvPr id="630" name="Connettore 4 629">
          <a:extLs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CxnSpPr>
          <a:stCxn id="616" idx="1"/>
          <a:endCxn id="621" idx="3"/>
        </xdr:cNvCxnSpPr>
      </xdr:nvCxnSpPr>
      <xdr:spPr>
        <a:xfrm flipH="1">
          <a:off x="12449527" y="5849056"/>
          <a:ext cx="261056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34</xdr:row>
      <xdr:rowOff>91722</xdr:rowOff>
    </xdr:from>
    <xdr:to>
      <xdr:col>27</xdr:col>
      <xdr:colOff>261054</xdr:colOff>
      <xdr:row>34</xdr:row>
      <xdr:rowOff>91722</xdr:rowOff>
    </xdr:to>
    <xdr:cxnSp macro="">
      <xdr:nvCxnSpPr>
        <xdr:cNvPr id="631" name="Connettore 4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CxnSpPr>
          <a:stCxn id="615" idx="3"/>
          <a:endCxn id="625" idx="1"/>
        </xdr:cNvCxnSpPr>
      </xdr:nvCxnSpPr>
      <xdr:spPr>
        <a:xfrm>
          <a:off x="11719278" y="6399389"/>
          <a:ext cx="261054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33</xdr:row>
      <xdr:rowOff>91723</xdr:rowOff>
    </xdr:from>
    <xdr:to>
      <xdr:col>27</xdr:col>
      <xdr:colOff>261054</xdr:colOff>
      <xdr:row>33</xdr:row>
      <xdr:rowOff>91723</xdr:rowOff>
    </xdr:to>
    <xdr:cxnSp macro="">
      <xdr:nvCxnSpPr>
        <xdr:cNvPr id="632" name="Connettore 4 631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CxnSpPr>
          <a:stCxn id="624" idx="1"/>
          <a:endCxn id="614" idx="3"/>
        </xdr:cNvCxnSpPr>
      </xdr:nvCxnSpPr>
      <xdr:spPr>
        <a:xfrm flipH="1">
          <a:off x="11719278" y="6215945"/>
          <a:ext cx="261054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36</xdr:row>
      <xdr:rowOff>91722</xdr:rowOff>
    </xdr:from>
    <xdr:to>
      <xdr:col>27</xdr:col>
      <xdr:colOff>261054</xdr:colOff>
      <xdr:row>36</xdr:row>
      <xdr:rowOff>91722</xdr:rowOff>
    </xdr:to>
    <xdr:cxnSp macro="">
      <xdr:nvCxnSpPr>
        <xdr:cNvPr id="633" name="Connettore 4 632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CxnSpPr>
          <a:stCxn id="613" idx="3"/>
          <a:endCxn id="623" idx="1"/>
        </xdr:cNvCxnSpPr>
      </xdr:nvCxnSpPr>
      <xdr:spPr>
        <a:xfrm>
          <a:off x="11719278" y="6766278"/>
          <a:ext cx="261054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35</xdr:row>
      <xdr:rowOff>91723</xdr:rowOff>
    </xdr:from>
    <xdr:to>
      <xdr:col>27</xdr:col>
      <xdr:colOff>261054</xdr:colOff>
      <xdr:row>35</xdr:row>
      <xdr:rowOff>91723</xdr:rowOff>
    </xdr:to>
    <xdr:cxnSp macro="">
      <xdr:nvCxnSpPr>
        <xdr:cNvPr id="634" name="Connettore 4 633">
          <a:extLs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CxnSpPr>
          <a:stCxn id="622" idx="1"/>
          <a:endCxn id="612" idx="3"/>
        </xdr:cNvCxnSpPr>
      </xdr:nvCxnSpPr>
      <xdr:spPr>
        <a:xfrm flipH="1">
          <a:off x="11719278" y="6582834"/>
          <a:ext cx="261054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38</xdr:row>
      <xdr:rowOff>91723</xdr:rowOff>
    </xdr:from>
    <xdr:to>
      <xdr:col>27</xdr:col>
      <xdr:colOff>261054</xdr:colOff>
      <xdr:row>38</xdr:row>
      <xdr:rowOff>95250</xdr:rowOff>
    </xdr:to>
    <xdr:cxnSp macro="">
      <xdr:nvCxnSpPr>
        <xdr:cNvPr id="635" name="Connettore 4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CxnSpPr>
          <a:stCxn id="611" idx="3"/>
          <a:endCxn id="620" idx="1"/>
        </xdr:cNvCxnSpPr>
      </xdr:nvCxnSpPr>
      <xdr:spPr>
        <a:xfrm flipV="1">
          <a:off x="11719278" y="7133167"/>
          <a:ext cx="261054" cy="3527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37</xdr:row>
      <xdr:rowOff>91722</xdr:rowOff>
    </xdr:from>
    <xdr:to>
      <xdr:col>27</xdr:col>
      <xdr:colOff>261054</xdr:colOff>
      <xdr:row>37</xdr:row>
      <xdr:rowOff>95250</xdr:rowOff>
    </xdr:to>
    <xdr:cxnSp macro="">
      <xdr:nvCxnSpPr>
        <xdr:cNvPr id="636" name="Connettore 4 635">
          <a:extLs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CxnSpPr>
          <a:stCxn id="619" idx="1"/>
          <a:endCxn id="610" idx="3"/>
        </xdr:cNvCxnSpPr>
      </xdr:nvCxnSpPr>
      <xdr:spPr>
        <a:xfrm flipH="1">
          <a:off x="11719278" y="6949722"/>
          <a:ext cx="261054" cy="3528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36</xdr:row>
      <xdr:rowOff>0</xdr:rowOff>
    </xdr:from>
    <xdr:to>
      <xdr:col>33</xdr:col>
      <xdr:colOff>0</xdr:colOff>
      <xdr:row>37</xdr:row>
      <xdr:rowOff>0</xdr:rowOff>
    </xdr:to>
    <xdr:sp macro="" textlink="">
      <xdr:nvSpPr>
        <xdr:cNvPr id="643" name="Rettangolo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SpPr/>
      </xdr:nvSpPr>
      <xdr:spPr>
        <a:xfrm>
          <a:off x="10106025" y="6667500"/>
          <a:ext cx="7905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30</xdr:col>
      <xdr:colOff>398638</xdr:colOff>
      <xdr:row>37</xdr:row>
      <xdr:rowOff>0</xdr:rowOff>
    </xdr:from>
    <xdr:to>
      <xdr:col>32</xdr:col>
      <xdr:colOff>412750</xdr:colOff>
      <xdr:row>57</xdr:row>
      <xdr:rowOff>91722</xdr:rowOff>
    </xdr:to>
    <xdr:cxnSp macro="">
      <xdr:nvCxnSpPr>
        <xdr:cNvPr id="656" name="Connettore 4 77">
          <a:extLs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CxnSpPr>
          <a:stCxn id="596" idx="3"/>
          <a:endCxn id="643" idx="2"/>
        </xdr:cNvCxnSpPr>
      </xdr:nvCxnSpPr>
      <xdr:spPr>
        <a:xfrm flipV="1">
          <a:off x="13109221" y="6858000"/>
          <a:ext cx="811390" cy="376061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42</xdr:row>
      <xdr:rowOff>91281</xdr:rowOff>
    </xdr:from>
    <xdr:to>
      <xdr:col>19</xdr:col>
      <xdr:colOff>0</xdr:colOff>
      <xdr:row>57</xdr:row>
      <xdr:rowOff>91282</xdr:rowOff>
    </xdr:to>
    <xdr:cxnSp macro="">
      <xdr:nvCxnSpPr>
        <xdr:cNvPr id="373" name="Connettore 4 372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CxnSpPr>
          <a:stCxn id="371" idx="3"/>
          <a:endCxn id="398" idx="1"/>
        </xdr:cNvCxnSpPr>
      </xdr:nvCxnSpPr>
      <xdr:spPr>
        <a:xfrm flipV="1">
          <a:off x="7953376" y="7830344"/>
          <a:ext cx="801687" cy="273843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398638</xdr:colOff>
      <xdr:row>42</xdr:row>
      <xdr:rowOff>91723</xdr:rowOff>
    </xdr:from>
    <xdr:to>
      <xdr:col>25</xdr:col>
      <xdr:colOff>398638</xdr:colOff>
      <xdr:row>57</xdr:row>
      <xdr:rowOff>91722</xdr:rowOff>
    </xdr:to>
    <xdr:cxnSp macro="">
      <xdr:nvCxnSpPr>
        <xdr:cNvPr id="380" name="Connettore 4 379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CxnSpPr>
          <a:stCxn id="416" idx="3"/>
          <a:endCxn id="578" idx="1"/>
        </xdr:cNvCxnSpPr>
      </xdr:nvCxnSpPr>
      <xdr:spPr>
        <a:xfrm flipV="1">
          <a:off x="10523360" y="7866945"/>
          <a:ext cx="797278" cy="2751666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23</xdr:row>
      <xdr:rowOff>0</xdr:rowOff>
    </xdr:from>
    <xdr:to>
      <xdr:col>33</xdr:col>
      <xdr:colOff>0</xdr:colOff>
      <xdr:row>24</xdr:row>
      <xdr:rowOff>0</xdr:rowOff>
    </xdr:to>
    <xdr:sp macro="" textlink="">
      <xdr:nvSpPr>
        <xdr:cNvPr id="396" name="Rettangolo 62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>
        <a:xfrm>
          <a:off x="10106025" y="4191000"/>
          <a:ext cx="7905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32</xdr:col>
      <xdr:colOff>0</xdr:colOff>
      <xdr:row>24</xdr:row>
      <xdr:rowOff>0</xdr:rowOff>
    </xdr:from>
    <xdr:to>
      <xdr:col>33</xdr:col>
      <xdr:colOff>0</xdr:colOff>
      <xdr:row>29</xdr:row>
      <xdr:rowOff>0</xdr:rowOff>
    </xdr:to>
    <xdr:sp macro="" textlink="">
      <xdr:nvSpPr>
        <xdr:cNvPr id="473" name="Rectangle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/>
      </xdr:nvSpPr>
      <xdr:spPr>
        <a:xfrm>
          <a:off x="10106025" y="4381500"/>
          <a:ext cx="790575" cy="952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xdr:twoCellAnchor>
    <xdr:from>
      <xdr:col>32</xdr:col>
      <xdr:colOff>0</xdr:colOff>
      <xdr:row>30</xdr:row>
      <xdr:rowOff>0</xdr:rowOff>
    </xdr:from>
    <xdr:to>
      <xdr:col>33</xdr:col>
      <xdr:colOff>0</xdr:colOff>
      <xdr:row>35</xdr:row>
      <xdr:rowOff>0</xdr:rowOff>
    </xdr:to>
    <xdr:sp macro="" textlink="">
      <xdr:nvSpPr>
        <xdr:cNvPr id="457" name="Rettangolo 644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/>
      </xdr:nvSpPr>
      <xdr:spPr>
        <a:xfrm>
          <a:off x="10106025" y="5524500"/>
          <a:ext cx="790575" cy="952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33</xdr:col>
      <xdr:colOff>0</xdr:colOff>
      <xdr:row>32</xdr:row>
      <xdr:rowOff>95250</xdr:rowOff>
    </xdr:from>
    <xdr:to>
      <xdr:col>34</xdr:col>
      <xdr:colOff>0</xdr:colOff>
      <xdr:row>35</xdr:row>
      <xdr:rowOff>95250</xdr:rowOff>
    </xdr:to>
    <xdr:cxnSp macro="">
      <xdr:nvCxnSpPr>
        <xdr:cNvPr id="459" name="Connettore 4 661">
          <a:extLs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CxnSpPr>
          <a:stCxn id="486" idx="3"/>
          <a:endCxn id="460" idx="1"/>
        </xdr:cNvCxnSpPr>
      </xdr:nvCxnSpPr>
      <xdr:spPr>
        <a:xfrm flipV="1">
          <a:off x="10896600" y="6000750"/>
          <a:ext cx="466725" cy="5715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32</xdr:row>
      <xdr:rowOff>0</xdr:rowOff>
    </xdr:from>
    <xdr:to>
      <xdr:col>35</xdr:col>
      <xdr:colOff>0</xdr:colOff>
      <xdr:row>33</xdr:row>
      <xdr:rowOff>0</xdr:rowOff>
    </xdr:to>
    <xdr:sp macro="" textlink="">
      <xdr:nvSpPr>
        <xdr:cNvPr id="460" name="Rettangolo 662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>
        <a:xfrm>
          <a:off x="11363325" y="5524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34</xdr:col>
      <xdr:colOff>0</xdr:colOff>
      <xdr:row>26</xdr:row>
      <xdr:rowOff>0</xdr:rowOff>
    </xdr:from>
    <xdr:to>
      <xdr:col>35</xdr:col>
      <xdr:colOff>0</xdr:colOff>
      <xdr:row>27</xdr:row>
      <xdr:rowOff>0</xdr:rowOff>
    </xdr:to>
    <xdr:sp macro="" textlink="">
      <xdr:nvSpPr>
        <xdr:cNvPr id="481" name="Rettangolo 662">
          <a:extLs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/>
      </xdr:nvSpPr>
      <xdr:spPr>
        <a:xfrm>
          <a:off x="11363325" y="476250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33</xdr:col>
      <xdr:colOff>1</xdr:colOff>
      <xdr:row>23</xdr:row>
      <xdr:rowOff>95250</xdr:rowOff>
    </xdr:from>
    <xdr:to>
      <xdr:col>34</xdr:col>
      <xdr:colOff>1</xdr:colOff>
      <xdr:row>26</xdr:row>
      <xdr:rowOff>95250</xdr:rowOff>
    </xdr:to>
    <xdr:cxnSp macro="">
      <xdr:nvCxnSpPr>
        <xdr:cNvPr id="482" name="Connettore 4 66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CxnSpPr>
          <a:stCxn id="481" idx="1"/>
          <a:endCxn id="396" idx="3"/>
        </xdr:cNvCxnSpPr>
      </xdr:nvCxnSpPr>
      <xdr:spPr>
        <a:xfrm rot="10800000">
          <a:off x="10896601" y="4286250"/>
          <a:ext cx="466725" cy="5715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35</xdr:row>
      <xdr:rowOff>0</xdr:rowOff>
    </xdr:from>
    <xdr:to>
      <xdr:col>33</xdr:col>
      <xdr:colOff>0</xdr:colOff>
      <xdr:row>36</xdr:row>
      <xdr:rowOff>0</xdr:rowOff>
    </xdr:to>
    <xdr:sp macro="" textlink="">
      <xdr:nvSpPr>
        <xdr:cNvPr id="485" name="Rettangolo 62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/>
      </xdr:nvSpPr>
      <xdr:spPr>
        <a:xfrm>
          <a:off x="10106025" y="6477000"/>
          <a:ext cx="7905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32</xdr:col>
      <xdr:colOff>0</xdr:colOff>
      <xdr:row>35</xdr:row>
      <xdr:rowOff>0</xdr:rowOff>
    </xdr:from>
    <xdr:to>
      <xdr:col>33</xdr:col>
      <xdr:colOff>0</xdr:colOff>
      <xdr:row>36</xdr:row>
      <xdr:rowOff>0</xdr:rowOff>
    </xdr:to>
    <xdr:sp macro="" textlink="">
      <xdr:nvSpPr>
        <xdr:cNvPr id="486" name="Rettangolo 62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/>
      </xdr:nvSpPr>
      <xdr:spPr>
        <a:xfrm>
          <a:off x="10106025" y="4191000"/>
          <a:ext cx="7905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29</xdr:col>
      <xdr:colOff>0</xdr:colOff>
      <xdr:row>11</xdr:row>
      <xdr:rowOff>0</xdr:rowOff>
    </xdr:to>
    <xdr:sp macro="" textlink="">
      <xdr:nvSpPr>
        <xdr:cNvPr id="376" name="Rettangolo 14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>
        <a:xfrm>
          <a:off x="8334375" y="1009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29</xdr:col>
      <xdr:colOff>0</xdr:colOff>
      <xdr:row>12</xdr:row>
      <xdr:rowOff>0</xdr:rowOff>
    </xdr:to>
    <xdr:sp macro="" textlink="">
      <xdr:nvSpPr>
        <xdr:cNvPr id="381" name="Rettangolo 145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/>
      </xdr:nvSpPr>
      <xdr:spPr>
        <a:xfrm>
          <a:off x="11430000" y="2152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382" name="Rettangolo 148">
          <a:extLs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>
        <a:xfrm>
          <a:off x="8963025" y="1962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11</xdr:row>
      <xdr:rowOff>0</xdr:rowOff>
    </xdr:from>
    <xdr:to>
      <xdr:col>22</xdr:col>
      <xdr:colOff>0</xdr:colOff>
      <xdr:row>12</xdr:row>
      <xdr:rowOff>0</xdr:rowOff>
    </xdr:to>
    <xdr:sp macro="" textlink="">
      <xdr:nvSpPr>
        <xdr:cNvPr id="383" name="Rettangolo 145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>
        <a:xfrm>
          <a:off x="8963025" y="2152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29</xdr:col>
      <xdr:colOff>0</xdr:colOff>
      <xdr:row>11</xdr:row>
      <xdr:rowOff>95250</xdr:rowOff>
    </xdr:from>
    <xdr:to>
      <xdr:col>30</xdr:col>
      <xdr:colOff>0</xdr:colOff>
      <xdr:row>11</xdr:row>
      <xdr:rowOff>95250</xdr:rowOff>
    </xdr:to>
    <xdr:cxnSp macro="">
      <xdr:nvCxnSpPr>
        <xdr:cNvPr id="387" name="Connettore 4 161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CxnSpPr>
          <a:stCxn id="381" idx="3"/>
          <a:endCxn id="390" idx="1"/>
        </xdr:cNvCxnSpPr>
      </xdr:nvCxnSpPr>
      <xdr:spPr>
        <a:xfrm>
          <a:off x="9394658" y="2245895"/>
          <a:ext cx="245645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11</xdr:row>
      <xdr:rowOff>0</xdr:rowOff>
    </xdr:from>
    <xdr:to>
      <xdr:col>31</xdr:col>
      <xdr:colOff>0</xdr:colOff>
      <xdr:row>12</xdr:row>
      <xdr:rowOff>0</xdr:rowOff>
    </xdr:to>
    <xdr:sp macro="" textlink="">
      <xdr:nvSpPr>
        <xdr:cNvPr id="390" name="Rettangolo 142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>
        <a:xfrm>
          <a:off x="9658350" y="2152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246060</xdr:colOff>
      <xdr:row>11</xdr:row>
      <xdr:rowOff>794</xdr:rowOff>
    </xdr:from>
    <xdr:to>
      <xdr:col>24</xdr:col>
      <xdr:colOff>0</xdr:colOff>
      <xdr:row>12</xdr:row>
      <xdr:rowOff>0</xdr:rowOff>
    </xdr:to>
    <xdr:sp macro="" textlink="">
      <xdr:nvSpPr>
        <xdr:cNvPr id="498" name="Rettangolo 142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/>
      </xdr:nvSpPr>
      <xdr:spPr>
        <a:xfrm>
          <a:off x="10136185" y="2106877"/>
          <a:ext cx="415398" cy="18441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22</xdr:col>
      <xdr:colOff>0</xdr:colOff>
      <xdr:row>11</xdr:row>
      <xdr:rowOff>92605</xdr:rowOff>
    </xdr:from>
    <xdr:to>
      <xdr:col>22</xdr:col>
      <xdr:colOff>246060</xdr:colOff>
      <xdr:row>11</xdr:row>
      <xdr:rowOff>93002</xdr:rowOff>
    </xdr:to>
    <xdr:cxnSp macro="">
      <xdr:nvCxnSpPr>
        <xdr:cNvPr id="499" name="Connettore 4 161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CxnSpPr>
          <a:stCxn id="383" idx="3"/>
          <a:endCxn id="498" idx="1"/>
        </xdr:cNvCxnSpPr>
      </xdr:nvCxnSpPr>
      <xdr:spPr>
        <a:xfrm>
          <a:off x="9890125" y="2198688"/>
          <a:ext cx="246060" cy="397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10</xdr:row>
      <xdr:rowOff>0</xdr:rowOff>
    </xdr:from>
    <xdr:to>
      <xdr:col>15</xdr:col>
      <xdr:colOff>0</xdr:colOff>
      <xdr:row>11</xdr:row>
      <xdr:rowOff>0</xdr:rowOff>
    </xdr:to>
    <xdr:sp macro="" textlink="">
      <xdr:nvSpPr>
        <xdr:cNvPr id="523" name="Rettangolo 148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>
        <a:xfrm>
          <a:off x="6496050" y="1962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11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524" name="Rettangolo 145">
          <a:extLs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>
        <a:xfrm>
          <a:off x="6496050" y="2152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246060</xdr:colOff>
      <xdr:row>11</xdr:row>
      <xdr:rowOff>794</xdr:rowOff>
    </xdr:from>
    <xdr:to>
      <xdr:col>17</xdr:col>
      <xdr:colOff>0</xdr:colOff>
      <xdr:row>12</xdr:row>
      <xdr:rowOff>0</xdr:rowOff>
    </xdr:to>
    <xdr:sp macro="" textlink="">
      <xdr:nvSpPr>
        <xdr:cNvPr id="525" name="Rettangolo 142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/>
      </xdr:nvSpPr>
      <xdr:spPr>
        <a:xfrm>
          <a:off x="7537977" y="2106877"/>
          <a:ext cx="415398" cy="18441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0</xdr:colOff>
      <xdr:row>11</xdr:row>
      <xdr:rowOff>92605</xdr:rowOff>
    </xdr:from>
    <xdr:to>
      <xdr:col>15</xdr:col>
      <xdr:colOff>246060</xdr:colOff>
      <xdr:row>11</xdr:row>
      <xdr:rowOff>93002</xdr:rowOff>
    </xdr:to>
    <xdr:cxnSp macro="">
      <xdr:nvCxnSpPr>
        <xdr:cNvPr id="526" name="Connettore 4 161">
          <a:extLs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CxnSpPr>
          <a:stCxn id="524" idx="3"/>
          <a:endCxn id="525" idx="1"/>
        </xdr:cNvCxnSpPr>
      </xdr:nvCxnSpPr>
      <xdr:spPr>
        <a:xfrm>
          <a:off x="7291917" y="2198688"/>
          <a:ext cx="246060" cy="397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39</xdr:row>
      <xdr:rowOff>0</xdr:rowOff>
    </xdr:from>
    <xdr:to>
      <xdr:col>29</xdr:col>
      <xdr:colOff>0</xdr:colOff>
      <xdr:row>40</xdr:row>
      <xdr:rowOff>0</xdr:rowOff>
    </xdr:to>
    <xdr:sp macro="" textlink="">
      <xdr:nvSpPr>
        <xdr:cNvPr id="531" name="Rettangolo 148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>
        <a:xfrm>
          <a:off x="8948487" y="1960145"/>
          <a:ext cx="446171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40</xdr:row>
      <xdr:rowOff>0</xdr:rowOff>
    </xdr:from>
    <xdr:to>
      <xdr:col>29</xdr:col>
      <xdr:colOff>0</xdr:colOff>
      <xdr:row>41</xdr:row>
      <xdr:rowOff>0</xdr:rowOff>
    </xdr:to>
    <xdr:sp macro="" textlink="">
      <xdr:nvSpPr>
        <xdr:cNvPr id="532" name="Rettangolo 145">
          <a:extLs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>
        <a:xfrm>
          <a:off x="8948487" y="2150645"/>
          <a:ext cx="446171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26</xdr:col>
      <xdr:colOff>0</xdr:colOff>
      <xdr:row>40</xdr:row>
      <xdr:rowOff>0</xdr:rowOff>
    </xdr:from>
    <xdr:to>
      <xdr:col>27</xdr:col>
      <xdr:colOff>0</xdr:colOff>
      <xdr:row>41</xdr:row>
      <xdr:rowOff>0</xdr:rowOff>
    </xdr:to>
    <xdr:sp macro="" textlink="">
      <xdr:nvSpPr>
        <xdr:cNvPr id="533" name="Rettangolo 14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/>
      </xdr:nvSpPr>
      <xdr:spPr>
        <a:xfrm>
          <a:off x="9640303" y="2150645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27</xdr:col>
      <xdr:colOff>0</xdr:colOff>
      <xdr:row>40</xdr:row>
      <xdr:rowOff>95250</xdr:rowOff>
    </xdr:from>
    <xdr:to>
      <xdr:col>28</xdr:col>
      <xdr:colOff>0</xdr:colOff>
      <xdr:row>40</xdr:row>
      <xdr:rowOff>95250</xdr:rowOff>
    </xdr:to>
    <xdr:cxnSp macro="">
      <xdr:nvCxnSpPr>
        <xdr:cNvPr id="537" name="Connettore 4 161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CxnSpPr>
          <a:stCxn id="533" idx="3"/>
          <a:endCxn id="532" idx="1"/>
        </xdr:cNvCxnSpPr>
      </xdr:nvCxnSpPr>
      <xdr:spPr>
        <a:xfrm>
          <a:off x="8702842" y="7770395"/>
          <a:ext cx="245645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39</xdr:row>
      <xdr:rowOff>0</xdr:rowOff>
    </xdr:from>
    <xdr:to>
      <xdr:col>22</xdr:col>
      <xdr:colOff>0</xdr:colOff>
      <xdr:row>39</xdr:row>
      <xdr:rowOff>183444</xdr:rowOff>
    </xdr:to>
    <xdr:sp macro="" textlink="">
      <xdr:nvSpPr>
        <xdr:cNvPr id="540" name="Rettangolo 148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>
        <a:xfrm>
          <a:off x="9394472" y="7224889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40</xdr:row>
      <xdr:rowOff>0</xdr:rowOff>
    </xdr:from>
    <xdr:to>
      <xdr:col>22</xdr:col>
      <xdr:colOff>0</xdr:colOff>
      <xdr:row>41</xdr:row>
      <xdr:rowOff>0</xdr:rowOff>
    </xdr:to>
    <xdr:sp macro="" textlink="">
      <xdr:nvSpPr>
        <xdr:cNvPr id="541" name="Rettangolo 145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/>
      </xdr:nvSpPr>
      <xdr:spPr>
        <a:xfrm>
          <a:off x="6487026" y="2150645"/>
          <a:ext cx="446171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18</xdr:col>
      <xdr:colOff>400843</xdr:colOff>
      <xdr:row>40</xdr:row>
      <xdr:rowOff>0</xdr:rowOff>
    </xdr:from>
    <xdr:to>
      <xdr:col>20</xdr:col>
      <xdr:colOff>0</xdr:colOff>
      <xdr:row>41</xdr:row>
      <xdr:rowOff>0</xdr:rowOff>
    </xdr:to>
    <xdr:sp macro="" textlink="">
      <xdr:nvSpPr>
        <xdr:cNvPr id="545" name="Rettangolo 430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/>
      </xdr:nvSpPr>
      <xdr:spPr>
        <a:xfrm>
          <a:off x="8755062" y="7373938"/>
          <a:ext cx="400844" cy="182562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20</xdr:col>
      <xdr:colOff>0</xdr:colOff>
      <xdr:row>40</xdr:row>
      <xdr:rowOff>91281</xdr:rowOff>
    </xdr:from>
    <xdr:to>
      <xdr:col>21</xdr:col>
      <xdr:colOff>0</xdr:colOff>
      <xdr:row>40</xdr:row>
      <xdr:rowOff>91281</xdr:rowOff>
    </xdr:to>
    <xdr:cxnSp macro="">
      <xdr:nvCxnSpPr>
        <xdr:cNvPr id="546" name="Connettore 4 161">
          <a:extLs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CxnSpPr>
          <a:stCxn id="545" idx="3"/>
          <a:endCxn id="541" idx="1"/>
        </xdr:cNvCxnSpPr>
      </xdr:nvCxnSpPr>
      <xdr:spPr>
        <a:xfrm>
          <a:off x="9155906" y="7465219"/>
          <a:ext cx="261938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39</xdr:row>
      <xdr:rowOff>0</xdr:rowOff>
    </xdr:from>
    <xdr:to>
      <xdr:col>15</xdr:col>
      <xdr:colOff>0</xdr:colOff>
      <xdr:row>40</xdr:row>
      <xdr:rowOff>0</xdr:rowOff>
    </xdr:to>
    <xdr:sp macro="" textlink="">
      <xdr:nvSpPr>
        <xdr:cNvPr id="549" name="Rettangolo 1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SpPr/>
      </xdr:nvSpPr>
      <xdr:spPr>
        <a:xfrm>
          <a:off x="4029075" y="1962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40</xdr:row>
      <xdr:rowOff>0</xdr:rowOff>
    </xdr:from>
    <xdr:to>
      <xdr:col>15</xdr:col>
      <xdr:colOff>0</xdr:colOff>
      <xdr:row>41</xdr:row>
      <xdr:rowOff>0</xdr:rowOff>
    </xdr:to>
    <xdr:sp macro="" textlink="">
      <xdr:nvSpPr>
        <xdr:cNvPr id="550" name="Rettangolo 145">
          <a:extLs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SpPr/>
      </xdr:nvSpPr>
      <xdr:spPr>
        <a:xfrm>
          <a:off x="4029075" y="2152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0</xdr:colOff>
      <xdr:row>40</xdr:row>
      <xdr:rowOff>0</xdr:rowOff>
    </xdr:from>
    <xdr:to>
      <xdr:col>13</xdr:col>
      <xdr:colOff>0</xdr:colOff>
      <xdr:row>41</xdr:row>
      <xdr:rowOff>0</xdr:rowOff>
    </xdr:to>
    <xdr:sp macro="" textlink="">
      <xdr:nvSpPr>
        <xdr:cNvPr id="551" name="Rettangolo 142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SpPr/>
      </xdr:nvSpPr>
      <xdr:spPr>
        <a:xfrm>
          <a:off x="8334375" y="7677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13</xdr:col>
      <xdr:colOff>0</xdr:colOff>
      <xdr:row>40</xdr:row>
      <xdr:rowOff>95250</xdr:rowOff>
    </xdr:from>
    <xdr:to>
      <xdr:col>14</xdr:col>
      <xdr:colOff>0</xdr:colOff>
      <xdr:row>40</xdr:row>
      <xdr:rowOff>95250</xdr:rowOff>
    </xdr:to>
    <xdr:cxnSp macro="">
      <xdr:nvCxnSpPr>
        <xdr:cNvPr id="552" name="Connettore 4 161">
          <a:extLs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CxnSpPr>
          <a:stCxn id="551" idx="3"/>
          <a:endCxn id="550" idx="1"/>
        </xdr:cNvCxnSpPr>
      </xdr:nvCxnSpPr>
      <xdr:spPr>
        <a:xfrm>
          <a:off x="3781425" y="7772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465" name="Rettangolo 75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/>
      </xdr:nvSpPr>
      <xdr:spPr>
        <a:xfrm>
          <a:off x="7010400" y="4057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66" name="Rettangolo 264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/>
      </xdr:nvSpPr>
      <xdr:spPr>
        <a:xfrm>
          <a:off x="7010400" y="1581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67" name="Rettangolo 265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>
        <a:xfrm>
          <a:off x="7010400" y="1771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468" name="Rettangolo 266">
          <a:extLs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>
        <a:xfrm>
          <a:off x="7010400" y="1200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469" name="Rettangolo 267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/>
      </xdr:nvSpPr>
      <xdr:spPr>
        <a:xfrm>
          <a:off x="7010400" y="1390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10</xdr:col>
      <xdr:colOff>0</xdr:colOff>
      <xdr:row>5</xdr:row>
      <xdr:rowOff>0</xdr:rowOff>
    </xdr:to>
    <xdr:sp macro="" textlink="">
      <xdr:nvSpPr>
        <xdr:cNvPr id="470" name="Rettangolo 268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/>
      </xdr:nvSpPr>
      <xdr:spPr>
        <a:xfrm>
          <a:off x="7010400" y="819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471" name="Rettangolo 269">
          <a:extLs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>
        <a:xfrm>
          <a:off x="7010400" y="1009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13</xdr:row>
      <xdr:rowOff>0</xdr:rowOff>
    </xdr:from>
    <xdr:to>
      <xdr:col>10</xdr:col>
      <xdr:colOff>1</xdr:colOff>
      <xdr:row>14</xdr:row>
      <xdr:rowOff>0</xdr:rowOff>
    </xdr:to>
    <xdr:sp macro="" textlink="">
      <xdr:nvSpPr>
        <xdr:cNvPr id="474" name="Rettangolo 272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7010401" y="2533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13</xdr:row>
      <xdr:rowOff>0</xdr:rowOff>
    </xdr:from>
    <xdr:to>
      <xdr:col>6</xdr:col>
      <xdr:colOff>1</xdr:colOff>
      <xdr:row>14</xdr:row>
      <xdr:rowOff>0</xdr:rowOff>
    </xdr:to>
    <xdr:sp macro="" textlink="">
      <xdr:nvSpPr>
        <xdr:cNvPr id="475" name="Rettangolo 273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>
        <a:xfrm>
          <a:off x="5686426" y="2533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1</xdr:colOff>
      <xdr:row>13</xdr:row>
      <xdr:rowOff>95250</xdr:rowOff>
    </xdr:from>
    <xdr:to>
      <xdr:col>9</xdr:col>
      <xdr:colOff>1</xdr:colOff>
      <xdr:row>13</xdr:row>
      <xdr:rowOff>95250</xdr:rowOff>
    </xdr:to>
    <xdr:cxnSp macro="">
      <xdr:nvCxnSpPr>
        <xdr:cNvPr id="476" name="Connettore 4 274">
          <a:extLs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CxnSpPr>
          <a:stCxn id="474" idx="1"/>
          <a:endCxn id="475" idx="3"/>
        </xdr:cNvCxnSpPr>
      </xdr:nvCxnSpPr>
      <xdr:spPr>
        <a:xfrm flipH="1">
          <a:off x="6067426" y="2628900"/>
          <a:ext cx="9429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15</xdr:row>
      <xdr:rowOff>0</xdr:rowOff>
    </xdr:from>
    <xdr:to>
      <xdr:col>6</xdr:col>
      <xdr:colOff>1</xdr:colOff>
      <xdr:row>16</xdr:row>
      <xdr:rowOff>0</xdr:rowOff>
    </xdr:to>
    <xdr:sp macro="" textlink="">
      <xdr:nvSpPr>
        <xdr:cNvPr id="477" name="Rettangolo 275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/>
      </xdr:nvSpPr>
      <xdr:spPr>
        <a:xfrm>
          <a:off x="5686426" y="2914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8</xdr:row>
      <xdr:rowOff>0</xdr:rowOff>
    </xdr:from>
    <xdr:to>
      <xdr:col>6</xdr:col>
      <xdr:colOff>1</xdr:colOff>
      <xdr:row>12</xdr:row>
      <xdr:rowOff>0</xdr:rowOff>
    </xdr:to>
    <xdr:sp macro="" textlink="">
      <xdr:nvSpPr>
        <xdr:cNvPr id="478" name="Rettangolo 276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/>
      </xdr:nvSpPr>
      <xdr:spPr>
        <a:xfrm>
          <a:off x="5686426" y="1581150"/>
          <a:ext cx="381000" cy="7620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190501</xdr:colOff>
      <xdr:row>12</xdr:row>
      <xdr:rowOff>0</xdr:rowOff>
    </xdr:from>
    <xdr:to>
      <xdr:col>5</xdr:col>
      <xdr:colOff>190501</xdr:colOff>
      <xdr:row>13</xdr:row>
      <xdr:rowOff>0</xdr:rowOff>
    </xdr:to>
    <xdr:cxnSp macro="">
      <xdr:nvCxnSpPr>
        <xdr:cNvPr id="479" name="Connettore 4 277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CxnSpPr>
          <a:stCxn id="475" idx="0"/>
          <a:endCxn id="478" idx="2"/>
        </xdr:cNvCxnSpPr>
      </xdr:nvCxnSpPr>
      <xdr:spPr>
        <a:xfrm flipV="1">
          <a:off x="5876926" y="2343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</xdr:colOff>
      <xdr:row>8</xdr:row>
      <xdr:rowOff>0</xdr:rowOff>
    </xdr:from>
    <xdr:to>
      <xdr:col>8</xdr:col>
      <xdr:colOff>1</xdr:colOff>
      <xdr:row>9</xdr:row>
      <xdr:rowOff>0</xdr:rowOff>
    </xdr:to>
    <xdr:sp macro="" textlink="">
      <xdr:nvSpPr>
        <xdr:cNvPr id="480" name="Rettangolo 278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>
        <a:xfrm>
          <a:off x="6315076" y="1581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9</xdr:row>
      <xdr:rowOff>0</xdr:rowOff>
    </xdr:from>
    <xdr:to>
      <xdr:col>8</xdr:col>
      <xdr:colOff>1</xdr:colOff>
      <xdr:row>10</xdr:row>
      <xdr:rowOff>0</xdr:rowOff>
    </xdr:to>
    <xdr:sp macro="" textlink="">
      <xdr:nvSpPr>
        <xdr:cNvPr id="483" name="Rettangolo 279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>
        <a:xfrm>
          <a:off x="6315076" y="1771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8</xdr:row>
      <xdr:rowOff>0</xdr:rowOff>
    </xdr:from>
    <xdr:to>
      <xdr:col>6</xdr:col>
      <xdr:colOff>1</xdr:colOff>
      <xdr:row>9</xdr:row>
      <xdr:rowOff>0</xdr:rowOff>
    </xdr:to>
    <xdr:sp macro="" textlink="">
      <xdr:nvSpPr>
        <xdr:cNvPr id="484" name="Rettangolo 280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>
        <a:xfrm>
          <a:off x="5686426" y="158115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9</xdr:row>
      <xdr:rowOff>0</xdr:rowOff>
    </xdr:from>
    <xdr:to>
      <xdr:col>6</xdr:col>
      <xdr:colOff>1</xdr:colOff>
      <xdr:row>10</xdr:row>
      <xdr:rowOff>0</xdr:rowOff>
    </xdr:to>
    <xdr:sp macro="" textlink="">
      <xdr:nvSpPr>
        <xdr:cNvPr id="487" name="Rettangolo 281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>
        <a:xfrm>
          <a:off x="5686426" y="177165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1</xdr:colOff>
      <xdr:row>9</xdr:row>
      <xdr:rowOff>95250</xdr:rowOff>
    </xdr:from>
    <xdr:to>
      <xdr:col>7</xdr:col>
      <xdr:colOff>1</xdr:colOff>
      <xdr:row>9</xdr:row>
      <xdr:rowOff>95250</xdr:rowOff>
    </xdr:to>
    <xdr:cxnSp macro="">
      <xdr:nvCxnSpPr>
        <xdr:cNvPr id="488" name="Connettore 4 282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CxnSpPr>
          <a:stCxn id="483" idx="1"/>
          <a:endCxn id="487" idx="3"/>
        </xdr:cNvCxnSpPr>
      </xdr:nvCxnSpPr>
      <xdr:spPr>
        <a:xfrm flipH="1">
          <a:off x="6067426" y="18669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8</xdr:row>
      <xdr:rowOff>95250</xdr:rowOff>
    </xdr:from>
    <xdr:to>
      <xdr:col>7</xdr:col>
      <xdr:colOff>1</xdr:colOff>
      <xdr:row>8</xdr:row>
      <xdr:rowOff>95250</xdr:rowOff>
    </xdr:to>
    <xdr:cxnSp macro="">
      <xdr:nvCxnSpPr>
        <xdr:cNvPr id="489" name="Connettore 4 283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CxnSpPr>
          <a:stCxn id="480" idx="1"/>
          <a:endCxn id="484" idx="3"/>
        </xdr:cNvCxnSpPr>
      </xdr:nvCxnSpPr>
      <xdr:spPr>
        <a:xfrm flipH="1">
          <a:off x="6067426" y="1676400"/>
          <a:ext cx="247650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10</xdr:row>
      <xdr:rowOff>0</xdr:rowOff>
    </xdr:from>
    <xdr:to>
      <xdr:col>5</xdr:col>
      <xdr:colOff>1589</xdr:colOff>
      <xdr:row>15</xdr:row>
      <xdr:rowOff>95250</xdr:rowOff>
    </xdr:to>
    <xdr:cxnSp macro="">
      <xdr:nvCxnSpPr>
        <xdr:cNvPr id="490" name="Connettore 4 284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CxnSpPr>
          <a:stCxn id="478" idx="1"/>
          <a:endCxn id="477" idx="1"/>
        </xdr:cNvCxnSpPr>
      </xdr:nvCxnSpPr>
      <xdr:spPr>
        <a:xfrm rot="10800000" flipV="1">
          <a:off x="5686426" y="1962150"/>
          <a:ext cx="1588" cy="1047750"/>
        </a:xfrm>
        <a:prstGeom prst="bentConnector3">
          <a:avLst>
            <a:gd name="adj1" fmla="val 14395466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15</xdr:row>
      <xdr:rowOff>95250</xdr:rowOff>
    </xdr:from>
    <xdr:to>
      <xdr:col>9</xdr:col>
      <xdr:colOff>190501</xdr:colOff>
      <xdr:row>17</xdr:row>
      <xdr:rowOff>0</xdr:rowOff>
    </xdr:to>
    <xdr:cxnSp macro="">
      <xdr:nvCxnSpPr>
        <xdr:cNvPr id="491" name="Connettore 4 27"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CxnSpPr>
          <a:stCxn id="477" idx="3"/>
          <a:endCxn id="492" idx="0"/>
        </xdr:cNvCxnSpPr>
      </xdr:nvCxnSpPr>
      <xdr:spPr>
        <a:xfrm>
          <a:off x="6067426" y="3009900"/>
          <a:ext cx="1133475" cy="2857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</xdr:colOff>
      <xdr:row>17</xdr:row>
      <xdr:rowOff>0</xdr:rowOff>
    </xdr:from>
    <xdr:to>
      <xdr:col>10</xdr:col>
      <xdr:colOff>1</xdr:colOff>
      <xdr:row>18</xdr:row>
      <xdr:rowOff>0</xdr:rowOff>
    </xdr:to>
    <xdr:sp macro="" textlink="">
      <xdr:nvSpPr>
        <xdr:cNvPr id="492" name="Rettangolo 286">
          <a:extLs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>
        <a:xfrm>
          <a:off x="7010401" y="3295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19</xdr:row>
      <xdr:rowOff>1</xdr:rowOff>
    </xdr:from>
    <xdr:to>
      <xdr:col>6</xdr:col>
      <xdr:colOff>1</xdr:colOff>
      <xdr:row>20</xdr:row>
      <xdr:rowOff>1</xdr:rowOff>
    </xdr:to>
    <xdr:sp macro="" textlink="">
      <xdr:nvSpPr>
        <xdr:cNvPr id="493" name="Rettangolo 287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/>
      </xdr:nvSpPr>
      <xdr:spPr>
        <a:xfrm>
          <a:off x="5686426" y="367665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190501</xdr:colOff>
      <xdr:row>17</xdr:row>
      <xdr:rowOff>95249</xdr:rowOff>
    </xdr:from>
    <xdr:to>
      <xdr:col>9</xdr:col>
      <xdr:colOff>1</xdr:colOff>
      <xdr:row>19</xdr:row>
      <xdr:rowOff>0</xdr:rowOff>
    </xdr:to>
    <xdr:cxnSp macro="">
      <xdr:nvCxnSpPr>
        <xdr:cNvPr id="494" name="Connettore 4 34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CxnSpPr>
          <a:stCxn id="492" idx="1"/>
          <a:endCxn id="493" idx="0"/>
        </xdr:cNvCxnSpPr>
      </xdr:nvCxnSpPr>
      <xdr:spPr>
        <a:xfrm rot="10800000" flipV="1">
          <a:off x="5876926" y="3390899"/>
          <a:ext cx="1133475" cy="28575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22</xdr:row>
      <xdr:rowOff>0</xdr:rowOff>
    </xdr:from>
    <xdr:to>
      <xdr:col>6</xdr:col>
      <xdr:colOff>1</xdr:colOff>
      <xdr:row>25</xdr:row>
      <xdr:rowOff>0</xdr:rowOff>
    </xdr:to>
    <xdr:sp macro="" textlink="">
      <xdr:nvSpPr>
        <xdr:cNvPr id="495" name="Rettangolo 289">
          <a:extLs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>
        <a:xfrm>
          <a:off x="5686426" y="4248150"/>
          <a:ext cx="381000" cy="571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20</xdr:row>
      <xdr:rowOff>0</xdr:rowOff>
    </xdr:from>
    <xdr:to>
      <xdr:col>6</xdr:col>
      <xdr:colOff>1</xdr:colOff>
      <xdr:row>21</xdr:row>
      <xdr:rowOff>0</xdr:rowOff>
    </xdr:to>
    <xdr:sp macro="" textlink="">
      <xdr:nvSpPr>
        <xdr:cNvPr id="496" name="Rettangolo 290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>
        <a:xfrm>
          <a:off x="5686426" y="3867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19</xdr:row>
      <xdr:rowOff>0</xdr:rowOff>
    </xdr:from>
    <xdr:to>
      <xdr:col>10</xdr:col>
      <xdr:colOff>1</xdr:colOff>
      <xdr:row>20</xdr:row>
      <xdr:rowOff>0</xdr:rowOff>
    </xdr:to>
    <xdr:sp macro="" textlink="">
      <xdr:nvSpPr>
        <xdr:cNvPr id="497" name="Rettangolo 291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/>
      </xdr:nvSpPr>
      <xdr:spPr>
        <a:xfrm>
          <a:off x="7010401" y="3676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21</xdr:row>
      <xdr:rowOff>0</xdr:rowOff>
    </xdr:from>
    <xdr:to>
      <xdr:col>10</xdr:col>
      <xdr:colOff>1</xdr:colOff>
      <xdr:row>22</xdr:row>
      <xdr:rowOff>0</xdr:rowOff>
    </xdr:to>
    <xdr:sp macro="" textlink="">
      <xdr:nvSpPr>
        <xdr:cNvPr id="500" name="Rettangolo 292">
          <a:extLs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/>
      </xdr:nvSpPr>
      <xdr:spPr>
        <a:xfrm>
          <a:off x="7010401" y="4057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190501</xdr:colOff>
      <xdr:row>18</xdr:row>
      <xdr:rowOff>0</xdr:rowOff>
    </xdr:from>
    <xdr:to>
      <xdr:col>9</xdr:col>
      <xdr:colOff>190501</xdr:colOff>
      <xdr:row>19</xdr:row>
      <xdr:rowOff>0</xdr:rowOff>
    </xdr:to>
    <xdr:cxnSp macro="">
      <xdr:nvCxnSpPr>
        <xdr:cNvPr id="501" name="Connettore 4 293">
          <a:extLs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CxnSpPr>
          <a:stCxn id="492" idx="2"/>
          <a:endCxn id="497" idx="0"/>
        </xdr:cNvCxnSpPr>
      </xdr:nvCxnSpPr>
      <xdr:spPr>
        <a:xfrm>
          <a:off x="7200901" y="3486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190501</xdr:colOff>
      <xdr:row>20</xdr:row>
      <xdr:rowOff>0</xdr:rowOff>
    </xdr:from>
    <xdr:to>
      <xdr:col>9</xdr:col>
      <xdr:colOff>190501</xdr:colOff>
      <xdr:row>21</xdr:row>
      <xdr:rowOff>0</xdr:rowOff>
    </xdr:to>
    <xdr:cxnSp macro="">
      <xdr:nvCxnSpPr>
        <xdr:cNvPr id="502" name="Connettore 4 294">
          <a:extLs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CxnSpPr>
          <a:stCxn id="497" idx="2"/>
          <a:endCxn id="500" idx="0"/>
        </xdr:cNvCxnSpPr>
      </xdr:nvCxnSpPr>
      <xdr:spPr>
        <a:xfrm>
          <a:off x="7200901" y="3867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19</xdr:row>
      <xdr:rowOff>95252</xdr:rowOff>
    </xdr:from>
    <xdr:to>
      <xdr:col>9</xdr:col>
      <xdr:colOff>1</xdr:colOff>
      <xdr:row>21</xdr:row>
      <xdr:rowOff>95251</xdr:rowOff>
    </xdr:to>
    <xdr:cxnSp macro="">
      <xdr:nvCxnSpPr>
        <xdr:cNvPr id="503" name="Connettore 4 295">
          <a:extLs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CxnSpPr>
          <a:stCxn id="500" idx="1"/>
          <a:endCxn id="493" idx="3"/>
        </xdr:cNvCxnSpPr>
      </xdr:nvCxnSpPr>
      <xdr:spPr>
        <a:xfrm rot="10800000">
          <a:off x="6067426" y="3771902"/>
          <a:ext cx="942975" cy="38099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</xdr:colOff>
      <xdr:row>2</xdr:row>
      <xdr:rowOff>0</xdr:rowOff>
    </xdr:from>
    <xdr:to>
      <xdr:col>8</xdr:col>
      <xdr:colOff>1</xdr:colOff>
      <xdr:row>3</xdr:row>
      <xdr:rowOff>0</xdr:rowOff>
    </xdr:to>
    <xdr:sp macro="" textlink="">
      <xdr:nvSpPr>
        <xdr:cNvPr id="504" name="Rettangolo 296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/>
      </xdr:nvSpPr>
      <xdr:spPr>
        <a:xfrm>
          <a:off x="6315076" y="438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</xdr:colOff>
      <xdr:row>2</xdr:row>
      <xdr:rowOff>95250</xdr:rowOff>
    </xdr:from>
    <xdr:to>
      <xdr:col>10</xdr:col>
      <xdr:colOff>1</xdr:colOff>
      <xdr:row>19</xdr:row>
      <xdr:rowOff>95250</xdr:rowOff>
    </xdr:to>
    <xdr:cxnSp macro="">
      <xdr:nvCxnSpPr>
        <xdr:cNvPr id="505" name="Connettore 4 297">
          <a:extLs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CxnSpPr>
          <a:stCxn id="504" idx="3"/>
          <a:endCxn id="497" idx="3"/>
        </xdr:cNvCxnSpPr>
      </xdr:nvCxnSpPr>
      <xdr:spPr>
        <a:xfrm>
          <a:off x="6762751" y="533400"/>
          <a:ext cx="628650" cy="3238500"/>
        </a:xfrm>
        <a:prstGeom prst="bentConnector3">
          <a:avLst>
            <a:gd name="adj1" fmla="val 13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190501</xdr:colOff>
      <xdr:row>21</xdr:row>
      <xdr:rowOff>0</xdr:rowOff>
    </xdr:from>
    <xdr:to>
      <xdr:col>5</xdr:col>
      <xdr:colOff>190501</xdr:colOff>
      <xdr:row>22</xdr:row>
      <xdr:rowOff>0</xdr:rowOff>
    </xdr:to>
    <xdr:cxnSp macro="">
      <xdr:nvCxnSpPr>
        <xdr:cNvPr id="506" name="Connettore 4 299">
          <a:extLs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CxnSpPr>
          <a:stCxn id="496" idx="2"/>
          <a:endCxn id="495" idx="0"/>
        </xdr:cNvCxnSpPr>
      </xdr:nvCxnSpPr>
      <xdr:spPr>
        <a:xfrm>
          <a:off x="5876926" y="4057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190501</xdr:colOff>
      <xdr:row>25</xdr:row>
      <xdr:rowOff>0</xdr:rowOff>
    </xdr:from>
    <xdr:to>
      <xdr:col>5</xdr:col>
      <xdr:colOff>190501</xdr:colOff>
      <xdr:row>26</xdr:row>
      <xdr:rowOff>0</xdr:rowOff>
    </xdr:to>
    <xdr:cxnSp macro="">
      <xdr:nvCxnSpPr>
        <xdr:cNvPr id="507" name="Connettore 4 300">
          <a:extLs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CxnSpPr>
          <a:stCxn id="495" idx="2"/>
          <a:endCxn id="508" idx="0"/>
        </xdr:cNvCxnSpPr>
      </xdr:nvCxnSpPr>
      <xdr:spPr>
        <a:xfrm>
          <a:off x="5876926" y="4819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</xdr:colOff>
      <xdr:row>26</xdr:row>
      <xdr:rowOff>0</xdr:rowOff>
    </xdr:from>
    <xdr:to>
      <xdr:col>6</xdr:col>
      <xdr:colOff>1</xdr:colOff>
      <xdr:row>27</xdr:row>
      <xdr:rowOff>0</xdr:rowOff>
    </xdr:to>
    <xdr:sp macro="" textlink="">
      <xdr:nvSpPr>
        <xdr:cNvPr id="508" name="Rettangolo 30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>
        <a:xfrm>
          <a:off x="5686426" y="5010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28</xdr:row>
      <xdr:rowOff>0</xdr:rowOff>
    </xdr:from>
    <xdr:to>
      <xdr:col>6</xdr:col>
      <xdr:colOff>1</xdr:colOff>
      <xdr:row>29</xdr:row>
      <xdr:rowOff>0</xdr:rowOff>
    </xdr:to>
    <xdr:sp macro="" textlink="">
      <xdr:nvSpPr>
        <xdr:cNvPr id="509" name="Rettangolo 302">
          <a:extLs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/>
      </xdr:nvSpPr>
      <xdr:spPr>
        <a:xfrm>
          <a:off x="5686426" y="5391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190501</xdr:colOff>
      <xdr:row>27</xdr:row>
      <xdr:rowOff>0</xdr:rowOff>
    </xdr:from>
    <xdr:to>
      <xdr:col>5</xdr:col>
      <xdr:colOff>190501</xdr:colOff>
      <xdr:row>28</xdr:row>
      <xdr:rowOff>0</xdr:rowOff>
    </xdr:to>
    <xdr:cxnSp macro="">
      <xdr:nvCxnSpPr>
        <xdr:cNvPr id="510" name="Connettore 4 303">
          <a:extLs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CxnSpPr>
          <a:stCxn id="508" idx="2"/>
          <a:endCxn id="509" idx="0"/>
        </xdr:cNvCxnSpPr>
      </xdr:nvCxnSpPr>
      <xdr:spPr>
        <a:xfrm>
          <a:off x="5876926" y="5200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</xdr:colOff>
      <xdr:row>8</xdr:row>
      <xdr:rowOff>0</xdr:rowOff>
    </xdr:from>
    <xdr:to>
      <xdr:col>10</xdr:col>
      <xdr:colOff>1</xdr:colOff>
      <xdr:row>9</xdr:row>
      <xdr:rowOff>0</xdr:rowOff>
    </xdr:to>
    <xdr:sp macro="" textlink="">
      <xdr:nvSpPr>
        <xdr:cNvPr id="511" name="Rettangolo 306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/>
      </xdr:nvSpPr>
      <xdr:spPr>
        <a:xfrm>
          <a:off x="7010401" y="1581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9</xdr:row>
      <xdr:rowOff>0</xdr:rowOff>
    </xdr:from>
    <xdr:to>
      <xdr:col>10</xdr:col>
      <xdr:colOff>1</xdr:colOff>
      <xdr:row>10</xdr:row>
      <xdr:rowOff>0</xdr:rowOff>
    </xdr:to>
    <xdr:sp macro="" textlink="">
      <xdr:nvSpPr>
        <xdr:cNvPr id="512" name="Rettangolo 307">
          <a:extLs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>
        <a:xfrm>
          <a:off x="7010401" y="1771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6</xdr:row>
      <xdr:rowOff>0</xdr:rowOff>
    </xdr:from>
    <xdr:to>
      <xdr:col>10</xdr:col>
      <xdr:colOff>1</xdr:colOff>
      <xdr:row>7</xdr:row>
      <xdr:rowOff>0</xdr:rowOff>
    </xdr:to>
    <xdr:sp macro="" textlink="">
      <xdr:nvSpPr>
        <xdr:cNvPr id="513" name="Rettangolo 308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/>
      </xdr:nvSpPr>
      <xdr:spPr>
        <a:xfrm>
          <a:off x="7010401" y="1200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7</xdr:row>
      <xdr:rowOff>0</xdr:rowOff>
    </xdr:from>
    <xdr:to>
      <xdr:col>10</xdr:col>
      <xdr:colOff>1</xdr:colOff>
      <xdr:row>8</xdr:row>
      <xdr:rowOff>0</xdr:rowOff>
    </xdr:to>
    <xdr:sp macro="" textlink="">
      <xdr:nvSpPr>
        <xdr:cNvPr id="514" name="Rettangolo 309">
          <a:extLs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/>
      </xdr:nvSpPr>
      <xdr:spPr>
        <a:xfrm>
          <a:off x="7010401" y="1390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4</xdr:row>
      <xdr:rowOff>0</xdr:rowOff>
    </xdr:from>
    <xdr:to>
      <xdr:col>10</xdr:col>
      <xdr:colOff>1</xdr:colOff>
      <xdr:row>5</xdr:row>
      <xdr:rowOff>0</xdr:rowOff>
    </xdr:to>
    <xdr:sp macro="" textlink="">
      <xdr:nvSpPr>
        <xdr:cNvPr id="515" name="Rettangolo 310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>
        <a:xfrm>
          <a:off x="7010401" y="819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5</xdr:row>
      <xdr:rowOff>0</xdr:rowOff>
    </xdr:from>
    <xdr:to>
      <xdr:col>10</xdr:col>
      <xdr:colOff>1</xdr:colOff>
      <xdr:row>6</xdr:row>
      <xdr:rowOff>0</xdr:rowOff>
    </xdr:to>
    <xdr:sp macro="" textlink="">
      <xdr:nvSpPr>
        <xdr:cNvPr id="516" name="Rettangolo 311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7010401" y="1009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380998</xdr:colOff>
      <xdr:row>3</xdr:row>
      <xdr:rowOff>0</xdr:rowOff>
    </xdr:to>
    <xdr:sp macro="" textlink="">
      <xdr:nvSpPr>
        <xdr:cNvPr id="517" name="Rettangolo 312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/>
      </xdr:nvSpPr>
      <xdr:spPr>
        <a:xfrm>
          <a:off x="3560379" y="437931"/>
          <a:ext cx="380998" cy="183931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385379</xdr:colOff>
      <xdr:row>4</xdr:row>
      <xdr:rowOff>13138</xdr:rowOff>
    </xdr:to>
    <xdr:sp macro="" textlink="">
      <xdr:nvSpPr>
        <xdr:cNvPr id="518" name="Rettangolo 313">
          <a:extLs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/>
      </xdr:nvSpPr>
      <xdr:spPr>
        <a:xfrm>
          <a:off x="3560379" y="621862"/>
          <a:ext cx="385379" cy="197069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6</xdr:row>
      <xdr:rowOff>0</xdr:rowOff>
    </xdr:from>
    <xdr:to>
      <xdr:col>8</xdr:col>
      <xdr:colOff>1</xdr:colOff>
      <xdr:row>7</xdr:row>
      <xdr:rowOff>0</xdr:rowOff>
    </xdr:to>
    <xdr:sp macro="" textlink="">
      <xdr:nvSpPr>
        <xdr:cNvPr id="519" name="Rettangolo 314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>
        <a:xfrm>
          <a:off x="6315076" y="1200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7</xdr:row>
      <xdr:rowOff>0</xdr:rowOff>
    </xdr:from>
    <xdr:to>
      <xdr:col>8</xdr:col>
      <xdr:colOff>1</xdr:colOff>
      <xdr:row>8</xdr:row>
      <xdr:rowOff>0</xdr:rowOff>
    </xdr:to>
    <xdr:sp macro="" textlink="">
      <xdr:nvSpPr>
        <xdr:cNvPr id="520" name="Rettangolo 315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>
        <a:xfrm>
          <a:off x="6315076" y="1390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4</xdr:row>
      <xdr:rowOff>0</xdr:rowOff>
    </xdr:from>
    <xdr:to>
      <xdr:col>8</xdr:col>
      <xdr:colOff>1</xdr:colOff>
      <xdr:row>5</xdr:row>
      <xdr:rowOff>0</xdr:rowOff>
    </xdr:to>
    <xdr:sp macro="" textlink="">
      <xdr:nvSpPr>
        <xdr:cNvPr id="521" name="Rettangolo 316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/>
      </xdr:nvSpPr>
      <xdr:spPr>
        <a:xfrm>
          <a:off x="6315076" y="819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5</xdr:row>
      <xdr:rowOff>0</xdr:rowOff>
    </xdr:from>
    <xdr:to>
      <xdr:col>8</xdr:col>
      <xdr:colOff>1</xdr:colOff>
      <xdr:row>6</xdr:row>
      <xdr:rowOff>0</xdr:rowOff>
    </xdr:to>
    <xdr:sp macro="" textlink="">
      <xdr:nvSpPr>
        <xdr:cNvPr id="522" name="Rettangolo 317">
          <a:extLs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/>
      </xdr:nvSpPr>
      <xdr:spPr>
        <a:xfrm>
          <a:off x="6315076" y="1009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3</xdr:row>
      <xdr:rowOff>0</xdr:rowOff>
    </xdr:from>
    <xdr:to>
      <xdr:col>8</xdr:col>
      <xdr:colOff>1</xdr:colOff>
      <xdr:row>4</xdr:row>
      <xdr:rowOff>0</xdr:rowOff>
    </xdr:to>
    <xdr:sp macro="" textlink="">
      <xdr:nvSpPr>
        <xdr:cNvPr id="527" name="Rettangolo 318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>
        <a:xfrm>
          <a:off x="6315076" y="628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</xdr:colOff>
      <xdr:row>9</xdr:row>
      <xdr:rowOff>95250</xdr:rowOff>
    </xdr:from>
    <xdr:to>
      <xdr:col>9</xdr:col>
      <xdr:colOff>1</xdr:colOff>
      <xdr:row>9</xdr:row>
      <xdr:rowOff>95250</xdr:rowOff>
    </xdr:to>
    <xdr:cxnSp macro="">
      <xdr:nvCxnSpPr>
        <xdr:cNvPr id="528" name="Connettore 4 319">
          <a:extLs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CxnSpPr>
          <a:stCxn id="512" idx="1"/>
          <a:endCxn id="483" idx="3"/>
        </xdr:cNvCxnSpPr>
      </xdr:nvCxnSpPr>
      <xdr:spPr>
        <a:xfrm flipH="1">
          <a:off x="6762751" y="1866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8</xdr:row>
      <xdr:rowOff>95250</xdr:rowOff>
    </xdr:from>
    <xdr:to>
      <xdr:col>9</xdr:col>
      <xdr:colOff>1</xdr:colOff>
      <xdr:row>8</xdr:row>
      <xdr:rowOff>95250</xdr:rowOff>
    </xdr:to>
    <xdr:cxnSp macro="">
      <xdr:nvCxnSpPr>
        <xdr:cNvPr id="529" name="Connettore 4 320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CxnSpPr>
          <a:stCxn id="511" idx="1"/>
          <a:endCxn id="480" idx="3"/>
        </xdr:cNvCxnSpPr>
      </xdr:nvCxnSpPr>
      <xdr:spPr>
        <a:xfrm flipH="1">
          <a:off x="6762751" y="1676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7</xdr:row>
      <xdr:rowOff>95250</xdr:rowOff>
    </xdr:from>
    <xdr:to>
      <xdr:col>9</xdr:col>
      <xdr:colOff>1</xdr:colOff>
      <xdr:row>7</xdr:row>
      <xdr:rowOff>95250</xdr:rowOff>
    </xdr:to>
    <xdr:cxnSp macro="">
      <xdr:nvCxnSpPr>
        <xdr:cNvPr id="530" name="Connettore 4 321">
          <a:extLs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CxnSpPr>
          <a:stCxn id="514" idx="1"/>
          <a:endCxn id="520" idx="3"/>
        </xdr:cNvCxnSpPr>
      </xdr:nvCxnSpPr>
      <xdr:spPr>
        <a:xfrm flipH="1">
          <a:off x="6762751" y="1485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6</xdr:row>
      <xdr:rowOff>95250</xdr:rowOff>
    </xdr:from>
    <xdr:to>
      <xdr:col>9</xdr:col>
      <xdr:colOff>1</xdr:colOff>
      <xdr:row>6</xdr:row>
      <xdr:rowOff>95250</xdr:rowOff>
    </xdr:to>
    <xdr:cxnSp macro="">
      <xdr:nvCxnSpPr>
        <xdr:cNvPr id="534" name="Connettore 4 322">
          <a:extLs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CxnSpPr>
          <a:stCxn id="513" idx="1"/>
          <a:endCxn id="519" idx="3"/>
        </xdr:cNvCxnSpPr>
      </xdr:nvCxnSpPr>
      <xdr:spPr>
        <a:xfrm flipH="1">
          <a:off x="6762751" y="1295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5</xdr:row>
      <xdr:rowOff>95250</xdr:rowOff>
    </xdr:from>
    <xdr:to>
      <xdr:col>9</xdr:col>
      <xdr:colOff>1</xdr:colOff>
      <xdr:row>5</xdr:row>
      <xdr:rowOff>95250</xdr:rowOff>
    </xdr:to>
    <xdr:cxnSp macro="">
      <xdr:nvCxnSpPr>
        <xdr:cNvPr id="535" name="Connettore 4 323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CxnSpPr>
          <a:stCxn id="516" idx="1"/>
          <a:endCxn id="522" idx="3"/>
        </xdr:cNvCxnSpPr>
      </xdr:nvCxnSpPr>
      <xdr:spPr>
        <a:xfrm flipH="1">
          <a:off x="6762751" y="11049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4</xdr:row>
      <xdr:rowOff>95250</xdr:rowOff>
    </xdr:from>
    <xdr:to>
      <xdr:col>9</xdr:col>
      <xdr:colOff>1</xdr:colOff>
      <xdr:row>4</xdr:row>
      <xdr:rowOff>95250</xdr:rowOff>
    </xdr:to>
    <xdr:cxnSp macro="">
      <xdr:nvCxnSpPr>
        <xdr:cNvPr id="536" name="Connettore 4 324">
          <a:extLs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CxnSpPr>
          <a:stCxn id="515" idx="1"/>
          <a:endCxn id="521" idx="3"/>
        </xdr:cNvCxnSpPr>
      </xdr:nvCxnSpPr>
      <xdr:spPr>
        <a:xfrm flipH="1">
          <a:off x="6762751" y="914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385379</xdr:colOff>
      <xdr:row>3</xdr:row>
      <xdr:rowOff>91966</xdr:rowOff>
    </xdr:from>
    <xdr:to>
      <xdr:col>7</xdr:col>
      <xdr:colOff>1</xdr:colOff>
      <xdr:row>3</xdr:row>
      <xdr:rowOff>98535</xdr:rowOff>
    </xdr:to>
    <xdr:cxnSp macro="">
      <xdr:nvCxnSpPr>
        <xdr:cNvPr id="538" name="Connettore 4 325">
          <a:extLs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CxnSpPr>
          <a:stCxn id="527" idx="1"/>
          <a:endCxn id="518" idx="3"/>
        </xdr:cNvCxnSpPr>
      </xdr:nvCxnSpPr>
      <xdr:spPr>
        <a:xfrm flipH="1">
          <a:off x="3945758" y="713828"/>
          <a:ext cx="271519" cy="6569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380998</xdr:colOff>
      <xdr:row>2</xdr:row>
      <xdr:rowOff>91966</xdr:rowOff>
    </xdr:from>
    <xdr:to>
      <xdr:col>7</xdr:col>
      <xdr:colOff>1</xdr:colOff>
      <xdr:row>2</xdr:row>
      <xdr:rowOff>91966</xdr:rowOff>
    </xdr:to>
    <xdr:cxnSp macro="">
      <xdr:nvCxnSpPr>
        <xdr:cNvPr id="539" name="Connettore 4 326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CxnSpPr>
          <a:stCxn id="504" idx="1"/>
          <a:endCxn id="517" idx="3"/>
        </xdr:cNvCxnSpPr>
      </xdr:nvCxnSpPr>
      <xdr:spPr>
        <a:xfrm flipH="1">
          <a:off x="3941377" y="529897"/>
          <a:ext cx="27590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28</xdr:row>
      <xdr:rowOff>95250</xdr:rowOff>
    </xdr:from>
    <xdr:to>
      <xdr:col>5</xdr:col>
      <xdr:colOff>1</xdr:colOff>
      <xdr:row>28</xdr:row>
      <xdr:rowOff>95250</xdr:rowOff>
    </xdr:to>
    <xdr:cxnSp macro="">
      <xdr:nvCxnSpPr>
        <xdr:cNvPr id="542" name="Connettore 4 337">
          <a:extLs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CxnSpPr>
          <a:stCxn id="509" idx="1"/>
          <a:endCxn id="332" idx="3"/>
        </xdr:cNvCxnSpPr>
      </xdr:nvCxnSpPr>
      <xdr:spPr>
        <a:xfrm flipH="1">
          <a:off x="3019425" y="5486400"/>
          <a:ext cx="381001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50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543" name="Rettangolo 350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>
        <a:xfrm>
          <a:off x="5686425" y="9582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42</xdr:row>
      <xdr:rowOff>0</xdr:rowOff>
    </xdr:from>
    <xdr:to>
      <xdr:col>6</xdr:col>
      <xdr:colOff>1</xdr:colOff>
      <xdr:row>43</xdr:row>
      <xdr:rowOff>0</xdr:rowOff>
    </xdr:to>
    <xdr:sp macro="" textlink="">
      <xdr:nvSpPr>
        <xdr:cNvPr id="547" name="Rettangolo 351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SpPr/>
      </xdr:nvSpPr>
      <xdr:spPr>
        <a:xfrm>
          <a:off x="5686426" y="8058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46</xdr:row>
      <xdr:rowOff>0</xdr:rowOff>
    </xdr:from>
    <xdr:to>
      <xdr:col>6</xdr:col>
      <xdr:colOff>1</xdr:colOff>
      <xdr:row>47</xdr:row>
      <xdr:rowOff>0</xdr:rowOff>
    </xdr:to>
    <xdr:sp macro="" textlink="">
      <xdr:nvSpPr>
        <xdr:cNvPr id="548" name="Rettangolo 352">
          <a:extLs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SpPr/>
      </xdr:nvSpPr>
      <xdr:spPr>
        <a:xfrm>
          <a:off x="5686426" y="8820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48</xdr:row>
      <xdr:rowOff>0</xdr:rowOff>
    </xdr:from>
    <xdr:to>
      <xdr:col>6</xdr:col>
      <xdr:colOff>1</xdr:colOff>
      <xdr:row>49</xdr:row>
      <xdr:rowOff>0</xdr:rowOff>
    </xdr:to>
    <xdr:sp macro="" textlink="">
      <xdr:nvSpPr>
        <xdr:cNvPr id="553" name="Rettangolo 353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SpPr/>
      </xdr:nvSpPr>
      <xdr:spPr>
        <a:xfrm>
          <a:off x="5686426" y="9201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50</xdr:row>
      <xdr:rowOff>0</xdr:rowOff>
    </xdr:from>
    <xdr:to>
      <xdr:col>6</xdr:col>
      <xdr:colOff>1</xdr:colOff>
      <xdr:row>51</xdr:row>
      <xdr:rowOff>0</xdr:rowOff>
    </xdr:to>
    <xdr:sp macro="" textlink="">
      <xdr:nvSpPr>
        <xdr:cNvPr id="554" name="Rettangolo 354">
          <a:extLs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SpPr/>
      </xdr:nvSpPr>
      <xdr:spPr>
        <a:xfrm>
          <a:off x="5686426" y="9582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189707</xdr:colOff>
      <xdr:row>47</xdr:row>
      <xdr:rowOff>794</xdr:rowOff>
    </xdr:from>
    <xdr:to>
      <xdr:col>5</xdr:col>
      <xdr:colOff>191295</xdr:colOff>
      <xdr:row>48</xdr:row>
      <xdr:rowOff>794</xdr:rowOff>
    </xdr:to>
    <xdr:cxnSp macro="">
      <xdr:nvCxnSpPr>
        <xdr:cNvPr id="555" name="Connettore 4 355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CxnSpPr>
          <a:stCxn id="548" idx="2"/>
          <a:endCxn id="553" idx="0"/>
        </xdr:cNvCxnSpPr>
      </xdr:nvCxnSpPr>
      <xdr:spPr>
        <a:xfrm rot="5400000">
          <a:off x="5781676" y="9105900"/>
          <a:ext cx="190500" cy="158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190501</xdr:colOff>
      <xdr:row>49</xdr:row>
      <xdr:rowOff>0</xdr:rowOff>
    </xdr:from>
    <xdr:to>
      <xdr:col>5</xdr:col>
      <xdr:colOff>190501</xdr:colOff>
      <xdr:row>50</xdr:row>
      <xdr:rowOff>0</xdr:rowOff>
    </xdr:to>
    <xdr:cxnSp macro="">
      <xdr:nvCxnSpPr>
        <xdr:cNvPr id="556" name="Connettore 4 356">
          <a:extLs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CxnSpPr>
          <a:stCxn id="553" idx="2"/>
          <a:endCxn id="554" idx="0"/>
        </xdr:cNvCxnSpPr>
      </xdr:nvCxnSpPr>
      <xdr:spPr>
        <a:xfrm>
          <a:off x="5876926" y="9391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</xdr:colOff>
      <xdr:row>42</xdr:row>
      <xdr:rowOff>0</xdr:rowOff>
    </xdr:from>
    <xdr:to>
      <xdr:col>10</xdr:col>
      <xdr:colOff>1</xdr:colOff>
      <xdr:row>43</xdr:row>
      <xdr:rowOff>0</xdr:rowOff>
    </xdr:to>
    <xdr:sp macro="" textlink="">
      <xdr:nvSpPr>
        <xdr:cNvPr id="557" name="Rettangolo 357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SpPr/>
      </xdr:nvSpPr>
      <xdr:spPr>
        <a:xfrm>
          <a:off x="7010401" y="8058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44</xdr:row>
      <xdr:rowOff>0</xdr:rowOff>
    </xdr:from>
    <xdr:to>
      <xdr:col>10</xdr:col>
      <xdr:colOff>1</xdr:colOff>
      <xdr:row>45</xdr:row>
      <xdr:rowOff>0</xdr:rowOff>
    </xdr:to>
    <xdr:sp macro="" textlink="">
      <xdr:nvSpPr>
        <xdr:cNvPr id="558" name="Rettangolo 358">
          <a:extLs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SpPr/>
      </xdr:nvSpPr>
      <xdr:spPr>
        <a:xfrm>
          <a:off x="7010401" y="8439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37</xdr:row>
      <xdr:rowOff>0</xdr:rowOff>
    </xdr:from>
    <xdr:to>
      <xdr:col>10</xdr:col>
      <xdr:colOff>1</xdr:colOff>
      <xdr:row>41</xdr:row>
      <xdr:rowOff>0</xdr:rowOff>
    </xdr:to>
    <xdr:sp macro="" textlink="">
      <xdr:nvSpPr>
        <xdr:cNvPr id="559" name="Rettangolo 359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SpPr/>
      </xdr:nvSpPr>
      <xdr:spPr>
        <a:xfrm>
          <a:off x="7010401" y="7105650"/>
          <a:ext cx="381000" cy="7620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190501</xdr:colOff>
      <xdr:row>41</xdr:row>
      <xdr:rowOff>0</xdr:rowOff>
    </xdr:from>
    <xdr:to>
      <xdr:col>9</xdr:col>
      <xdr:colOff>190501</xdr:colOff>
      <xdr:row>42</xdr:row>
      <xdr:rowOff>0</xdr:rowOff>
    </xdr:to>
    <xdr:cxnSp macro="">
      <xdr:nvCxnSpPr>
        <xdr:cNvPr id="560" name="Connettore 4 360">
          <a:extLs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CxnSpPr>
          <a:stCxn id="557" idx="0"/>
          <a:endCxn id="559" idx="2"/>
        </xdr:cNvCxnSpPr>
      </xdr:nvCxnSpPr>
      <xdr:spPr>
        <a:xfrm flipV="1">
          <a:off x="7200901" y="78676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</xdr:colOff>
      <xdr:row>37</xdr:row>
      <xdr:rowOff>0</xdr:rowOff>
    </xdr:from>
    <xdr:to>
      <xdr:col>10</xdr:col>
      <xdr:colOff>1</xdr:colOff>
      <xdr:row>38</xdr:row>
      <xdr:rowOff>0</xdr:rowOff>
    </xdr:to>
    <xdr:sp macro="" textlink="">
      <xdr:nvSpPr>
        <xdr:cNvPr id="561" name="Rettangolo 361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SpPr/>
      </xdr:nvSpPr>
      <xdr:spPr>
        <a:xfrm>
          <a:off x="7010401" y="710565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38</xdr:row>
      <xdr:rowOff>0</xdr:rowOff>
    </xdr:from>
    <xdr:to>
      <xdr:col>10</xdr:col>
      <xdr:colOff>1</xdr:colOff>
      <xdr:row>39</xdr:row>
      <xdr:rowOff>0</xdr:rowOff>
    </xdr:to>
    <xdr:sp macro="" textlink="">
      <xdr:nvSpPr>
        <xdr:cNvPr id="562" name="Rettangolo 362">
          <a:extLs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SpPr/>
      </xdr:nvSpPr>
      <xdr:spPr>
        <a:xfrm>
          <a:off x="7010401" y="7296150"/>
          <a:ext cx="381000" cy="190500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48</xdr:row>
      <xdr:rowOff>1</xdr:rowOff>
    </xdr:from>
    <xdr:to>
      <xdr:col>10</xdr:col>
      <xdr:colOff>1</xdr:colOff>
      <xdr:row>49</xdr:row>
      <xdr:rowOff>1</xdr:rowOff>
    </xdr:to>
    <xdr:sp macro="" textlink="">
      <xdr:nvSpPr>
        <xdr:cNvPr id="563" name="Rettangolo 364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SpPr/>
      </xdr:nvSpPr>
      <xdr:spPr>
        <a:xfrm>
          <a:off x="7010401" y="9201151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51</xdr:row>
      <xdr:rowOff>0</xdr:rowOff>
    </xdr:from>
    <xdr:to>
      <xdr:col>10</xdr:col>
      <xdr:colOff>1</xdr:colOff>
      <xdr:row>54</xdr:row>
      <xdr:rowOff>0</xdr:rowOff>
    </xdr:to>
    <xdr:sp macro="" textlink="">
      <xdr:nvSpPr>
        <xdr:cNvPr id="564" name="Rettangolo 365">
          <a:extLs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SpPr/>
      </xdr:nvSpPr>
      <xdr:spPr>
        <a:xfrm>
          <a:off x="7010401" y="9772650"/>
          <a:ext cx="381000" cy="571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49</xdr:row>
      <xdr:rowOff>0</xdr:rowOff>
    </xdr:from>
    <xdr:to>
      <xdr:col>10</xdr:col>
      <xdr:colOff>1</xdr:colOff>
      <xdr:row>50</xdr:row>
      <xdr:rowOff>0</xdr:rowOff>
    </xdr:to>
    <xdr:sp macro="" textlink="">
      <xdr:nvSpPr>
        <xdr:cNvPr id="565" name="Rettangolo 366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SpPr/>
      </xdr:nvSpPr>
      <xdr:spPr>
        <a:xfrm>
          <a:off x="7010401" y="9391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190501</xdr:colOff>
      <xdr:row>50</xdr:row>
      <xdr:rowOff>0</xdr:rowOff>
    </xdr:from>
    <xdr:to>
      <xdr:col>9</xdr:col>
      <xdr:colOff>190501</xdr:colOff>
      <xdr:row>51</xdr:row>
      <xdr:rowOff>0</xdr:rowOff>
    </xdr:to>
    <xdr:cxnSp macro="">
      <xdr:nvCxnSpPr>
        <xdr:cNvPr id="566" name="Connettore 4 367">
          <a:extLs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CxnSpPr>
          <a:stCxn id="565" idx="2"/>
          <a:endCxn id="564" idx="0"/>
        </xdr:cNvCxnSpPr>
      </xdr:nvCxnSpPr>
      <xdr:spPr>
        <a:xfrm>
          <a:off x="7200901" y="9582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190501</xdr:colOff>
      <xdr:row>54</xdr:row>
      <xdr:rowOff>0</xdr:rowOff>
    </xdr:from>
    <xdr:to>
      <xdr:col>9</xdr:col>
      <xdr:colOff>190501</xdr:colOff>
      <xdr:row>55</xdr:row>
      <xdr:rowOff>0</xdr:rowOff>
    </xdr:to>
    <xdr:cxnSp macro="">
      <xdr:nvCxnSpPr>
        <xdr:cNvPr id="567" name="Connettore 4 368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CxnSpPr>
          <a:stCxn id="564" idx="2"/>
          <a:endCxn id="568" idx="0"/>
        </xdr:cNvCxnSpPr>
      </xdr:nvCxnSpPr>
      <xdr:spPr>
        <a:xfrm>
          <a:off x="7200901" y="10344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</xdr:colOff>
      <xdr:row>55</xdr:row>
      <xdr:rowOff>0</xdr:rowOff>
    </xdr:from>
    <xdr:to>
      <xdr:col>10</xdr:col>
      <xdr:colOff>1</xdr:colOff>
      <xdr:row>56</xdr:row>
      <xdr:rowOff>0</xdr:rowOff>
    </xdr:to>
    <xdr:sp macro="" textlink="">
      <xdr:nvSpPr>
        <xdr:cNvPr id="568" name="Rettangolo 369">
          <a:extLs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SpPr/>
      </xdr:nvSpPr>
      <xdr:spPr>
        <a:xfrm>
          <a:off x="7010401" y="10534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</xdr:colOff>
      <xdr:row>57</xdr:row>
      <xdr:rowOff>0</xdr:rowOff>
    </xdr:from>
    <xdr:to>
      <xdr:col>10</xdr:col>
      <xdr:colOff>1</xdr:colOff>
      <xdr:row>58</xdr:row>
      <xdr:rowOff>0</xdr:rowOff>
    </xdr:to>
    <xdr:sp macro="" textlink="">
      <xdr:nvSpPr>
        <xdr:cNvPr id="569" name="Rettangolo 370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SpPr/>
      </xdr:nvSpPr>
      <xdr:spPr>
        <a:xfrm>
          <a:off x="7010401" y="10915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190501</xdr:colOff>
      <xdr:row>56</xdr:row>
      <xdr:rowOff>0</xdr:rowOff>
    </xdr:from>
    <xdr:to>
      <xdr:col>9</xdr:col>
      <xdr:colOff>190501</xdr:colOff>
      <xdr:row>57</xdr:row>
      <xdr:rowOff>0</xdr:rowOff>
    </xdr:to>
    <xdr:cxnSp macro="">
      <xdr:nvCxnSpPr>
        <xdr:cNvPr id="570" name="Connettore 4 371">
          <a:extLs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CxnSpPr>
          <a:stCxn id="568" idx="2"/>
          <a:endCxn id="569" idx="0"/>
        </xdr:cNvCxnSpPr>
      </xdr:nvCxnSpPr>
      <xdr:spPr>
        <a:xfrm>
          <a:off x="7200901" y="10725150"/>
          <a:ext cx="0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42</xdr:row>
      <xdr:rowOff>95250</xdr:rowOff>
    </xdr:from>
    <xdr:to>
      <xdr:col>9</xdr:col>
      <xdr:colOff>1</xdr:colOff>
      <xdr:row>42</xdr:row>
      <xdr:rowOff>95250</xdr:rowOff>
    </xdr:to>
    <xdr:cxnSp macro="">
      <xdr:nvCxnSpPr>
        <xdr:cNvPr id="571" name="Connettore 4 373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CxnSpPr>
          <a:stCxn id="547" idx="3"/>
          <a:endCxn id="557" idx="1"/>
        </xdr:cNvCxnSpPr>
      </xdr:nvCxnSpPr>
      <xdr:spPr>
        <a:xfrm>
          <a:off x="6067426" y="8153400"/>
          <a:ext cx="9429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190501</xdr:colOff>
      <xdr:row>44</xdr:row>
      <xdr:rowOff>95250</xdr:rowOff>
    </xdr:from>
    <xdr:to>
      <xdr:col>9</xdr:col>
      <xdr:colOff>1</xdr:colOff>
      <xdr:row>46</xdr:row>
      <xdr:rowOff>0</xdr:rowOff>
    </xdr:to>
    <xdr:cxnSp macro="">
      <xdr:nvCxnSpPr>
        <xdr:cNvPr id="572" name="Connettore 4 27">
          <a:extLs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CxnSpPr>
          <a:stCxn id="558" idx="1"/>
          <a:endCxn id="548" idx="0"/>
        </xdr:cNvCxnSpPr>
      </xdr:nvCxnSpPr>
      <xdr:spPr>
        <a:xfrm rot="10800000" flipV="1">
          <a:off x="5876926" y="8534400"/>
          <a:ext cx="1133475" cy="285750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46</xdr:row>
      <xdr:rowOff>95250</xdr:rowOff>
    </xdr:from>
    <xdr:to>
      <xdr:col>9</xdr:col>
      <xdr:colOff>190501</xdr:colOff>
      <xdr:row>48</xdr:row>
      <xdr:rowOff>1</xdr:rowOff>
    </xdr:to>
    <xdr:cxnSp macro="">
      <xdr:nvCxnSpPr>
        <xdr:cNvPr id="573" name="Connettore 4 34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CxnSpPr>
          <a:stCxn id="548" idx="3"/>
          <a:endCxn id="563" idx="0"/>
        </xdr:cNvCxnSpPr>
      </xdr:nvCxnSpPr>
      <xdr:spPr>
        <a:xfrm>
          <a:off x="6067426" y="8915400"/>
          <a:ext cx="1133475" cy="285751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48</xdr:row>
      <xdr:rowOff>95251</xdr:rowOff>
    </xdr:from>
    <xdr:to>
      <xdr:col>9</xdr:col>
      <xdr:colOff>1</xdr:colOff>
      <xdr:row>50</xdr:row>
      <xdr:rowOff>95250</xdr:rowOff>
    </xdr:to>
    <xdr:cxnSp macro="">
      <xdr:nvCxnSpPr>
        <xdr:cNvPr id="574" name="Connettore 4 213">
          <a:extLs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CxnSpPr>
          <a:stCxn id="554" idx="3"/>
          <a:endCxn id="563" idx="1"/>
        </xdr:cNvCxnSpPr>
      </xdr:nvCxnSpPr>
      <xdr:spPr>
        <a:xfrm flipV="1">
          <a:off x="3781426" y="9296401"/>
          <a:ext cx="942975" cy="380999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37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575" name="Rettangolo 226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SpPr/>
      </xdr:nvSpPr>
      <xdr:spPr>
        <a:xfrm>
          <a:off x="5686425" y="7105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38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576" name="Rettangolo 227">
          <a:extLs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SpPr/>
      </xdr:nvSpPr>
      <xdr:spPr>
        <a:xfrm>
          <a:off x="5686425" y="7296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35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637" name="Rettangolo 228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SpPr/>
      </xdr:nvSpPr>
      <xdr:spPr>
        <a:xfrm>
          <a:off x="5686425" y="6724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36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638" name="Rettangolo 229">
          <a:extLs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SpPr/>
      </xdr:nvSpPr>
      <xdr:spPr>
        <a:xfrm>
          <a:off x="5686425" y="6915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33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639" name="Rettangolo 231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SpPr/>
      </xdr:nvSpPr>
      <xdr:spPr>
        <a:xfrm>
          <a:off x="5686425" y="6343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640" name="Rettangolo 232">
          <a:extLs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SpPr/>
      </xdr:nvSpPr>
      <xdr:spPr>
        <a:xfrm>
          <a:off x="5686425" y="6534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37</xdr:row>
      <xdr:rowOff>0</xdr:rowOff>
    </xdr:from>
    <xdr:to>
      <xdr:col>6</xdr:col>
      <xdr:colOff>1</xdr:colOff>
      <xdr:row>38</xdr:row>
      <xdr:rowOff>0</xdr:rowOff>
    </xdr:to>
    <xdr:sp macro="" textlink="">
      <xdr:nvSpPr>
        <xdr:cNvPr id="641" name="Rettangolo 234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SpPr/>
      </xdr:nvSpPr>
      <xdr:spPr>
        <a:xfrm>
          <a:off x="5686426" y="7105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38</xdr:row>
      <xdr:rowOff>0</xdr:rowOff>
    </xdr:from>
    <xdr:to>
      <xdr:col>6</xdr:col>
      <xdr:colOff>1</xdr:colOff>
      <xdr:row>39</xdr:row>
      <xdr:rowOff>0</xdr:rowOff>
    </xdr:to>
    <xdr:sp macro="" textlink="">
      <xdr:nvSpPr>
        <xdr:cNvPr id="642" name="Rettangolo 235">
          <a:extLs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SpPr/>
      </xdr:nvSpPr>
      <xdr:spPr>
        <a:xfrm>
          <a:off x="5686426" y="7296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35</xdr:row>
      <xdr:rowOff>0</xdr:rowOff>
    </xdr:from>
    <xdr:to>
      <xdr:col>6</xdr:col>
      <xdr:colOff>1</xdr:colOff>
      <xdr:row>36</xdr:row>
      <xdr:rowOff>0</xdr:rowOff>
    </xdr:to>
    <xdr:sp macro="" textlink="">
      <xdr:nvSpPr>
        <xdr:cNvPr id="644" name="Rettangolo 237">
          <a:extLs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SpPr/>
      </xdr:nvSpPr>
      <xdr:spPr>
        <a:xfrm>
          <a:off x="5686426" y="6724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36</xdr:row>
      <xdr:rowOff>0</xdr:rowOff>
    </xdr:from>
    <xdr:to>
      <xdr:col>6</xdr:col>
      <xdr:colOff>1</xdr:colOff>
      <xdr:row>37</xdr:row>
      <xdr:rowOff>0</xdr:rowOff>
    </xdr:to>
    <xdr:sp macro="" textlink="">
      <xdr:nvSpPr>
        <xdr:cNvPr id="645" name="Rettangolo 238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SpPr/>
      </xdr:nvSpPr>
      <xdr:spPr>
        <a:xfrm>
          <a:off x="5686426" y="6915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33</xdr:row>
      <xdr:rowOff>0</xdr:rowOff>
    </xdr:from>
    <xdr:to>
      <xdr:col>6</xdr:col>
      <xdr:colOff>1</xdr:colOff>
      <xdr:row>34</xdr:row>
      <xdr:rowOff>0</xdr:rowOff>
    </xdr:to>
    <xdr:sp macro="" textlink="">
      <xdr:nvSpPr>
        <xdr:cNvPr id="646" name="Rettangolo 241">
          <a:extLs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SpPr/>
      </xdr:nvSpPr>
      <xdr:spPr>
        <a:xfrm>
          <a:off x="5686426" y="63436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</xdr:colOff>
      <xdr:row>34</xdr:row>
      <xdr:rowOff>0</xdr:rowOff>
    </xdr:from>
    <xdr:to>
      <xdr:col>6</xdr:col>
      <xdr:colOff>1</xdr:colOff>
      <xdr:row>35</xdr:row>
      <xdr:rowOff>0</xdr:rowOff>
    </xdr:to>
    <xdr:sp macro="" textlink="">
      <xdr:nvSpPr>
        <xdr:cNvPr id="647" name="Rettangolo 242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SpPr/>
      </xdr:nvSpPr>
      <xdr:spPr>
        <a:xfrm>
          <a:off x="5686426" y="6534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648" name="Rettangolo 247">
          <a:extLs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SpPr/>
      </xdr:nvSpPr>
      <xdr:spPr>
        <a:xfrm>
          <a:off x="4953000" y="5810250"/>
          <a:ext cx="402167" cy="185208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650" name="Rettangolo 252">
          <a:extLs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SpPr/>
      </xdr:nvSpPr>
      <xdr:spPr>
        <a:xfrm>
          <a:off x="4953000" y="5995458"/>
          <a:ext cx="402167" cy="185209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651" name="Rettangolo 253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SpPr/>
      </xdr:nvSpPr>
      <xdr:spPr>
        <a:xfrm>
          <a:off x="6315075" y="7105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652" name="Rettangolo 255">
          <a:extLs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SpPr/>
      </xdr:nvSpPr>
      <xdr:spPr>
        <a:xfrm>
          <a:off x="6315075" y="7296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653" name="Rettangolo 256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SpPr/>
      </xdr:nvSpPr>
      <xdr:spPr>
        <a:xfrm>
          <a:off x="6315075" y="5962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654" name="Rettangolo 257">
          <a:extLs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SpPr/>
      </xdr:nvSpPr>
      <xdr:spPr>
        <a:xfrm>
          <a:off x="6315075" y="6724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657" name="Rettangolo 260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SpPr/>
      </xdr:nvSpPr>
      <xdr:spPr>
        <a:xfrm>
          <a:off x="6315075" y="6343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658" name="Rettangolo 261">
          <a:extLs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SpPr/>
      </xdr:nvSpPr>
      <xdr:spPr>
        <a:xfrm>
          <a:off x="6315075" y="6534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659" name="Rettangolo 262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SpPr/>
      </xdr:nvSpPr>
      <xdr:spPr>
        <a:xfrm>
          <a:off x="6315075" y="6153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1</xdr:colOff>
      <xdr:row>38</xdr:row>
      <xdr:rowOff>95250</xdr:rowOff>
    </xdr:to>
    <xdr:cxnSp macro="">
      <xdr:nvCxnSpPr>
        <xdr:cNvPr id="660" name="Connettore 4 333">
          <a:extLs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CxnSpPr>
          <a:stCxn id="652" idx="3"/>
          <a:endCxn id="562" idx="1"/>
        </xdr:cNvCxnSpPr>
      </xdr:nvCxnSpPr>
      <xdr:spPr>
        <a:xfrm>
          <a:off x="6762750" y="7391400"/>
          <a:ext cx="247651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1</xdr:colOff>
      <xdr:row>37</xdr:row>
      <xdr:rowOff>95250</xdr:rowOff>
    </xdr:to>
    <xdr:cxnSp macro="">
      <xdr:nvCxnSpPr>
        <xdr:cNvPr id="661" name="Connettore 4 338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CxnSpPr>
          <a:stCxn id="651" idx="3"/>
          <a:endCxn id="561" idx="1"/>
        </xdr:cNvCxnSpPr>
      </xdr:nvCxnSpPr>
      <xdr:spPr>
        <a:xfrm>
          <a:off x="6762750" y="7200900"/>
          <a:ext cx="247651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32</xdr:row>
      <xdr:rowOff>92605</xdr:rowOff>
    </xdr:from>
    <xdr:to>
      <xdr:col>9</xdr:col>
      <xdr:colOff>0</xdr:colOff>
      <xdr:row>32</xdr:row>
      <xdr:rowOff>92605</xdr:rowOff>
    </xdr:to>
    <xdr:cxnSp macro="">
      <xdr:nvCxnSpPr>
        <xdr:cNvPr id="662" name="Connettore 4 342">
          <a:extLs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CxnSpPr>
          <a:stCxn id="659" idx="3"/>
          <a:endCxn id="650" idx="1"/>
        </xdr:cNvCxnSpPr>
      </xdr:nvCxnSpPr>
      <xdr:spPr>
        <a:xfrm>
          <a:off x="4693708" y="6088063"/>
          <a:ext cx="259292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31</xdr:row>
      <xdr:rowOff>92604</xdr:rowOff>
    </xdr:from>
    <xdr:to>
      <xdr:col>9</xdr:col>
      <xdr:colOff>0</xdr:colOff>
      <xdr:row>31</xdr:row>
      <xdr:rowOff>92604</xdr:rowOff>
    </xdr:to>
    <xdr:cxnSp macro="">
      <xdr:nvCxnSpPr>
        <xdr:cNvPr id="663" name="Connettore 4 343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CxnSpPr>
          <a:stCxn id="648" idx="1"/>
          <a:endCxn id="653" idx="3"/>
        </xdr:cNvCxnSpPr>
      </xdr:nvCxnSpPr>
      <xdr:spPr>
        <a:xfrm flipH="1">
          <a:off x="4693708" y="5902854"/>
          <a:ext cx="259292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34</xdr:row>
      <xdr:rowOff>95250</xdr:rowOff>
    </xdr:from>
    <xdr:to>
      <xdr:col>7</xdr:col>
      <xdr:colOff>0</xdr:colOff>
      <xdr:row>34</xdr:row>
      <xdr:rowOff>95250</xdr:rowOff>
    </xdr:to>
    <xdr:cxnSp macro="">
      <xdr:nvCxnSpPr>
        <xdr:cNvPr id="664" name="Connettore 4 377">
          <a:extLs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CxnSpPr>
          <a:stCxn id="647" idx="3"/>
          <a:endCxn id="658" idx="1"/>
        </xdr:cNvCxnSpPr>
      </xdr:nvCxnSpPr>
      <xdr:spPr>
        <a:xfrm>
          <a:off x="6067426" y="66294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33</xdr:row>
      <xdr:rowOff>95250</xdr:rowOff>
    </xdr:from>
    <xdr:to>
      <xdr:col>7</xdr:col>
      <xdr:colOff>0</xdr:colOff>
      <xdr:row>33</xdr:row>
      <xdr:rowOff>95250</xdr:rowOff>
    </xdr:to>
    <xdr:cxnSp macro="">
      <xdr:nvCxnSpPr>
        <xdr:cNvPr id="665" name="Connettore 4 378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CxnSpPr>
          <a:stCxn id="657" idx="1"/>
          <a:endCxn id="646" idx="3"/>
        </xdr:cNvCxnSpPr>
      </xdr:nvCxnSpPr>
      <xdr:spPr>
        <a:xfrm flipH="1">
          <a:off x="6067426" y="6438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35</xdr:row>
      <xdr:rowOff>95250</xdr:rowOff>
    </xdr:from>
    <xdr:to>
      <xdr:col>7</xdr:col>
      <xdr:colOff>0</xdr:colOff>
      <xdr:row>35</xdr:row>
      <xdr:rowOff>95250</xdr:rowOff>
    </xdr:to>
    <xdr:cxnSp macro="">
      <xdr:nvCxnSpPr>
        <xdr:cNvPr id="667" name="Connettore 4 384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CxnSpPr>
          <a:stCxn id="654" idx="1"/>
          <a:endCxn id="644" idx="3"/>
        </xdr:cNvCxnSpPr>
      </xdr:nvCxnSpPr>
      <xdr:spPr>
        <a:xfrm flipH="1">
          <a:off x="6067426" y="6819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38</xdr:row>
      <xdr:rowOff>95250</xdr:rowOff>
    </xdr:from>
    <xdr:to>
      <xdr:col>7</xdr:col>
      <xdr:colOff>0</xdr:colOff>
      <xdr:row>38</xdr:row>
      <xdr:rowOff>95250</xdr:rowOff>
    </xdr:to>
    <xdr:cxnSp macro="">
      <xdr:nvCxnSpPr>
        <xdr:cNvPr id="668" name="Connettore 4 390">
          <a:extLs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CxnSpPr>
          <a:stCxn id="642" idx="3"/>
          <a:endCxn id="652" idx="1"/>
        </xdr:cNvCxnSpPr>
      </xdr:nvCxnSpPr>
      <xdr:spPr>
        <a:xfrm>
          <a:off x="6067426" y="73914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</xdr:colOff>
      <xdr:row>37</xdr:row>
      <xdr:rowOff>95250</xdr:rowOff>
    </xdr:from>
    <xdr:to>
      <xdr:col>7</xdr:col>
      <xdr:colOff>0</xdr:colOff>
      <xdr:row>37</xdr:row>
      <xdr:rowOff>95250</xdr:rowOff>
    </xdr:to>
    <xdr:cxnSp macro="">
      <xdr:nvCxnSpPr>
        <xdr:cNvPr id="669" name="Connettore 4 391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CxnSpPr>
          <a:stCxn id="651" idx="1"/>
          <a:endCxn id="641" idx="3"/>
        </xdr:cNvCxnSpPr>
      </xdr:nvCxnSpPr>
      <xdr:spPr>
        <a:xfrm flipH="1">
          <a:off x="6067426" y="7200900"/>
          <a:ext cx="247649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70" name="Rettangolo 148">
          <a:extLs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SpPr/>
      </xdr:nvSpPr>
      <xdr:spPr>
        <a:xfrm>
          <a:off x="6315075" y="1962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71" name="Rettangolo 145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SpPr/>
      </xdr:nvSpPr>
      <xdr:spPr>
        <a:xfrm>
          <a:off x="6315075" y="2152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246059</xdr:colOff>
      <xdr:row>11</xdr:row>
      <xdr:rowOff>794</xdr:rowOff>
    </xdr:from>
    <xdr:to>
      <xdr:col>9</xdr:col>
      <xdr:colOff>402166</xdr:colOff>
      <xdr:row>12</xdr:row>
      <xdr:rowOff>0</xdr:rowOff>
    </xdr:to>
    <xdr:sp macro="" textlink="">
      <xdr:nvSpPr>
        <xdr:cNvPr id="672" name="Rettangolo 142">
          <a:extLs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SpPr/>
      </xdr:nvSpPr>
      <xdr:spPr>
        <a:xfrm>
          <a:off x="4939767" y="2106877"/>
          <a:ext cx="415399" cy="184415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0</xdr:colOff>
      <xdr:row>11</xdr:row>
      <xdr:rowOff>92605</xdr:rowOff>
    </xdr:from>
    <xdr:to>
      <xdr:col>8</xdr:col>
      <xdr:colOff>246059</xdr:colOff>
      <xdr:row>11</xdr:row>
      <xdr:rowOff>93002</xdr:rowOff>
    </xdr:to>
    <xdr:cxnSp macro="">
      <xdr:nvCxnSpPr>
        <xdr:cNvPr id="673" name="Connettore 4 161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CxnSpPr>
          <a:stCxn id="671" idx="3"/>
          <a:endCxn id="672" idx="1"/>
        </xdr:cNvCxnSpPr>
      </xdr:nvCxnSpPr>
      <xdr:spPr>
        <a:xfrm>
          <a:off x="4693708" y="2198688"/>
          <a:ext cx="246059" cy="397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674" name="Rettangolo 148">
          <a:extLs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SpPr/>
      </xdr:nvSpPr>
      <xdr:spPr>
        <a:xfrm>
          <a:off x="6315075" y="7486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675" name="Rettangolo 145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SpPr/>
      </xdr:nvSpPr>
      <xdr:spPr>
        <a:xfrm>
          <a:off x="6315075" y="7677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0</xdr:colOff>
      <xdr:row>40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76" name="Rettangolo 142">
          <a:extLs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SpPr/>
      </xdr:nvSpPr>
      <xdr:spPr>
        <a:xfrm>
          <a:off x="5686425" y="7677150"/>
          <a:ext cx="381000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0</xdr:colOff>
      <xdr:row>40</xdr:row>
      <xdr:rowOff>95250</xdr:rowOff>
    </xdr:from>
    <xdr:to>
      <xdr:col>7</xdr:col>
      <xdr:colOff>0</xdr:colOff>
      <xdr:row>40</xdr:row>
      <xdr:rowOff>95250</xdr:rowOff>
    </xdr:to>
    <xdr:cxnSp macro="">
      <xdr:nvCxnSpPr>
        <xdr:cNvPr id="677" name="Connettore 4 161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CxnSpPr>
          <a:stCxn id="676" idx="3"/>
          <a:endCxn id="675" idx="1"/>
        </xdr:cNvCxnSpPr>
      </xdr:nvCxnSpPr>
      <xdr:spPr>
        <a:xfrm>
          <a:off x="6067425" y="7772400"/>
          <a:ext cx="247650" cy="0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</xdr:colOff>
      <xdr:row>13</xdr:row>
      <xdr:rowOff>95250</xdr:rowOff>
    </xdr:from>
    <xdr:to>
      <xdr:col>12</xdr:col>
      <xdr:colOff>1</xdr:colOff>
      <xdr:row>28</xdr:row>
      <xdr:rowOff>95250</xdr:rowOff>
    </xdr:to>
    <xdr:cxnSp macro="">
      <xdr:nvCxnSpPr>
        <xdr:cNvPr id="678" name="Connettore 4 328">
          <a:extLs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CxnSpPr>
          <a:stCxn id="303" idx="1"/>
          <a:endCxn id="474" idx="3"/>
        </xdr:cNvCxnSpPr>
      </xdr:nvCxnSpPr>
      <xdr:spPr>
        <a:xfrm rot="10800000">
          <a:off x="5105401" y="2628900"/>
          <a:ext cx="762000" cy="28575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</xdr:colOff>
      <xdr:row>38</xdr:row>
      <xdr:rowOff>95250</xdr:rowOff>
    </xdr:from>
    <xdr:to>
      <xdr:col>10</xdr:col>
      <xdr:colOff>12701</xdr:colOff>
      <xdr:row>44</xdr:row>
      <xdr:rowOff>95250</xdr:rowOff>
    </xdr:to>
    <xdr:cxnSp macro="">
      <xdr:nvCxnSpPr>
        <xdr:cNvPr id="684" name="Connettore 4 376">
          <a:extLs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CxnSpPr>
          <a:stCxn id="562" idx="3"/>
          <a:endCxn id="558" idx="3"/>
        </xdr:cNvCxnSpPr>
      </xdr:nvCxnSpPr>
      <xdr:spPr>
        <a:xfrm>
          <a:off x="5105401" y="7391400"/>
          <a:ext cx="12700" cy="1143000"/>
        </a:xfrm>
        <a:prstGeom prst="bentConnector3">
          <a:avLst>
            <a:gd name="adj1" fmla="val 180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</xdr:colOff>
      <xdr:row>42</xdr:row>
      <xdr:rowOff>95250</xdr:rowOff>
    </xdr:from>
    <xdr:to>
      <xdr:col>12</xdr:col>
      <xdr:colOff>1</xdr:colOff>
      <xdr:row>57</xdr:row>
      <xdr:rowOff>95250</xdr:rowOff>
    </xdr:to>
    <xdr:cxnSp macro="">
      <xdr:nvCxnSpPr>
        <xdr:cNvPr id="688" name="Connettore 4 372">
          <a:extLs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CxnSpPr>
          <a:stCxn id="569" idx="3"/>
          <a:endCxn id="352" idx="1"/>
        </xdr:cNvCxnSpPr>
      </xdr:nvCxnSpPr>
      <xdr:spPr>
        <a:xfrm flipV="1">
          <a:off x="5105401" y="8153400"/>
          <a:ext cx="762000" cy="285750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12</xdr:row>
      <xdr:rowOff>0</xdr:rowOff>
    </xdr:from>
    <xdr:to>
      <xdr:col>29</xdr:col>
      <xdr:colOff>0</xdr:colOff>
      <xdr:row>13</xdr:row>
      <xdr:rowOff>0</xdr:rowOff>
    </xdr:to>
    <xdr:sp macro="" textlink="">
      <xdr:nvSpPr>
        <xdr:cNvPr id="681" name="Rettangolo 145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SpPr/>
      </xdr:nvSpPr>
      <xdr:spPr>
        <a:xfrm>
          <a:off x="11430000" y="2343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682" name="Rettangolo 145">
          <a:extLs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SpPr/>
      </xdr:nvSpPr>
      <xdr:spPr>
        <a:xfrm>
          <a:off x="8963025" y="2343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12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683" name="Rettangolo 145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SpPr/>
      </xdr:nvSpPr>
      <xdr:spPr>
        <a:xfrm>
          <a:off x="6496050" y="2343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85" name="Rettangolo 145">
          <a:extLs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SpPr/>
      </xdr:nvSpPr>
      <xdr:spPr>
        <a:xfrm>
          <a:off x="4029075" y="2343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28</xdr:col>
      <xdr:colOff>0</xdr:colOff>
      <xdr:row>41</xdr:row>
      <xdr:rowOff>0</xdr:rowOff>
    </xdr:from>
    <xdr:to>
      <xdr:col>29</xdr:col>
      <xdr:colOff>0</xdr:colOff>
      <xdr:row>42</xdr:row>
      <xdr:rowOff>0</xdr:rowOff>
    </xdr:to>
    <xdr:sp macro="" textlink="">
      <xdr:nvSpPr>
        <xdr:cNvPr id="686" name="Rettangolo 145">
          <a:extLs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SpPr/>
      </xdr:nvSpPr>
      <xdr:spPr>
        <a:xfrm>
          <a:off x="11430000" y="7867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21</xdr:col>
      <xdr:colOff>0</xdr:colOff>
      <xdr:row>41</xdr:row>
      <xdr:rowOff>0</xdr:rowOff>
    </xdr:from>
    <xdr:to>
      <xdr:col>22</xdr:col>
      <xdr:colOff>0</xdr:colOff>
      <xdr:row>42</xdr:row>
      <xdr:rowOff>0</xdr:rowOff>
    </xdr:to>
    <xdr:sp macro="" textlink="">
      <xdr:nvSpPr>
        <xdr:cNvPr id="687" name="Rettangolo 145">
          <a:extLs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SpPr/>
      </xdr:nvSpPr>
      <xdr:spPr>
        <a:xfrm>
          <a:off x="9394472" y="7591778"/>
          <a:ext cx="469195" cy="183444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14</xdr:col>
      <xdr:colOff>0</xdr:colOff>
      <xdr:row>41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689" name="Rettangolo 145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SpPr/>
      </xdr:nvSpPr>
      <xdr:spPr>
        <a:xfrm>
          <a:off x="6496050" y="7867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690" name="Rettangolo 145">
          <a:extLs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SpPr/>
      </xdr:nvSpPr>
      <xdr:spPr>
        <a:xfrm>
          <a:off x="4029075" y="78676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680" name="Rettangolo 679">
          <a:extLs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SpPr/>
      </xdr:nvSpPr>
      <xdr:spPr>
        <a:xfrm>
          <a:off x="4029075" y="6915150"/>
          <a:ext cx="447675" cy="190500"/>
        </a:xfrm>
        <a:prstGeom prst="rect">
          <a:avLst/>
        </a:prstGeom>
        <a:noFill/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1</xdr:colOff>
      <xdr:row>36</xdr:row>
      <xdr:rowOff>95250</xdr:rowOff>
    </xdr:from>
    <xdr:to>
      <xdr:col>7</xdr:col>
      <xdr:colOff>0</xdr:colOff>
      <xdr:row>36</xdr:row>
      <xdr:rowOff>96838</xdr:rowOff>
    </xdr:to>
    <xdr:cxnSp macro="">
      <xdr:nvCxnSpPr>
        <xdr:cNvPr id="691" name="Connettore 4 383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CxnSpPr>
          <a:stCxn id="645" idx="3"/>
          <a:endCxn id="680" idx="1"/>
        </xdr:cNvCxnSpPr>
      </xdr:nvCxnSpPr>
      <xdr:spPr>
        <a:xfrm>
          <a:off x="3781426" y="7010400"/>
          <a:ext cx="247649" cy="1588"/>
        </a:xfrm>
        <a:prstGeom prst="straightConnector1">
          <a:avLst/>
        </a:prstGeom>
        <a:ln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9</xdr:row>
      <xdr:rowOff>182217</xdr:rowOff>
    </xdr:from>
    <xdr:to>
      <xdr:col>19</xdr:col>
      <xdr:colOff>12700</xdr:colOff>
      <xdr:row>15</xdr:row>
      <xdr:rowOff>91108</xdr:rowOff>
    </xdr:to>
    <xdr:cxnSp macro="">
      <xdr:nvCxnSpPr>
        <xdr:cNvPr id="30" name="Connettore a gomi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>
          <a:stCxn id="215" idx="1"/>
          <a:endCxn id="102" idx="1"/>
        </xdr:cNvCxnSpPr>
      </xdr:nvCxnSpPr>
      <xdr:spPr>
        <a:xfrm rot="10800000" flipV="1">
          <a:off x="8718826" y="1893956"/>
          <a:ext cx="12700" cy="1002195"/>
        </a:xfrm>
        <a:prstGeom prst="bentConnector3">
          <a:avLst>
            <a:gd name="adj1" fmla="val 180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398638</xdr:colOff>
      <xdr:row>38</xdr:row>
      <xdr:rowOff>91723</xdr:rowOff>
    </xdr:from>
    <xdr:to>
      <xdr:col>24</xdr:col>
      <xdr:colOff>0</xdr:colOff>
      <xdr:row>44</xdr:row>
      <xdr:rowOff>91723</xdr:rowOff>
    </xdr:to>
    <xdr:cxnSp macro="">
      <xdr:nvCxnSpPr>
        <xdr:cNvPr id="854" name="Connettore 4 376">
          <a:extLst>
            <a:ext uri="{FF2B5EF4-FFF2-40B4-BE49-F238E27FC236}">
              <a16:creationId xmlns:a16="http://schemas.microsoft.com/office/drawing/2014/main" id="{00000000-0008-0000-0100-000056030000}"/>
            </a:ext>
          </a:extLst>
        </xdr:cNvPr>
        <xdr:cNvCxnSpPr>
          <a:stCxn id="409" idx="3"/>
          <a:endCxn id="405" idx="3"/>
        </xdr:cNvCxnSpPr>
      </xdr:nvCxnSpPr>
      <xdr:spPr>
        <a:xfrm flipH="1">
          <a:off x="10565694" y="7133167"/>
          <a:ext cx="3528" cy="1100667"/>
        </a:xfrm>
        <a:prstGeom prst="bentConnector3">
          <a:avLst>
            <a:gd name="adj1" fmla="val -6479592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21</xdr:row>
      <xdr:rowOff>47625</xdr:rowOff>
    </xdr:from>
    <xdr:to>
      <xdr:col>4</xdr:col>
      <xdr:colOff>0</xdr:colOff>
      <xdr:row>22</xdr:row>
      <xdr:rowOff>0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28925" y="3571875"/>
          <a:ext cx="381000" cy="180975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3</xdr:row>
      <xdr:rowOff>180975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828925" y="381000"/>
          <a:ext cx="381000" cy="180975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xdr:twoCellAnchor>
    <xdr:from>
      <xdr:col>3</xdr:col>
      <xdr:colOff>0</xdr:colOff>
      <xdr:row>9</xdr:row>
      <xdr:rowOff>47625</xdr:rowOff>
    </xdr:from>
    <xdr:to>
      <xdr:col>4</xdr:col>
      <xdr:colOff>0</xdr:colOff>
      <xdr:row>10</xdr:row>
      <xdr:rowOff>0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828925" y="1514475"/>
          <a:ext cx="381000" cy="180975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xdr:twoCellAnchor>
    <xdr:from>
      <xdr:col>3</xdr:col>
      <xdr:colOff>0</xdr:colOff>
      <xdr:row>11</xdr:row>
      <xdr:rowOff>47625</xdr:rowOff>
    </xdr:from>
    <xdr:to>
      <xdr:col>4</xdr:col>
      <xdr:colOff>0</xdr:colOff>
      <xdr:row>12</xdr:row>
      <xdr:rowOff>0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828925" y="1838325"/>
          <a:ext cx="381000" cy="180975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xdr:twoCellAnchor>
    <xdr:from>
      <xdr:col>3</xdr:col>
      <xdr:colOff>0</xdr:colOff>
      <xdr:row>13</xdr:row>
      <xdr:rowOff>47625</xdr:rowOff>
    </xdr:from>
    <xdr:to>
      <xdr:col>4</xdr:col>
      <xdr:colOff>0</xdr:colOff>
      <xdr:row>14</xdr:row>
      <xdr:rowOff>0</xdr:rowOff>
    </xdr:to>
    <xdr:sp macro="" textlink="">
      <xdr:nvSpPr>
        <xdr:cNvPr id="11" name="Right Arrow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828925" y="2162175"/>
          <a:ext cx="381000" cy="180975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xdr:twoCellAnchor>
    <xdr:from>
      <xdr:col>3</xdr:col>
      <xdr:colOff>0</xdr:colOff>
      <xdr:row>15</xdr:row>
      <xdr:rowOff>47625</xdr:rowOff>
    </xdr:from>
    <xdr:to>
      <xdr:col>4</xdr:col>
      <xdr:colOff>0</xdr:colOff>
      <xdr:row>16</xdr:row>
      <xdr:rowOff>0</xdr:rowOff>
    </xdr:to>
    <xdr:sp macro="" textlink="">
      <xdr:nvSpPr>
        <xdr:cNvPr id="12" name="Right Arrow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828925" y="2486025"/>
          <a:ext cx="381000" cy="180975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8196" name="CommandButtonSIP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18</xdr:row>
          <xdr:rowOff>12700</xdr:rowOff>
        </xdr:from>
        <xdr:to>
          <xdr:col>9</xdr:col>
          <xdr:colOff>425450</xdr:colOff>
          <xdr:row>20</xdr:row>
          <xdr:rowOff>63500</xdr:rowOff>
        </xdr:to>
        <xdr:sp macro="" textlink="">
          <xdr:nvSpPr>
            <xdr:cNvPr id="8197" name="CommandButtonGotoKeyboard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4</xdr:row>
          <xdr:rowOff>0</xdr:rowOff>
        </xdr:from>
        <xdr:to>
          <xdr:col>9</xdr:col>
          <xdr:colOff>234950</xdr:colOff>
          <xdr:row>6</xdr:row>
          <xdr:rowOff>0</xdr:rowOff>
        </xdr:to>
        <xdr:sp macro="" textlink="">
          <xdr:nvSpPr>
            <xdr:cNvPr id="6145" name="SpinButtonRotorLef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4</xdr:row>
          <xdr:rowOff>0</xdr:rowOff>
        </xdr:from>
        <xdr:to>
          <xdr:col>13</xdr:col>
          <xdr:colOff>241300</xdr:colOff>
          <xdr:row>6</xdr:row>
          <xdr:rowOff>0</xdr:rowOff>
        </xdr:to>
        <xdr:sp macro="" textlink="">
          <xdr:nvSpPr>
            <xdr:cNvPr id="6146" name="SpinButtonRotorMiddl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6350</xdr:colOff>
          <xdr:row>4</xdr:row>
          <xdr:rowOff>0</xdr:rowOff>
        </xdr:from>
        <xdr:to>
          <xdr:col>17</xdr:col>
          <xdr:colOff>234950</xdr:colOff>
          <xdr:row>6</xdr:row>
          <xdr:rowOff>0</xdr:rowOff>
        </xdr:to>
        <xdr:sp macro="" textlink="">
          <xdr:nvSpPr>
            <xdr:cNvPr id="6147" name="SpinButtonRotorRigh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10</xdr:row>
          <xdr:rowOff>0</xdr:rowOff>
        </xdr:from>
        <xdr:to>
          <xdr:col>7</xdr:col>
          <xdr:colOff>196850</xdr:colOff>
          <xdr:row>11</xdr:row>
          <xdr:rowOff>139700</xdr:rowOff>
        </xdr:to>
        <xdr:sp macro="" textlink="">
          <xdr:nvSpPr>
            <xdr:cNvPr id="6148" name="CommandButton65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196850</xdr:colOff>
          <xdr:row>10</xdr:row>
          <xdr:rowOff>0</xdr:rowOff>
        </xdr:from>
        <xdr:to>
          <xdr:col>8</xdr:col>
          <xdr:colOff>95250</xdr:colOff>
          <xdr:row>11</xdr:row>
          <xdr:rowOff>139700</xdr:rowOff>
        </xdr:to>
        <xdr:sp macro="" textlink="">
          <xdr:nvSpPr>
            <xdr:cNvPr id="6149" name="CommandButton6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0</xdr:rowOff>
        </xdr:from>
        <xdr:to>
          <xdr:col>9</xdr:col>
          <xdr:colOff>234950</xdr:colOff>
          <xdr:row>11</xdr:row>
          <xdr:rowOff>139700</xdr:rowOff>
        </xdr:to>
        <xdr:sp macro="" textlink="">
          <xdr:nvSpPr>
            <xdr:cNvPr id="6150" name="CommandButton6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234950</xdr:colOff>
          <xdr:row>10</xdr:row>
          <xdr:rowOff>0</xdr:rowOff>
        </xdr:from>
        <xdr:to>
          <xdr:col>11</xdr:col>
          <xdr:colOff>114300</xdr:colOff>
          <xdr:row>11</xdr:row>
          <xdr:rowOff>139700</xdr:rowOff>
        </xdr:to>
        <xdr:sp macro="" textlink="">
          <xdr:nvSpPr>
            <xdr:cNvPr id="6151" name="CommandButton68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10</xdr:row>
          <xdr:rowOff>0</xdr:rowOff>
        </xdr:from>
        <xdr:to>
          <xdr:col>12</xdr:col>
          <xdr:colOff>6350</xdr:colOff>
          <xdr:row>11</xdr:row>
          <xdr:rowOff>139700</xdr:rowOff>
        </xdr:to>
        <xdr:sp macro="" textlink="">
          <xdr:nvSpPr>
            <xdr:cNvPr id="6152" name="CommandButton69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139700</xdr:colOff>
          <xdr:row>11</xdr:row>
          <xdr:rowOff>139700</xdr:rowOff>
        </xdr:to>
        <xdr:sp macro="" textlink="">
          <xdr:nvSpPr>
            <xdr:cNvPr id="6153" name="CommandButton70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139700</xdr:colOff>
          <xdr:row>10</xdr:row>
          <xdr:rowOff>6350</xdr:rowOff>
        </xdr:from>
        <xdr:to>
          <xdr:col>15</xdr:col>
          <xdr:colOff>19050</xdr:colOff>
          <xdr:row>11</xdr:row>
          <xdr:rowOff>146050</xdr:rowOff>
        </xdr:to>
        <xdr:sp macro="" textlink="">
          <xdr:nvSpPr>
            <xdr:cNvPr id="6154" name="CommandButton7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25400</xdr:colOff>
          <xdr:row>10</xdr:row>
          <xdr:rowOff>6350</xdr:rowOff>
        </xdr:from>
        <xdr:to>
          <xdr:col>15</xdr:col>
          <xdr:colOff>571500</xdr:colOff>
          <xdr:row>11</xdr:row>
          <xdr:rowOff>146050</xdr:rowOff>
        </xdr:to>
        <xdr:sp macro="" textlink="">
          <xdr:nvSpPr>
            <xdr:cNvPr id="6155" name="CommandButton7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558800</xdr:colOff>
          <xdr:row>10</xdr:row>
          <xdr:rowOff>0</xdr:rowOff>
        </xdr:from>
        <xdr:to>
          <xdr:col>17</xdr:col>
          <xdr:colOff>57150</xdr:colOff>
          <xdr:row>11</xdr:row>
          <xdr:rowOff>146050</xdr:rowOff>
        </xdr:to>
        <xdr:sp macro="" textlink="">
          <xdr:nvSpPr>
            <xdr:cNvPr id="6156" name="CommandButton7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50800</xdr:colOff>
          <xdr:row>10</xdr:row>
          <xdr:rowOff>0</xdr:rowOff>
        </xdr:from>
        <xdr:to>
          <xdr:col>18</xdr:col>
          <xdr:colOff>323850</xdr:colOff>
          <xdr:row>11</xdr:row>
          <xdr:rowOff>139700</xdr:rowOff>
        </xdr:to>
        <xdr:sp macro="" textlink="">
          <xdr:nvSpPr>
            <xdr:cNvPr id="6157" name="CommandButton7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323850</xdr:colOff>
          <xdr:row>10</xdr:row>
          <xdr:rowOff>0</xdr:rowOff>
        </xdr:from>
        <xdr:to>
          <xdr:col>19</xdr:col>
          <xdr:colOff>463550</xdr:colOff>
          <xdr:row>11</xdr:row>
          <xdr:rowOff>139700</xdr:rowOff>
        </xdr:to>
        <xdr:sp macro="" textlink="">
          <xdr:nvSpPr>
            <xdr:cNvPr id="6158" name="CommandButton7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9</xdr:row>
          <xdr:rowOff>177800</xdr:rowOff>
        </xdr:from>
        <xdr:to>
          <xdr:col>20</xdr:col>
          <xdr:colOff>355600</xdr:colOff>
          <xdr:row>11</xdr:row>
          <xdr:rowOff>133350</xdr:rowOff>
        </xdr:to>
        <xdr:sp macro="" textlink="">
          <xdr:nvSpPr>
            <xdr:cNvPr id="6159" name="CommandButton7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355600</xdr:colOff>
          <xdr:row>10</xdr:row>
          <xdr:rowOff>0</xdr:rowOff>
        </xdr:from>
        <xdr:to>
          <xdr:col>21</xdr:col>
          <xdr:colOff>254000</xdr:colOff>
          <xdr:row>11</xdr:row>
          <xdr:rowOff>139700</xdr:rowOff>
        </xdr:to>
        <xdr:sp macro="" textlink="">
          <xdr:nvSpPr>
            <xdr:cNvPr id="6160" name="CommandButton7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11</xdr:row>
          <xdr:rowOff>158750</xdr:rowOff>
        </xdr:from>
        <xdr:to>
          <xdr:col>7</xdr:col>
          <xdr:colOff>552450</xdr:colOff>
          <xdr:row>13</xdr:row>
          <xdr:rowOff>114300</xdr:rowOff>
        </xdr:to>
        <xdr:sp macro="" textlink="">
          <xdr:nvSpPr>
            <xdr:cNvPr id="6161" name="CommandButton7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546100</xdr:colOff>
          <xdr:row>11</xdr:row>
          <xdr:rowOff>165100</xdr:rowOff>
        </xdr:from>
        <xdr:to>
          <xdr:col>9</xdr:col>
          <xdr:colOff>44450</xdr:colOff>
          <xdr:row>13</xdr:row>
          <xdr:rowOff>120650</xdr:rowOff>
        </xdr:to>
        <xdr:sp macro="" textlink="">
          <xdr:nvSpPr>
            <xdr:cNvPr id="6162" name="CommandButton79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3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11</xdr:row>
          <xdr:rowOff>158750</xdr:rowOff>
        </xdr:from>
        <xdr:to>
          <xdr:col>10</xdr:col>
          <xdr:colOff>317500</xdr:colOff>
          <xdr:row>13</xdr:row>
          <xdr:rowOff>114300</xdr:rowOff>
        </xdr:to>
        <xdr:sp macro="" textlink="">
          <xdr:nvSpPr>
            <xdr:cNvPr id="6163" name="CommandButton80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311150</xdr:colOff>
          <xdr:row>11</xdr:row>
          <xdr:rowOff>152400</xdr:rowOff>
        </xdr:from>
        <xdr:to>
          <xdr:col>11</xdr:col>
          <xdr:colOff>450850</xdr:colOff>
          <xdr:row>13</xdr:row>
          <xdr:rowOff>107950</xdr:rowOff>
        </xdr:to>
        <xdr:sp macro="" textlink="">
          <xdr:nvSpPr>
            <xdr:cNvPr id="6164" name="CommandButton81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431800</xdr:colOff>
          <xdr:row>11</xdr:row>
          <xdr:rowOff>152400</xdr:rowOff>
        </xdr:from>
        <xdr:to>
          <xdr:col>12</xdr:col>
          <xdr:colOff>330200</xdr:colOff>
          <xdr:row>13</xdr:row>
          <xdr:rowOff>107950</xdr:rowOff>
        </xdr:to>
        <xdr:sp macro="" textlink="">
          <xdr:nvSpPr>
            <xdr:cNvPr id="6165" name="CommandButton82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323850</xdr:colOff>
          <xdr:row>11</xdr:row>
          <xdr:rowOff>158750</xdr:rowOff>
        </xdr:from>
        <xdr:to>
          <xdr:col>14</xdr:col>
          <xdr:colOff>203200</xdr:colOff>
          <xdr:row>13</xdr:row>
          <xdr:rowOff>114300</xdr:rowOff>
        </xdr:to>
        <xdr:sp macro="" textlink="">
          <xdr:nvSpPr>
            <xdr:cNvPr id="6166" name="CommandButton83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3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203200</xdr:colOff>
          <xdr:row>11</xdr:row>
          <xdr:rowOff>152400</xdr:rowOff>
        </xdr:from>
        <xdr:to>
          <xdr:col>15</xdr:col>
          <xdr:colOff>342900</xdr:colOff>
          <xdr:row>13</xdr:row>
          <xdr:rowOff>107950</xdr:rowOff>
        </xdr:to>
        <xdr:sp macro="" textlink="">
          <xdr:nvSpPr>
            <xdr:cNvPr id="6167" name="CommandButton84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3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11</xdr:row>
          <xdr:rowOff>146050</xdr:rowOff>
        </xdr:from>
        <xdr:to>
          <xdr:col>16</xdr:col>
          <xdr:colOff>241300</xdr:colOff>
          <xdr:row>13</xdr:row>
          <xdr:rowOff>101600</xdr:rowOff>
        </xdr:to>
        <xdr:sp macro="" textlink="">
          <xdr:nvSpPr>
            <xdr:cNvPr id="6168" name="CommandButton85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3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241300</xdr:colOff>
          <xdr:row>11</xdr:row>
          <xdr:rowOff>139700</xdr:rowOff>
        </xdr:from>
        <xdr:to>
          <xdr:col>18</xdr:col>
          <xdr:colOff>120650</xdr:colOff>
          <xdr:row>13</xdr:row>
          <xdr:rowOff>95250</xdr:rowOff>
        </xdr:to>
        <xdr:sp macro="" textlink="">
          <xdr:nvSpPr>
            <xdr:cNvPr id="6169" name="CommandButton86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3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120650</xdr:colOff>
          <xdr:row>11</xdr:row>
          <xdr:rowOff>146050</xdr:rowOff>
        </xdr:from>
        <xdr:to>
          <xdr:col>19</xdr:col>
          <xdr:colOff>260350</xdr:colOff>
          <xdr:row>13</xdr:row>
          <xdr:rowOff>101600</xdr:rowOff>
        </xdr:to>
        <xdr:sp macro="" textlink="">
          <xdr:nvSpPr>
            <xdr:cNvPr id="6170" name="CommandButton87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260350</xdr:colOff>
          <xdr:row>11</xdr:row>
          <xdr:rowOff>139700</xdr:rowOff>
        </xdr:from>
        <xdr:to>
          <xdr:col>20</xdr:col>
          <xdr:colOff>158750</xdr:colOff>
          <xdr:row>13</xdr:row>
          <xdr:rowOff>95250</xdr:rowOff>
        </xdr:to>
        <xdr:sp macro="" textlink="">
          <xdr:nvSpPr>
            <xdr:cNvPr id="6171" name="CommandButton88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158750</xdr:colOff>
          <xdr:row>11</xdr:row>
          <xdr:rowOff>139700</xdr:rowOff>
        </xdr:from>
        <xdr:to>
          <xdr:col>21</xdr:col>
          <xdr:colOff>57150</xdr:colOff>
          <xdr:row>13</xdr:row>
          <xdr:rowOff>95250</xdr:rowOff>
        </xdr:to>
        <xdr:sp macro="" textlink="">
          <xdr:nvSpPr>
            <xdr:cNvPr id="6172" name="CommandButton89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11</xdr:row>
          <xdr:rowOff>139700</xdr:rowOff>
        </xdr:from>
        <xdr:to>
          <xdr:col>21</xdr:col>
          <xdr:colOff>603250</xdr:colOff>
          <xdr:row>13</xdr:row>
          <xdr:rowOff>95250</xdr:rowOff>
        </xdr:to>
        <xdr:sp macro="" textlink="">
          <xdr:nvSpPr>
            <xdr:cNvPr id="6173" name="CommandButton90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9</xdr:row>
          <xdr:rowOff>120650</xdr:rowOff>
        </xdr:from>
        <xdr:to>
          <xdr:col>2</xdr:col>
          <xdr:colOff>469900</xdr:colOff>
          <xdr:row>11</xdr:row>
          <xdr:rowOff>171450</xdr:rowOff>
        </xdr:to>
        <xdr:sp macro="" textlink="">
          <xdr:nvSpPr>
            <xdr:cNvPr id="6175" name="CommandButtonGotoSettings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4</xdr:row>
          <xdr:rowOff>0</xdr:rowOff>
        </xdr:from>
        <xdr:to>
          <xdr:col>5</xdr:col>
          <xdr:colOff>234950</xdr:colOff>
          <xdr:row>6</xdr:row>
          <xdr:rowOff>0</xdr:rowOff>
        </xdr:to>
        <xdr:sp macro="" textlink="">
          <xdr:nvSpPr>
            <xdr:cNvPr id="6176" name="SpinButtonRotorGreek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3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266700</xdr:colOff>
          <xdr:row>9</xdr:row>
          <xdr:rowOff>120650</xdr:rowOff>
        </xdr:from>
        <xdr:to>
          <xdr:col>25</xdr:col>
          <xdr:colOff>165100</xdr:colOff>
          <xdr:row>11</xdr:row>
          <xdr:rowOff>76200</xdr:rowOff>
        </xdr:to>
        <xdr:sp macro="" textlink="">
          <xdr:nvSpPr>
            <xdr:cNvPr id="6179" name="CommandButtonGoBack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3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.emf"/><Relationship Id="rId18" Type="http://schemas.openxmlformats.org/officeDocument/2006/relationships/control" Target="../activeX/activeX10.xml"/><Relationship Id="rId26" Type="http://schemas.openxmlformats.org/officeDocument/2006/relationships/image" Target="../media/image14.emf"/><Relationship Id="rId39" Type="http://schemas.openxmlformats.org/officeDocument/2006/relationships/control" Target="../activeX/activeX21.xml"/><Relationship Id="rId21" Type="http://schemas.openxmlformats.org/officeDocument/2006/relationships/control" Target="../activeX/activeX12.xml"/><Relationship Id="rId34" Type="http://schemas.openxmlformats.org/officeDocument/2006/relationships/image" Target="../media/image18.emf"/><Relationship Id="rId42" Type="http://schemas.openxmlformats.org/officeDocument/2006/relationships/image" Target="../media/image22.emf"/><Relationship Id="rId47" Type="http://schemas.openxmlformats.org/officeDocument/2006/relationships/control" Target="../activeX/activeX25.xml"/><Relationship Id="rId50" Type="http://schemas.openxmlformats.org/officeDocument/2006/relationships/image" Target="../media/image26.emf"/><Relationship Id="rId55" Type="http://schemas.openxmlformats.org/officeDocument/2006/relationships/control" Target="../activeX/activeX29.xml"/><Relationship Id="rId63" Type="http://schemas.openxmlformats.org/officeDocument/2006/relationships/control" Target="../activeX/activeX33.x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6.xml"/><Relationship Id="rId41" Type="http://schemas.openxmlformats.org/officeDocument/2006/relationships/control" Target="../activeX/activeX22.xml"/><Relationship Id="rId54" Type="http://schemas.openxmlformats.org/officeDocument/2006/relationships/image" Target="../media/image28.emf"/><Relationship Id="rId62" Type="http://schemas.openxmlformats.org/officeDocument/2006/relationships/image" Target="../media/image32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24" Type="http://schemas.openxmlformats.org/officeDocument/2006/relationships/image" Target="../media/image13.emf"/><Relationship Id="rId32" Type="http://schemas.openxmlformats.org/officeDocument/2006/relationships/image" Target="../media/image17.emf"/><Relationship Id="rId37" Type="http://schemas.openxmlformats.org/officeDocument/2006/relationships/control" Target="../activeX/activeX20.xml"/><Relationship Id="rId40" Type="http://schemas.openxmlformats.org/officeDocument/2006/relationships/image" Target="../media/image21.emf"/><Relationship Id="rId45" Type="http://schemas.openxmlformats.org/officeDocument/2006/relationships/control" Target="../activeX/activeX24.xml"/><Relationship Id="rId53" Type="http://schemas.openxmlformats.org/officeDocument/2006/relationships/control" Target="../activeX/activeX28.xml"/><Relationship Id="rId58" Type="http://schemas.openxmlformats.org/officeDocument/2006/relationships/image" Target="../media/image30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control" Target="../activeX/activeX13.xml"/><Relationship Id="rId28" Type="http://schemas.openxmlformats.org/officeDocument/2006/relationships/image" Target="../media/image15.emf"/><Relationship Id="rId36" Type="http://schemas.openxmlformats.org/officeDocument/2006/relationships/image" Target="../media/image19.emf"/><Relationship Id="rId49" Type="http://schemas.openxmlformats.org/officeDocument/2006/relationships/control" Target="../activeX/activeX26.xml"/><Relationship Id="rId57" Type="http://schemas.openxmlformats.org/officeDocument/2006/relationships/control" Target="../activeX/activeX30.xml"/><Relationship Id="rId61" Type="http://schemas.openxmlformats.org/officeDocument/2006/relationships/control" Target="../activeX/activeX32.xml"/><Relationship Id="rId10" Type="http://schemas.openxmlformats.org/officeDocument/2006/relationships/control" Target="../activeX/activeX6.xml"/><Relationship Id="rId19" Type="http://schemas.openxmlformats.org/officeDocument/2006/relationships/image" Target="../media/image11.emf"/><Relationship Id="rId31" Type="http://schemas.openxmlformats.org/officeDocument/2006/relationships/control" Target="../activeX/activeX17.xml"/><Relationship Id="rId44" Type="http://schemas.openxmlformats.org/officeDocument/2006/relationships/image" Target="../media/image23.emf"/><Relationship Id="rId52" Type="http://schemas.openxmlformats.org/officeDocument/2006/relationships/image" Target="../media/image27.emf"/><Relationship Id="rId60" Type="http://schemas.openxmlformats.org/officeDocument/2006/relationships/image" Target="../media/image31.emf"/><Relationship Id="rId65" Type="http://schemas.openxmlformats.org/officeDocument/2006/relationships/image" Target="../media/image33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Relationship Id="rId14" Type="http://schemas.openxmlformats.org/officeDocument/2006/relationships/control" Target="../activeX/activeX8.xml"/><Relationship Id="rId22" Type="http://schemas.openxmlformats.org/officeDocument/2006/relationships/image" Target="../media/image12.emf"/><Relationship Id="rId27" Type="http://schemas.openxmlformats.org/officeDocument/2006/relationships/control" Target="../activeX/activeX15.xml"/><Relationship Id="rId30" Type="http://schemas.openxmlformats.org/officeDocument/2006/relationships/image" Target="../media/image16.emf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image" Target="../media/image25.emf"/><Relationship Id="rId56" Type="http://schemas.openxmlformats.org/officeDocument/2006/relationships/image" Target="../media/image29.emf"/><Relationship Id="rId64" Type="http://schemas.openxmlformats.org/officeDocument/2006/relationships/control" Target="../activeX/activeX34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27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7.xml"/><Relationship Id="rId17" Type="http://schemas.openxmlformats.org/officeDocument/2006/relationships/image" Target="../media/image10.emf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8.xml"/><Relationship Id="rId38" Type="http://schemas.openxmlformats.org/officeDocument/2006/relationships/image" Target="../media/image20.emf"/><Relationship Id="rId46" Type="http://schemas.openxmlformats.org/officeDocument/2006/relationships/image" Target="../media/image24.emf"/><Relationship Id="rId59" Type="http://schemas.openxmlformats.org/officeDocument/2006/relationships/control" Target="../activeX/activeX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21"/>
  <sheetViews>
    <sheetView showGridLines="0" workbookViewId="0"/>
  </sheetViews>
  <sheetFormatPr defaultColWidth="0" defaultRowHeight="14.5" zeroHeight="1" x14ac:dyDescent="0.35"/>
  <cols>
    <col min="1" max="1" width="3.7265625" customWidth="1"/>
    <col min="2" max="7" width="9.1796875" customWidth="1"/>
    <col min="8" max="8" width="3.7265625" customWidth="1"/>
    <col min="9" max="16384" width="9.1796875" hidden="1"/>
  </cols>
  <sheetData>
    <row r="1" spans="2:2" x14ac:dyDescent="0.35"/>
    <row r="2" spans="2:2" x14ac:dyDescent="0.35">
      <c r="B2" s="1" t="s">
        <v>102</v>
      </c>
    </row>
    <row r="3" spans="2:2" x14ac:dyDescent="0.35">
      <c r="B3" t="s">
        <v>73</v>
      </c>
    </row>
    <row r="4" spans="2:2" x14ac:dyDescent="0.35">
      <c r="B4" t="s">
        <v>103</v>
      </c>
    </row>
    <row r="5" spans="2:2" x14ac:dyDescent="0.35">
      <c r="B5" t="s">
        <v>172</v>
      </c>
    </row>
    <row r="6" spans="2:2" x14ac:dyDescent="0.35">
      <c r="B6" t="s">
        <v>142</v>
      </c>
    </row>
    <row r="7" spans="2:2" x14ac:dyDescent="0.35"/>
    <row r="8" spans="2:2" x14ac:dyDescent="0.35"/>
    <row r="9" spans="2:2" x14ac:dyDescent="0.35"/>
    <row r="10" spans="2:2" x14ac:dyDescent="0.35"/>
    <row r="11" spans="2:2" x14ac:dyDescent="0.35">
      <c r="B11" s="1" t="s">
        <v>75</v>
      </c>
    </row>
    <row r="12" spans="2:2" x14ac:dyDescent="0.35">
      <c r="B12" t="s">
        <v>74</v>
      </c>
    </row>
    <row r="13" spans="2:2" x14ac:dyDescent="0.35">
      <c r="B13" t="s">
        <v>159</v>
      </c>
    </row>
    <row r="14" spans="2:2" x14ac:dyDescent="0.35">
      <c r="B14" t="s">
        <v>146</v>
      </c>
    </row>
    <row r="15" spans="2:2" x14ac:dyDescent="0.35">
      <c r="B15" t="s">
        <v>143</v>
      </c>
    </row>
    <row r="16" spans="2:2" x14ac:dyDescent="0.35"/>
    <row r="17" spans="2:2" x14ac:dyDescent="0.35">
      <c r="B17" s="1" t="s">
        <v>141</v>
      </c>
    </row>
    <row r="18" spans="2:2" x14ac:dyDescent="0.35">
      <c r="B18" t="s">
        <v>92</v>
      </c>
    </row>
    <row r="19" spans="2:2" x14ac:dyDescent="0.35">
      <c r="B19" t="s">
        <v>76</v>
      </c>
    </row>
    <row r="20" spans="2:2" x14ac:dyDescent="0.35">
      <c r="B20" t="s">
        <v>86</v>
      </c>
    </row>
    <row r="21" spans="2:2" x14ac:dyDescent="0.35">
      <c r="B21" t="s">
        <v>77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K60"/>
  <sheetViews>
    <sheetView showGridLines="0" zoomScaleNormal="100" workbookViewId="0"/>
  </sheetViews>
  <sheetFormatPr defaultColWidth="0" defaultRowHeight="14.5" zeroHeight="1" x14ac:dyDescent="0.35"/>
  <cols>
    <col min="1" max="1" width="4.7265625" customWidth="1"/>
    <col min="2" max="2" width="5.1796875" customWidth="1"/>
    <col min="3" max="3" width="25.54296875" bestFit="1" customWidth="1"/>
    <col min="4" max="4" width="9.81640625" bestFit="1" customWidth="1"/>
    <col min="5" max="6" width="5.7265625" customWidth="1"/>
    <col min="7" max="7" width="3.7265625" customWidth="1"/>
    <col min="8" max="8" width="6.7265625" style="7" customWidth="1"/>
    <col min="9" max="9" width="3.7265625" customWidth="1"/>
    <col min="10" max="13" width="5.7265625" customWidth="1"/>
    <col min="14" max="14" width="3.7265625" customWidth="1"/>
    <col min="15" max="15" width="6.7265625" style="7" customWidth="1"/>
    <col min="16" max="16" width="3.7265625" customWidth="1"/>
    <col min="17" max="20" width="5.7265625" customWidth="1"/>
    <col min="21" max="21" width="3.7265625" customWidth="1"/>
    <col min="22" max="22" width="6.7265625" style="7" customWidth="1"/>
    <col min="23" max="23" width="3.7265625" customWidth="1"/>
    <col min="24" max="27" width="5.7265625" customWidth="1"/>
    <col min="28" max="28" width="3.7265625" customWidth="1"/>
    <col min="29" max="29" width="6.7265625" customWidth="1"/>
    <col min="30" max="30" width="3.7265625" customWidth="1"/>
    <col min="31" max="32" width="5.7265625" customWidth="1"/>
    <col min="33" max="33" width="11.81640625" customWidth="1"/>
    <col min="34" max="34" width="7" customWidth="1"/>
    <col min="35" max="36" width="5.7265625" customWidth="1"/>
    <col min="37" max="37" width="9.1796875" customWidth="1"/>
    <col min="38" max="16384" width="9.1796875" hidden="1"/>
  </cols>
  <sheetData>
    <row r="1" spans="2:33" ht="20.149999999999999" customHeight="1" x14ac:dyDescent="0.35"/>
    <row r="2" spans="2:33" x14ac:dyDescent="0.35">
      <c r="B2" s="29" t="s">
        <v>49</v>
      </c>
      <c r="C2" s="2" t="s">
        <v>56</v>
      </c>
      <c r="D2" s="1"/>
      <c r="E2" s="1"/>
      <c r="F2" s="89" t="s">
        <v>114</v>
      </c>
      <c r="G2" s="90"/>
      <c r="H2" s="90"/>
      <c r="I2" s="90"/>
      <c r="J2" s="91"/>
      <c r="K2" s="1"/>
      <c r="L2" s="1"/>
      <c r="M2" s="92" t="s">
        <v>58</v>
      </c>
      <c r="N2" s="90"/>
      <c r="O2" s="90"/>
      <c r="P2" s="90"/>
      <c r="Q2" s="91"/>
      <c r="R2" s="1"/>
      <c r="S2" s="1"/>
      <c r="T2" s="92" t="s">
        <v>60</v>
      </c>
      <c r="U2" s="90"/>
      <c r="V2" s="90"/>
      <c r="W2" s="90"/>
      <c r="X2" s="91"/>
      <c r="Y2" s="1"/>
      <c r="Z2" s="1"/>
      <c r="AA2" s="92" t="s">
        <v>61</v>
      </c>
      <c r="AB2" s="90"/>
      <c r="AC2" s="90"/>
      <c r="AD2" s="90"/>
      <c r="AE2" s="91"/>
      <c r="AF2" s="1"/>
      <c r="AG2" s="1"/>
    </row>
    <row r="3" spans="2:33" x14ac:dyDescent="0.35">
      <c r="B3" s="29" t="s">
        <v>48</v>
      </c>
      <c r="C3" s="2" t="s">
        <v>55</v>
      </c>
      <c r="F3" s="41" t="s">
        <v>49</v>
      </c>
      <c r="G3" s="9"/>
      <c r="H3" s="27" t="str">
        <f>nRotorGreek</f>
        <v>B</v>
      </c>
      <c r="I3" s="9"/>
      <c r="J3" s="10"/>
      <c r="M3" s="41" t="s">
        <v>49</v>
      </c>
      <c r="N3" s="9"/>
      <c r="O3" s="27">
        <f>nRotorLeft</f>
        <v>4</v>
      </c>
      <c r="P3" s="9"/>
      <c r="Q3" s="10"/>
      <c r="T3" s="16" t="s">
        <v>49</v>
      </c>
      <c r="U3" s="9"/>
      <c r="V3" s="27">
        <f>nRotorMiddle</f>
        <v>3</v>
      </c>
      <c r="W3" s="9"/>
      <c r="X3" s="10"/>
      <c r="AA3" s="16" t="s">
        <v>49</v>
      </c>
      <c r="AB3" s="9"/>
      <c r="AC3" s="27">
        <f>nRotorRight</f>
        <v>2</v>
      </c>
      <c r="AD3" s="9"/>
      <c r="AE3" s="10"/>
    </row>
    <row r="4" spans="2:33" x14ac:dyDescent="0.35">
      <c r="B4" s="29" t="s">
        <v>47</v>
      </c>
      <c r="C4" s="2" t="s">
        <v>54</v>
      </c>
      <c r="F4" s="15" t="s">
        <v>48</v>
      </c>
      <c r="H4" s="7">
        <f>nRingSettingGreek</f>
        <v>1</v>
      </c>
      <c r="I4" s="12"/>
      <c r="J4" s="13"/>
      <c r="M4" s="15" t="s">
        <v>48</v>
      </c>
      <c r="N4" s="12"/>
      <c r="O4" s="7">
        <f>nRingSettingLeft</f>
        <v>16</v>
      </c>
      <c r="P4" s="12"/>
      <c r="Q4" s="13"/>
      <c r="T4" s="16" t="s">
        <v>48</v>
      </c>
      <c r="U4" s="12"/>
      <c r="V4" s="7">
        <f>nRingSettingMiddle</f>
        <v>11</v>
      </c>
      <c r="W4" s="12"/>
      <c r="X4" s="13"/>
      <c r="AA4" s="16" t="s">
        <v>48</v>
      </c>
      <c r="AB4" s="12"/>
      <c r="AC4" s="7">
        <f>nRingSettingRight</f>
        <v>6</v>
      </c>
      <c r="AD4" s="12"/>
      <c r="AE4" s="13"/>
    </row>
    <row r="5" spans="2:33" x14ac:dyDescent="0.35">
      <c r="B5" s="29" t="s">
        <v>46</v>
      </c>
      <c r="C5" s="2" t="s">
        <v>53</v>
      </c>
      <c r="F5" s="11"/>
      <c r="G5" s="12"/>
      <c r="H5" s="7" t="str">
        <f>VLOOKUP(H4,nNum2Let,2,FALSE)</f>
        <v>A</v>
      </c>
      <c r="I5" s="15"/>
      <c r="J5" s="16" t="s">
        <v>47</v>
      </c>
      <c r="M5" s="11"/>
      <c r="N5" s="12"/>
      <c r="O5" s="7" t="str">
        <f>VLOOKUP(O4,nNum2Let,2,FALSE)</f>
        <v>P</v>
      </c>
      <c r="P5" s="15"/>
      <c r="Q5" s="16" t="s">
        <v>47</v>
      </c>
      <c r="R5" s="7"/>
      <c r="S5" s="7"/>
      <c r="T5" s="14"/>
      <c r="U5" s="15"/>
      <c r="V5" s="7" t="str">
        <f>VLOOKUP(V4,nNum2Let,2,FALSE)</f>
        <v>K</v>
      </c>
      <c r="W5" s="15"/>
      <c r="X5" s="16" t="s">
        <v>47</v>
      </c>
      <c r="Y5" s="7"/>
      <c r="Z5" s="7"/>
      <c r="AA5" s="14"/>
      <c r="AB5" s="15"/>
      <c r="AC5" s="7" t="str">
        <f>VLOOKUP(AC4,nNum2Let,2,FALSE)</f>
        <v>F</v>
      </c>
      <c r="AD5" s="15"/>
      <c r="AE5" s="16" t="s">
        <v>47</v>
      </c>
      <c r="AF5" s="7"/>
      <c r="AG5" s="7"/>
    </row>
    <row r="6" spans="2:33" x14ac:dyDescent="0.35">
      <c r="B6" s="29" t="s">
        <v>78</v>
      </c>
      <c r="C6" s="2" t="s">
        <v>79</v>
      </c>
      <c r="F6" s="11"/>
      <c r="G6" s="12"/>
      <c r="I6" s="12"/>
      <c r="J6" s="16" t="s">
        <v>46</v>
      </c>
      <c r="M6" s="11"/>
      <c r="N6" s="12"/>
      <c r="P6" s="12"/>
      <c r="Q6" s="16" t="s">
        <v>46</v>
      </c>
      <c r="T6" s="77" t="str">
        <f>IF(V7,"Double","")</f>
        <v/>
      </c>
      <c r="U6" s="12"/>
      <c r="V6" s="7" t="str">
        <f>VLOOKUP(V3&amp;V13,nTurnover,3,FALSE)</f>
        <v>W</v>
      </c>
      <c r="W6" s="15"/>
      <c r="X6" s="16" t="s">
        <v>46</v>
      </c>
      <c r="Y6" s="7"/>
      <c r="Z6" s="7"/>
      <c r="AA6" s="11"/>
      <c r="AB6" s="15"/>
      <c r="AC6" s="7" t="str">
        <f>VLOOKUP(AC3&amp;AC13,nTurnover,3,FALSE)</f>
        <v>F</v>
      </c>
      <c r="AD6" s="15"/>
      <c r="AE6" s="16" t="s">
        <v>46</v>
      </c>
      <c r="AF6" s="7"/>
      <c r="AG6" s="7"/>
    </row>
    <row r="7" spans="2:33" x14ac:dyDescent="0.35">
      <c r="B7" s="29" t="s">
        <v>45</v>
      </c>
      <c r="C7" s="2" t="s">
        <v>52</v>
      </c>
      <c r="F7" s="11"/>
      <c r="G7" s="12"/>
      <c r="I7" s="12"/>
      <c r="J7" s="16" t="s">
        <v>78</v>
      </c>
      <c r="M7" s="11"/>
      <c r="N7" s="12"/>
      <c r="P7" s="12"/>
      <c r="Q7" s="16" t="s">
        <v>78</v>
      </c>
      <c r="T7" s="77" t="str">
        <f>IF(V7,"Stepped","")</f>
        <v/>
      </c>
      <c r="U7" s="12"/>
      <c r="V7" s="7" t="b">
        <f>EXACT(V8,V6)</f>
        <v>0</v>
      </c>
      <c r="W7" s="15"/>
      <c r="X7" s="16" t="s">
        <v>78</v>
      </c>
      <c r="Y7" s="7"/>
      <c r="Z7" s="7"/>
      <c r="AA7" s="14"/>
      <c r="AB7" s="15"/>
      <c r="AC7" s="7" t="b">
        <f>EXACT(AC8,AC6)</f>
        <v>0</v>
      </c>
      <c r="AD7" s="15"/>
      <c r="AE7" s="16" t="s">
        <v>78</v>
      </c>
      <c r="AF7" s="7"/>
      <c r="AG7" s="7"/>
    </row>
    <row r="8" spans="2:33" x14ac:dyDescent="0.35">
      <c r="B8" s="29" t="s">
        <v>44</v>
      </c>
      <c r="C8" s="2" t="s">
        <v>51</v>
      </c>
      <c r="F8" s="11"/>
      <c r="G8" s="12"/>
      <c r="H8" s="28" t="str">
        <f>nCurPosRotorGreek</f>
        <v>A</v>
      </c>
      <c r="I8" s="15"/>
      <c r="J8" s="16" t="s">
        <v>45</v>
      </c>
      <c r="M8" s="11"/>
      <c r="N8" s="12"/>
      <c r="O8" s="28" t="str">
        <f>nCurPosRotorLeft</f>
        <v>P</v>
      </c>
      <c r="P8" s="15"/>
      <c r="Q8" s="16" t="s">
        <v>45</v>
      </c>
      <c r="R8" s="7"/>
      <c r="S8" s="7"/>
      <c r="T8" s="14"/>
      <c r="U8" s="15"/>
      <c r="V8" s="28" t="str">
        <f>nCurPosRotorMiddle</f>
        <v>M</v>
      </c>
      <c r="W8" s="15"/>
      <c r="X8" s="16" t="s">
        <v>45</v>
      </c>
      <c r="Y8" s="7"/>
      <c r="Z8" s="7"/>
      <c r="AA8" s="14"/>
      <c r="AB8" s="15"/>
      <c r="AC8" s="28" t="str">
        <f>nCurPosRotorRight</f>
        <v>A</v>
      </c>
      <c r="AD8" s="15"/>
      <c r="AE8" s="16" t="s">
        <v>45</v>
      </c>
      <c r="AF8" s="7"/>
      <c r="AG8" s="7"/>
    </row>
    <row r="9" spans="2:33" x14ac:dyDescent="0.35">
      <c r="B9" s="29" t="s">
        <v>43</v>
      </c>
      <c r="C9" s="2" t="s">
        <v>50</v>
      </c>
      <c r="F9" s="17">
        <f>H9</f>
        <v>1</v>
      </c>
      <c r="G9" s="12"/>
      <c r="H9" s="7">
        <f>VLOOKUP(H8,nLet2Num,2,FALSE)</f>
        <v>1</v>
      </c>
      <c r="I9" s="15"/>
      <c r="J9" s="16" t="s">
        <v>44</v>
      </c>
      <c r="M9" s="17">
        <f>O9</f>
        <v>16</v>
      </c>
      <c r="N9" s="12"/>
      <c r="O9" s="7">
        <f>VLOOKUP(O8,nLet2Num,2,FALSE)</f>
        <v>16</v>
      </c>
      <c r="P9" s="15"/>
      <c r="Q9" s="16" t="s">
        <v>44</v>
      </c>
      <c r="R9" s="7"/>
      <c r="S9" s="7"/>
      <c r="T9" s="17">
        <f>V9</f>
        <v>13</v>
      </c>
      <c r="U9" s="15"/>
      <c r="V9" s="7">
        <f>VLOOKUP(V8,nLet2Num,2,FALSE)</f>
        <v>13</v>
      </c>
      <c r="W9" s="15"/>
      <c r="X9" s="16" t="s">
        <v>44</v>
      </c>
      <c r="Y9" s="7"/>
      <c r="Z9" s="7"/>
      <c r="AA9" s="17">
        <f>AC9</f>
        <v>1</v>
      </c>
      <c r="AB9" s="15"/>
      <c r="AC9" s="7">
        <f>VLOOKUP(AC8,nLet2Num,2,FALSE)</f>
        <v>1</v>
      </c>
      <c r="AD9" s="15"/>
      <c r="AE9" s="16" t="s">
        <v>44</v>
      </c>
      <c r="AF9" s="7"/>
      <c r="AG9" s="7"/>
    </row>
    <row r="10" spans="2:33" x14ac:dyDescent="0.35">
      <c r="B10" s="29" t="s">
        <v>99</v>
      </c>
      <c r="C10" s="2" t="s">
        <v>100</v>
      </c>
      <c r="F10" s="17">
        <f>H10</f>
        <v>1</v>
      </c>
      <c r="G10" s="12"/>
      <c r="H10" s="7">
        <f>VLOOKUP(H4,nRS_N,4,FALSE)</f>
        <v>1</v>
      </c>
      <c r="I10" s="15"/>
      <c r="J10" s="16" t="s">
        <v>43</v>
      </c>
      <c r="M10" s="17">
        <f>O10</f>
        <v>12</v>
      </c>
      <c r="N10" s="12"/>
      <c r="O10" s="7">
        <f>VLOOKUP(O4,nRS_N,4,FALSE)</f>
        <v>12</v>
      </c>
      <c r="P10" s="15"/>
      <c r="Q10" s="16" t="s">
        <v>43</v>
      </c>
      <c r="R10" s="7"/>
      <c r="S10" s="7"/>
      <c r="T10" s="17">
        <f>V10</f>
        <v>17</v>
      </c>
      <c r="U10" s="15"/>
      <c r="V10" s="7">
        <f>VLOOKUP(V4,nRS_N,4,FALSE)</f>
        <v>17</v>
      </c>
      <c r="W10" s="15"/>
      <c r="X10" s="16" t="s">
        <v>43</v>
      </c>
      <c r="Y10" s="7"/>
      <c r="Z10" s="7"/>
      <c r="AA10" s="17">
        <f>AC10</f>
        <v>22</v>
      </c>
      <c r="AB10" s="15"/>
      <c r="AC10" s="7">
        <f>VLOOKUP(AC4,nRS_N,4,FALSE)</f>
        <v>22</v>
      </c>
      <c r="AD10" s="15"/>
      <c r="AE10" s="16" t="s">
        <v>43</v>
      </c>
      <c r="AF10" s="7"/>
      <c r="AG10" s="7"/>
    </row>
    <row r="11" spans="2:33" x14ac:dyDescent="0.35">
      <c r="F11" s="26">
        <v>-2</v>
      </c>
      <c r="G11" s="12"/>
      <c r="I11" s="12"/>
      <c r="J11" s="13"/>
      <c r="M11" s="26">
        <v>-2</v>
      </c>
      <c r="N11" s="12"/>
      <c r="P11" s="12"/>
      <c r="Q11" s="13"/>
      <c r="T11" s="26">
        <v>-2</v>
      </c>
      <c r="U11" s="12"/>
      <c r="V11" s="7" t="str">
        <f>IF(ISERROR(VLOOKUP(V3&amp;V8,nTurnover2,2,FALSE)),"N/A",VLOOKUP(V3&amp;V8,nTurnover2,2,FALSE))</f>
        <v>N/A</v>
      </c>
      <c r="W11" s="12"/>
      <c r="X11" s="13"/>
      <c r="AA11" s="26">
        <v>-2</v>
      </c>
      <c r="AB11" s="12"/>
      <c r="AC11" s="7" t="str">
        <f>IF(ISERROR(VLOOKUP(AC3&amp;AC8,nTurnover2,2,FALSE)),"N/A",VLOOKUP(AC3&amp;AC8,nTurnover2,2,FALSE))</f>
        <v>N/A</v>
      </c>
      <c r="AD11" s="12"/>
      <c r="AE11" s="13"/>
    </row>
    <row r="12" spans="2:33" x14ac:dyDescent="0.35">
      <c r="B12" s="59"/>
      <c r="C12" s="2" t="s">
        <v>80</v>
      </c>
      <c r="F12" s="17">
        <f>F14</f>
        <v>25</v>
      </c>
      <c r="G12" s="12"/>
      <c r="I12" s="12"/>
      <c r="J12" s="16" t="s">
        <v>99</v>
      </c>
      <c r="M12" s="17">
        <f>M14</f>
        <v>9</v>
      </c>
      <c r="N12" s="12"/>
      <c r="P12" s="12"/>
      <c r="Q12" s="16" t="s">
        <v>99</v>
      </c>
      <c r="T12" s="17">
        <f>T14</f>
        <v>19</v>
      </c>
      <c r="U12" s="12"/>
      <c r="V12" s="7" t="b">
        <f>EXACT(V6,V11)</f>
        <v>0</v>
      </c>
      <c r="W12" s="12"/>
      <c r="X12" s="16" t="s">
        <v>99</v>
      </c>
      <c r="AA12" s="17">
        <f>AA14</f>
        <v>25</v>
      </c>
      <c r="AB12" s="12"/>
      <c r="AC12" s="7" t="b">
        <f>EXACT(AC6,AC11)</f>
        <v>0</v>
      </c>
      <c r="AD12" s="12"/>
      <c r="AE12" s="16" t="s">
        <v>99</v>
      </c>
    </row>
    <row r="13" spans="2:33" x14ac:dyDescent="0.35">
      <c r="B13" s="60"/>
      <c r="C13" s="2" t="s">
        <v>81</v>
      </c>
      <c r="F13" s="11"/>
      <c r="G13" s="12"/>
      <c r="H13" s="15"/>
      <c r="I13" s="15"/>
      <c r="J13" s="16"/>
      <c r="M13" s="11"/>
      <c r="N13" s="12"/>
      <c r="O13" s="15"/>
      <c r="P13" s="15"/>
      <c r="Q13" s="16"/>
      <c r="R13" s="7"/>
      <c r="S13" s="7"/>
      <c r="T13" s="14"/>
      <c r="U13" s="15"/>
      <c r="V13" s="15" t="str">
        <f>IF(VLOOKUP(V8,nRS_A,5,FALSE)&lt;14,"NZ","AM")</f>
        <v>AM</v>
      </c>
      <c r="W13" s="15"/>
      <c r="X13" s="16"/>
      <c r="Y13" s="7"/>
      <c r="Z13" s="7"/>
      <c r="AA13" s="14"/>
      <c r="AB13" s="15"/>
      <c r="AC13" s="15" t="str">
        <f>IF(VLOOKUP(AC8,nRS_A,5,FALSE)&lt;14,"NZ","AM")</f>
        <v>NZ</v>
      </c>
      <c r="AD13" s="15"/>
      <c r="AE13" s="16"/>
      <c r="AF13" s="7"/>
      <c r="AG13" s="7"/>
    </row>
    <row r="14" spans="2:33" x14ac:dyDescent="0.35">
      <c r="B14" s="61"/>
      <c r="C14" s="2" t="s">
        <v>82</v>
      </c>
      <c r="F14" s="18">
        <f>VLOOKUP(J14,nLet2Num,2,FALSE)</f>
        <v>25</v>
      </c>
      <c r="G14" s="12"/>
      <c r="H14" s="15"/>
      <c r="I14" s="15"/>
      <c r="J14" s="19" t="str">
        <f>M29</f>
        <v>Y</v>
      </c>
      <c r="M14" s="18">
        <f>VLOOKUP(Q14,nLet2Num,2,FALSE)</f>
        <v>9</v>
      </c>
      <c r="N14" s="12"/>
      <c r="O14" s="15"/>
      <c r="P14" s="15"/>
      <c r="Q14" s="19" t="str">
        <f>T29</f>
        <v>I</v>
      </c>
      <c r="R14" s="7"/>
      <c r="S14" s="7"/>
      <c r="T14" s="18">
        <f>VLOOKUP(X14,nLet2Num,2,FALSE)</f>
        <v>19</v>
      </c>
      <c r="U14" s="15"/>
      <c r="V14" s="15"/>
      <c r="W14" s="15"/>
      <c r="X14" s="19" t="str">
        <f>AA29</f>
        <v>S</v>
      </c>
      <c r="Y14" s="7"/>
      <c r="Z14" s="7"/>
      <c r="AA14" s="18">
        <f>VLOOKUP(AE14,nLet2Num,2,FALSE)</f>
        <v>25</v>
      </c>
      <c r="AB14" s="15"/>
      <c r="AC14" s="12"/>
      <c r="AD14" s="15"/>
      <c r="AE14" s="19" t="str">
        <f>AG23</f>
        <v>Y</v>
      </c>
      <c r="AF14" s="7"/>
    </row>
    <row r="15" spans="2:33" x14ac:dyDescent="0.35">
      <c r="B15" s="62"/>
      <c r="C15" s="2" t="s">
        <v>83</v>
      </c>
      <c r="F15" s="14"/>
      <c r="G15" s="12"/>
      <c r="H15" s="15"/>
      <c r="I15" s="15"/>
      <c r="J15" s="16"/>
      <c r="M15" s="14"/>
      <c r="N15" s="12"/>
      <c r="O15" s="15"/>
      <c r="P15" s="15"/>
      <c r="Q15" s="16"/>
      <c r="R15" s="7"/>
      <c r="S15" s="7"/>
      <c r="T15" s="14"/>
      <c r="U15" s="15"/>
      <c r="V15" s="15"/>
      <c r="W15" s="15"/>
      <c r="X15" s="16"/>
      <c r="Y15" s="7"/>
      <c r="Z15" s="7"/>
      <c r="AA15" s="14"/>
      <c r="AB15" s="15"/>
      <c r="AC15" s="12"/>
      <c r="AD15" s="15"/>
      <c r="AE15" s="16"/>
      <c r="AF15" s="7"/>
      <c r="AG15" s="7"/>
    </row>
    <row r="16" spans="2:33" x14ac:dyDescent="0.35">
      <c r="B16" s="63"/>
      <c r="C16" s="2" t="s">
        <v>84</v>
      </c>
      <c r="F16" s="18">
        <f>H10+F14+H9-2</f>
        <v>25</v>
      </c>
      <c r="G16" s="12"/>
      <c r="H16" s="15"/>
      <c r="I16" s="15"/>
      <c r="J16" s="16"/>
      <c r="M16" s="18">
        <f>O10+M14+O9-2</f>
        <v>35</v>
      </c>
      <c r="N16" s="12"/>
      <c r="O16" s="15"/>
      <c r="P16" s="15"/>
      <c r="Q16" s="16"/>
      <c r="R16" s="7"/>
      <c r="S16" s="7"/>
      <c r="T16" s="18">
        <f>V10+T14+V9-2</f>
        <v>47</v>
      </c>
      <c r="U16" s="15"/>
      <c r="V16" s="15"/>
      <c r="W16" s="15"/>
      <c r="X16" s="16"/>
      <c r="Y16" s="7"/>
      <c r="Z16" s="7"/>
      <c r="AA16" s="18">
        <f>AC10+AA14+AC9-2</f>
        <v>46</v>
      </c>
      <c r="AB16" s="15"/>
      <c r="AC16" s="12"/>
      <c r="AD16" s="15"/>
      <c r="AE16" s="16"/>
      <c r="AF16" s="7"/>
      <c r="AG16" s="7"/>
    </row>
    <row r="17" spans="2:36" x14ac:dyDescent="0.35">
      <c r="B17" s="64"/>
      <c r="C17" s="2" t="s">
        <v>85</v>
      </c>
      <c r="F17" s="14"/>
      <c r="G17" s="12"/>
      <c r="H17" s="15"/>
      <c r="I17" s="15"/>
      <c r="J17" s="16"/>
      <c r="M17" s="14"/>
      <c r="N17" s="12"/>
      <c r="O17" s="15"/>
      <c r="P17" s="15"/>
      <c r="Q17" s="16"/>
      <c r="R17" s="7"/>
      <c r="S17" s="7"/>
      <c r="T17" s="14"/>
      <c r="U17" s="15"/>
      <c r="V17" s="15"/>
      <c r="W17" s="15"/>
      <c r="X17" s="16"/>
      <c r="Y17" s="7"/>
      <c r="Z17" s="7"/>
      <c r="AA17" s="14"/>
      <c r="AB17" s="15"/>
      <c r="AC17" s="12"/>
      <c r="AD17" s="15"/>
      <c r="AE17" s="16"/>
      <c r="AF17" s="7"/>
      <c r="AG17" s="7"/>
    </row>
    <row r="18" spans="2:36" x14ac:dyDescent="0.35">
      <c r="F18" s="14"/>
      <c r="G18" s="12"/>
      <c r="H18" s="15"/>
      <c r="I18" s="15"/>
      <c r="J18" s="20" t="str">
        <f>VLOOKUP(F16,nNum2Let,2,FALSE)</f>
        <v>Y</v>
      </c>
      <c r="M18" s="14"/>
      <c r="N18" s="12"/>
      <c r="O18" s="15"/>
      <c r="P18" s="15"/>
      <c r="Q18" s="20" t="str">
        <f>VLOOKUP(M16,nNum2Let,2,FALSE)</f>
        <v>I</v>
      </c>
      <c r="R18" s="7"/>
      <c r="S18" s="7"/>
      <c r="T18" s="14"/>
      <c r="U18" s="15"/>
      <c r="V18" s="15"/>
      <c r="W18" s="15"/>
      <c r="X18" s="20" t="str">
        <f>VLOOKUP(T16,nNum2Let,2,FALSE)</f>
        <v>U</v>
      </c>
      <c r="Y18" s="7"/>
      <c r="Z18" s="7"/>
      <c r="AA18" s="14"/>
      <c r="AB18" s="15"/>
      <c r="AC18" s="12"/>
      <c r="AD18" s="15"/>
      <c r="AE18" s="20" t="str">
        <f>VLOOKUP(AA16,nNum2Let,2,FALSE)</f>
        <v>T</v>
      </c>
      <c r="AF18" s="7"/>
    </row>
    <row r="19" spans="2:36" x14ac:dyDescent="0.35">
      <c r="F19" s="14"/>
      <c r="G19" s="12"/>
      <c r="H19" s="15"/>
      <c r="I19" s="15"/>
      <c r="J19" s="16"/>
      <c r="M19" s="14"/>
      <c r="N19" s="12"/>
      <c r="O19" s="15"/>
      <c r="P19" s="15"/>
      <c r="Q19" s="16"/>
      <c r="R19" s="7"/>
      <c r="S19" s="7"/>
      <c r="T19" s="14"/>
      <c r="U19" s="15"/>
      <c r="V19" s="15"/>
      <c r="W19" s="15"/>
      <c r="X19" s="16"/>
      <c r="Y19" s="7"/>
      <c r="Z19" s="7"/>
      <c r="AA19" s="14"/>
      <c r="AB19" s="15"/>
      <c r="AC19" s="12"/>
      <c r="AD19" s="15"/>
      <c r="AE19" s="16"/>
      <c r="AF19" s="7"/>
      <c r="AG19" s="7"/>
    </row>
    <row r="20" spans="2:36" x14ac:dyDescent="0.35">
      <c r="F20" s="14" t="str">
        <f>J18&amp;J22</f>
        <v>YO</v>
      </c>
      <c r="G20" s="12"/>
      <c r="H20" s="15"/>
      <c r="I20" s="15"/>
      <c r="J20" s="16" t="str">
        <f>H3&amp;J18</f>
        <v>BY</v>
      </c>
      <c r="M20" s="14" t="str">
        <f>Q18&amp;Q22</f>
        <v>IY</v>
      </c>
      <c r="N20" s="12"/>
      <c r="O20" s="15"/>
      <c r="P20" s="15"/>
      <c r="Q20" s="16" t="str">
        <f>O3&amp;Q18</f>
        <v>4I</v>
      </c>
      <c r="R20" s="7"/>
      <c r="S20" s="7"/>
      <c r="T20" s="14" t="str">
        <f>X18&amp;X22</f>
        <v>UK</v>
      </c>
      <c r="U20" s="15"/>
      <c r="V20" s="15"/>
      <c r="W20" s="15"/>
      <c r="X20" s="16" t="str">
        <f>V3&amp;X18</f>
        <v>3U</v>
      </c>
      <c r="Y20" s="7"/>
      <c r="Z20" s="7"/>
      <c r="AA20" s="14" t="str">
        <f>AE18&amp;AE22</f>
        <v>TN</v>
      </c>
      <c r="AB20" s="15"/>
      <c r="AC20" s="12"/>
      <c r="AD20" s="15"/>
      <c r="AE20" s="16" t="str">
        <f>AC3&amp;AE18</f>
        <v>2T</v>
      </c>
      <c r="AF20" s="7"/>
      <c r="AG20" s="7"/>
      <c r="AH20" s="1"/>
    </row>
    <row r="21" spans="2:36" x14ac:dyDescent="0.35">
      <c r="F21" s="14">
        <f>VLOOKUP(J20,nRotor,5,FALSE)</f>
        <v>17</v>
      </c>
      <c r="G21" s="12"/>
      <c r="H21" s="15"/>
      <c r="I21" s="15"/>
      <c r="J21" s="16"/>
      <c r="M21" s="14">
        <f>VLOOKUP(Q20,nRotor,5,FALSE)</f>
        <v>17</v>
      </c>
      <c r="N21" s="12"/>
      <c r="O21" s="15"/>
      <c r="P21" s="15"/>
      <c r="Q21" s="16"/>
      <c r="R21" s="7"/>
      <c r="S21" s="7"/>
      <c r="T21" s="14">
        <f>VLOOKUP(X20,nRotor,5,FALSE)</f>
        <v>17</v>
      </c>
      <c r="U21" s="15"/>
      <c r="V21" s="15"/>
      <c r="W21" s="15"/>
      <c r="X21" s="16"/>
      <c r="Y21" s="7"/>
      <c r="Z21" s="7"/>
      <c r="AA21" s="14">
        <f>VLOOKUP(AE20,nRotor,5,FALSE)</f>
        <v>21</v>
      </c>
      <c r="AB21" s="15"/>
      <c r="AC21" s="12"/>
      <c r="AD21" s="15"/>
      <c r="AE21" s="16"/>
      <c r="AF21" s="7"/>
    </row>
    <row r="22" spans="2:36" x14ac:dyDescent="0.35">
      <c r="F22" s="11"/>
      <c r="G22" s="12"/>
      <c r="H22" s="15"/>
      <c r="I22" s="12"/>
      <c r="J22" s="21" t="str">
        <f>VLOOKUP(J20,nRotor,4,FALSE)</f>
        <v>O</v>
      </c>
      <c r="M22" s="11"/>
      <c r="N22" s="12"/>
      <c r="O22" s="15"/>
      <c r="P22" s="12"/>
      <c r="Q22" s="21" t="str">
        <f>VLOOKUP(Q20,nRotor,4,FALSE)</f>
        <v>Y</v>
      </c>
      <c r="T22" s="11"/>
      <c r="U22" s="12"/>
      <c r="V22" s="15"/>
      <c r="W22" s="12"/>
      <c r="X22" s="21" t="str">
        <f>VLOOKUP(X20,nRotor,4,FALSE)</f>
        <v>K</v>
      </c>
      <c r="AA22" s="11"/>
      <c r="AB22" s="12"/>
      <c r="AC22" s="12"/>
      <c r="AD22" s="12"/>
      <c r="AE22" s="21" t="str">
        <f>VLOOKUP(AE20,nRotor,4,FALSE)</f>
        <v>N</v>
      </c>
    </row>
    <row r="23" spans="2:36" x14ac:dyDescent="0.35">
      <c r="F23" s="17">
        <f>F21</f>
        <v>17</v>
      </c>
      <c r="G23" s="12"/>
      <c r="H23" s="15"/>
      <c r="I23" s="15"/>
      <c r="J23" s="16"/>
      <c r="M23" s="17">
        <f>M21</f>
        <v>17</v>
      </c>
      <c r="N23" s="12"/>
      <c r="O23" s="15"/>
      <c r="P23" s="15"/>
      <c r="Q23" s="16"/>
      <c r="R23" s="7"/>
      <c r="S23" s="7"/>
      <c r="T23" s="17">
        <f>T21</f>
        <v>17</v>
      </c>
      <c r="U23" s="15"/>
      <c r="V23" s="15"/>
      <c r="W23" s="12"/>
      <c r="X23" s="13"/>
      <c r="AA23" s="17">
        <f>AA21</f>
        <v>21</v>
      </c>
      <c r="AB23" s="12"/>
      <c r="AC23" s="12"/>
      <c r="AD23" s="12"/>
      <c r="AE23" s="13"/>
      <c r="AG23" s="8" t="str">
        <f>IF(ISERROR(VLOOKUP(AI27,nPlug,2,FALSE)),AI27,VLOOKUP(AI27,nPlug,2,FALSE))</f>
        <v>Y</v>
      </c>
    </row>
    <row r="24" spans="2:36" x14ac:dyDescent="0.35">
      <c r="F24" s="17">
        <f>F14</f>
        <v>25</v>
      </c>
      <c r="G24" s="12"/>
      <c r="H24" s="15"/>
      <c r="I24" s="15"/>
      <c r="J24" s="16"/>
      <c r="M24" s="17">
        <f>M14</f>
        <v>9</v>
      </c>
      <c r="N24" s="12"/>
      <c r="O24" s="15"/>
      <c r="P24" s="15"/>
      <c r="Q24" s="16"/>
      <c r="R24" s="7"/>
      <c r="S24" s="7"/>
      <c r="T24" s="17">
        <f>T14</f>
        <v>19</v>
      </c>
      <c r="U24" s="15"/>
      <c r="V24" s="15"/>
      <c r="W24" s="12"/>
      <c r="X24" s="13"/>
      <c r="AA24" s="17">
        <f>AA14</f>
        <v>25</v>
      </c>
      <c r="AB24" s="12"/>
      <c r="AC24" s="12"/>
      <c r="AD24" s="12"/>
      <c r="AE24" s="13"/>
      <c r="AG24" s="44" t="s">
        <v>68</v>
      </c>
    </row>
    <row r="25" spans="2:36" x14ac:dyDescent="0.35">
      <c r="F25" s="26">
        <v>-1</v>
      </c>
      <c r="G25" s="12"/>
      <c r="H25" s="15"/>
      <c r="I25" s="12"/>
      <c r="J25" s="13"/>
      <c r="M25" s="26">
        <v>-1</v>
      </c>
      <c r="N25" s="12"/>
      <c r="O25" s="15"/>
      <c r="P25" s="12"/>
      <c r="Q25" s="13"/>
      <c r="T25" s="26">
        <v>-1</v>
      </c>
      <c r="U25" s="12"/>
      <c r="V25" s="15"/>
      <c r="W25" s="12"/>
      <c r="X25" s="13"/>
      <c r="AA25" s="26">
        <v>-1</v>
      </c>
      <c r="AB25" s="12"/>
      <c r="AC25" s="12"/>
      <c r="AD25" s="12"/>
      <c r="AE25" s="13"/>
      <c r="AG25" s="7" t="str">
        <f>nPlug01</f>
        <v>CY</v>
      </c>
    </row>
    <row r="26" spans="2:36" x14ac:dyDescent="0.35">
      <c r="F26" s="11"/>
      <c r="G26" s="12"/>
      <c r="H26" s="15"/>
      <c r="I26" s="12"/>
      <c r="J26" s="13"/>
      <c r="M26" s="11"/>
      <c r="N26" s="12"/>
      <c r="O26" s="15"/>
      <c r="P26" s="12"/>
      <c r="Q26" s="13"/>
      <c r="T26" s="11"/>
      <c r="U26" s="12"/>
      <c r="V26" s="15"/>
      <c r="W26" s="12"/>
      <c r="X26" s="13"/>
      <c r="AA26" s="11"/>
      <c r="AB26" s="12"/>
      <c r="AC26" s="12"/>
      <c r="AD26" s="12"/>
      <c r="AE26" s="13"/>
      <c r="AG26" s="7" t="str">
        <f>nPlug02</f>
        <v>EL</v>
      </c>
    </row>
    <row r="27" spans="2:36" x14ac:dyDescent="0.35">
      <c r="D27" s="39" t="s">
        <v>37</v>
      </c>
      <c r="F27" s="18">
        <f>F21+F14-1</f>
        <v>41</v>
      </c>
      <c r="G27" s="12"/>
      <c r="H27" s="15"/>
      <c r="I27" s="12"/>
      <c r="J27" s="13"/>
      <c r="M27" s="18">
        <f>M21+M14-1</f>
        <v>25</v>
      </c>
      <c r="N27" s="12"/>
      <c r="O27" s="15"/>
      <c r="P27" s="12"/>
      <c r="Q27" s="13"/>
      <c r="T27" s="18">
        <f>T21+T14-1</f>
        <v>35</v>
      </c>
      <c r="U27" s="12"/>
      <c r="V27" s="15"/>
      <c r="W27" s="12"/>
      <c r="X27" s="13"/>
      <c r="AA27" s="18">
        <f>AA21+AA14-1</f>
        <v>45</v>
      </c>
      <c r="AB27" s="12"/>
      <c r="AC27" s="12"/>
      <c r="AD27" s="12"/>
      <c r="AE27" s="13"/>
      <c r="AG27" s="7" t="str">
        <f>nPlug03</f>
        <v>FH</v>
      </c>
      <c r="AI27" s="8" t="str">
        <f>nKeyboardLetter</f>
        <v>C</v>
      </c>
      <c r="AJ27" s="44" t="s">
        <v>70</v>
      </c>
    </row>
    <row r="28" spans="2:36" x14ac:dyDescent="0.35">
      <c r="D28" s="38" t="str">
        <f>nReflectorWide</f>
        <v>ThinB</v>
      </c>
      <c r="F28" s="11"/>
      <c r="G28" s="12"/>
      <c r="H28" s="15"/>
      <c r="I28" s="12"/>
      <c r="J28" s="13"/>
      <c r="M28" s="11"/>
      <c r="N28" s="12"/>
      <c r="O28" s="15"/>
      <c r="P28" s="12"/>
      <c r="Q28" s="13"/>
      <c r="T28" s="11"/>
      <c r="U28" s="12"/>
      <c r="V28" s="15"/>
      <c r="W28" s="12"/>
      <c r="X28" s="13"/>
      <c r="AA28" s="11"/>
      <c r="AB28" s="12"/>
      <c r="AC28" s="12"/>
      <c r="AD28" s="12"/>
      <c r="AE28" s="13"/>
      <c r="AG28" s="7" t="str">
        <f>nPlug04</f>
        <v>GS</v>
      </c>
    </row>
    <row r="29" spans="2:36" x14ac:dyDescent="0.35">
      <c r="D29" s="8" t="str">
        <f>F29</f>
        <v>O</v>
      </c>
      <c r="F29" s="22" t="str">
        <f>VLOOKUP(F27,nNum2Let,2,FALSE)</f>
        <v>O</v>
      </c>
      <c r="G29" s="23"/>
      <c r="H29" s="25"/>
      <c r="I29" s="23"/>
      <c r="J29" s="24"/>
      <c r="M29" s="22" t="str">
        <f>VLOOKUP(M27,nNum2Let,2,FALSE)</f>
        <v>Y</v>
      </c>
      <c r="N29" s="23"/>
      <c r="O29" s="25"/>
      <c r="P29" s="23"/>
      <c r="Q29" s="24"/>
      <c r="T29" s="22" t="str">
        <f>VLOOKUP(T27,nNum2Let,2,FALSE)</f>
        <v>I</v>
      </c>
      <c r="U29" s="23"/>
      <c r="V29" s="25"/>
      <c r="W29" s="23"/>
      <c r="X29" s="24"/>
      <c r="AA29" s="22" t="str">
        <f>VLOOKUP(AA27,nNum2Let,2,FALSE)</f>
        <v>S</v>
      </c>
      <c r="AB29" s="23"/>
      <c r="AC29" s="23"/>
      <c r="AD29" s="23"/>
      <c r="AE29" s="24"/>
      <c r="AG29" s="7" t="str">
        <f>nPlug05</f>
        <v>IJ</v>
      </c>
    </row>
    <row r="30" spans="2:36" x14ac:dyDescent="0.35">
      <c r="D30" s="38" t="str">
        <f>D28&amp;"_"&amp;F29</f>
        <v>ThinB_O</v>
      </c>
      <c r="AG30" s="44" t="s">
        <v>59</v>
      </c>
    </row>
    <row r="31" spans="2:36" x14ac:dyDescent="0.35">
      <c r="D31" s="8" t="str">
        <f>VLOOKUP(D30,nReflector,4,FALSE)</f>
        <v>L</v>
      </c>
      <c r="F31" s="92" t="s">
        <v>115</v>
      </c>
      <c r="G31" s="90"/>
      <c r="H31" s="90"/>
      <c r="I31" s="90"/>
      <c r="J31" s="91"/>
      <c r="M31" s="92" t="s">
        <v>57</v>
      </c>
      <c r="N31" s="90"/>
      <c r="O31" s="90"/>
      <c r="P31" s="90"/>
      <c r="Q31" s="91"/>
      <c r="T31" s="92" t="s">
        <v>62</v>
      </c>
      <c r="U31" s="90"/>
      <c r="V31" s="90"/>
      <c r="W31" s="90"/>
      <c r="X31" s="91"/>
      <c r="AA31" s="92" t="s">
        <v>63</v>
      </c>
      <c r="AB31" s="90"/>
      <c r="AC31" s="90"/>
      <c r="AD31" s="90"/>
      <c r="AE31" s="91"/>
      <c r="AG31" s="7" t="str">
        <f>nPlug06</f>
        <v>KQ</v>
      </c>
    </row>
    <row r="32" spans="2:36" x14ac:dyDescent="0.35">
      <c r="F32" s="40"/>
      <c r="G32" s="9"/>
      <c r="H32" s="41" t="str">
        <f>H3</f>
        <v>B</v>
      </c>
      <c r="I32" s="9"/>
      <c r="J32" s="30" t="s">
        <v>49</v>
      </c>
      <c r="M32" s="40"/>
      <c r="N32" s="9"/>
      <c r="O32" s="41">
        <f>O3</f>
        <v>4</v>
      </c>
      <c r="P32" s="9"/>
      <c r="Q32" s="30" t="s">
        <v>49</v>
      </c>
      <c r="T32" s="40"/>
      <c r="U32" s="9"/>
      <c r="V32" s="41">
        <f>V3</f>
        <v>3</v>
      </c>
      <c r="W32" s="9"/>
      <c r="X32" s="30" t="s">
        <v>49</v>
      </c>
      <c r="AA32" s="40"/>
      <c r="AB32" s="9"/>
      <c r="AC32" s="41">
        <f>AC3</f>
        <v>2</v>
      </c>
      <c r="AD32" s="9"/>
      <c r="AE32" s="30" t="s">
        <v>49</v>
      </c>
      <c r="AG32" s="7" t="str">
        <f>nPlug07</f>
        <v>MW</v>
      </c>
    </row>
    <row r="33" spans="6:36" x14ac:dyDescent="0.35">
      <c r="F33" s="14"/>
      <c r="G33" s="12"/>
      <c r="H33" s="15">
        <f t="shared" ref="H33:H39" si="0">H4</f>
        <v>1</v>
      </c>
      <c r="I33" s="12"/>
      <c r="J33" s="16" t="s">
        <v>48</v>
      </c>
      <c r="M33" s="14"/>
      <c r="N33" s="12"/>
      <c r="O33" s="15">
        <f t="shared" ref="O33:O39" si="1">O4</f>
        <v>16</v>
      </c>
      <c r="P33" s="12"/>
      <c r="Q33" s="16" t="s">
        <v>48</v>
      </c>
      <c r="T33" s="14"/>
      <c r="U33" s="12"/>
      <c r="V33" s="15">
        <f t="shared" ref="V33:V41" si="2">V4</f>
        <v>11</v>
      </c>
      <c r="W33" s="12"/>
      <c r="X33" s="16" t="s">
        <v>48</v>
      </c>
      <c r="AA33" s="14"/>
      <c r="AB33" s="12"/>
      <c r="AC33" s="15">
        <f t="shared" ref="AC33:AC41" si="3">AC4</f>
        <v>6</v>
      </c>
      <c r="AD33" s="12"/>
      <c r="AE33" s="16" t="s">
        <v>48</v>
      </c>
      <c r="AG33" s="7" t="str">
        <f>nPlug08</f>
        <v>PV</v>
      </c>
      <c r="AH33" s="1"/>
      <c r="AI33" s="8" t="str">
        <f>IF(ISERROR(VLOOKUP(nOutputLetter,nPlug,2,FALSE)),nOutputLetter,VLOOKUP(nOutputLetter,nPlug,2,FALSE))</f>
        <v>N</v>
      </c>
      <c r="AJ33" s="44" t="s">
        <v>71</v>
      </c>
    </row>
    <row r="34" spans="6:36" x14ac:dyDescent="0.35">
      <c r="F34" s="14" t="s">
        <v>47</v>
      </c>
      <c r="G34" s="12"/>
      <c r="H34" s="15" t="str">
        <f t="shared" si="0"/>
        <v>A</v>
      </c>
      <c r="I34" s="15"/>
      <c r="J34" s="16"/>
      <c r="M34" s="14" t="s">
        <v>47</v>
      </c>
      <c r="N34" s="12"/>
      <c r="O34" s="15" t="str">
        <f t="shared" si="1"/>
        <v>P</v>
      </c>
      <c r="P34" s="15"/>
      <c r="Q34" s="16"/>
      <c r="T34" s="14" t="s">
        <v>47</v>
      </c>
      <c r="U34" s="12"/>
      <c r="V34" s="15" t="str">
        <f t="shared" si="2"/>
        <v>K</v>
      </c>
      <c r="X34" s="16"/>
      <c r="AA34" s="14" t="s">
        <v>47</v>
      </c>
      <c r="AB34" s="12"/>
      <c r="AC34" s="15" t="str">
        <f t="shared" si="3"/>
        <v>F</v>
      </c>
      <c r="AD34" s="12"/>
      <c r="AE34" s="16"/>
      <c r="AG34" s="7" t="str">
        <f>nPlug09</f>
        <v>RZ</v>
      </c>
    </row>
    <row r="35" spans="6:36" x14ac:dyDescent="0.35">
      <c r="F35" s="14" t="s">
        <v>46</v>
      </c>
      <c r="G35" s="12"/>
      <c r="H35" s="15"/>
      <c r="I35" s="12"/>
      <c r="J35" s="16"/>
      <c r="M35" s="14" t="s">
        <v>46</v>
      </c>
      <c r="N35" s="12"/>
      <c r="O35" s="15"/>
      <c r="P35" s="12"/>
      <c r="Q35" s="16"/>
      <c r="T35" s="14" t="s">
        <v>46</v>
      </c>
      <c r="U35" s="12"/>
      <c r="V35" s="15" t="str">
        <f t="shared" si="2"/>
        <v>W</v>
      </c>
      <c r="W35" s="12"/>
      <c r="X35" s="16"/>
      <c r="AA35" s="14" t="s">
        <v>46</v>
      </c>
      <c r="AB35" s="12"/>
      <c r="AC35" s="15" t="str">
        <f t="shared" si="3"/>
        <v>F</v>
      </c>
      <c r="AE35" s="16"/>
      <c r="AG35" s="7" t="str">
        <f>nPlug10</f>
        <v>TU</v>
      </c>
    </row>
    <row r="36" spans="6:36" x14ac:dyDescent="0.35">
      <c r="F36" s="14" t="s">
        <v>78</v>
      </c>
      <c r="G36" s="12"/>
      <c r="H36" s="15"/>
      <c r="I36" s="12"/>
      <c r="J36" s="16"/>
      <c r="M36" s="14" t="s">
        <v>78</v>
      </c>
      <c r="N36" s="12"/>
      <c r="O36" s="15"/>
      <c r="P36" s="12"/>
      <c r="Q36" s="16"/>
      <c r="T36" s="14" t="s">
        <v>78</v>
      </c>
      <c r="U36" s="12"/>
      <c r="V36" s="15" t="b">
        <f t="shared" si="2"/>
        <v>0</v>
      </c>
      <c r="W36" s="12"/>
      <c r="X36" s="16"/>
      <c r="AA36" s="14" t="s">
        <v>78</v>
      </c>
      <c r="AB36" s="12"/>
      <c r="AC36" s="15" t="b">
        <f t="shared" si="3"/>
        <v>0</v>
      </c>
      <c r="AD36" s="12"/>
      <c r="AE36" s="16"/>
      <c r="AG36" s="44" t="s">
        <v>69</v>
      </c>
    </row>
    <row r="37" spans="6:36" x14ac:dyDescent="0.35">
      <c r="F37" s="14" t="s">
        <v>45</v>
      </c>
      <c r="G37" s="12"/>
      <c r="H37" s="28" t="str">
        <f t="shared" si="0"/>
        <v>A</v>
      </c>
      <c r="I37" s="15"/>
      <c r="J37" s="16"/>
      <c r="M37" s="14" t="s">
        <v>45</v>
      </c>
      <c r="N37" s="12"/>
      <c r="O37" s="28" t="str">
        <f t="shared" si="1"/>
        <v>P</v>
      </c>
      <c r="P37" s="15"/>
      <c r="Q37" s="16"/>
      <c r="T37" s="14" t="s">
        <v>45</v>
      </c>
      <c r="U37" s="12"/>
      <c r="V37" s="28" t="str">
        <f t="shared" si="2"/>
        <v>M</v>
      </c>
      <c r="W37" s="15"/>
      <c r="X37" s="16"/>
      <c r="AA37" s="14" t="s">
        <v>45</v>
      </c>
      <c r="AB37" s="12"/>
      <c r="AC37" s="28" t="str">
        <f t="shared" si="3"/>
        <v>A</v>
      </c>
      <c r="AD37" s="15"/>
      <c r="AE37" s="16"/>
      <c r="AG37" s="8" t="str">
        <f>AE58</f>
        <v>N</v>
      </c>
    </row>
    <row r="38" spans="6:36" x14ac:dyDescent="0.35">
      <c r="F38" s="14" t="s">
        <v>44</v>
      </c>
      <c r="G38" s="12"/>
      <c r="H38" s="15">
        <f t="shared" si="0"/>
        <v>1</v>
      </c>
      <c r="I38" s="15"/>
      <c r="J38" s="31">
        <f>H38</f>
        <v>1</v>
      </c>
      <c r="M38" s="14" t="s">
        <v>44</v>
      </c>
      <c r="N38" s="12"/>
      <c r="O38" s="15">
        <f t="shared" si="1"/>
        <v>16</v>
      </c>
      <c r="P38" s="15"/>
      <c r="Q38" s="31">
        <f>O38</f>
        <v>16</v>
      </c>
      <c r="T38" s="14" t="s">
        <v>44</v>
      </c>
      <c r="U38" s="12"/>
      <c r="V38" s="15">
        <f t="shared" si="2"/>
        <v>13</v>
      </c>
      <c r="W38" s="15"/>
      <c r="X38" s="31">
        <f>V38</f>
        <v>13</v>
      </c>
      <c r="AA38" s="14" t="s">
        <v>44</v>
      </c>
      <c r="AB38" s="12"/>
      <c r="AC38" s="15">
        <f t="shared" si="3"/>
        <v>1</v>
      </c>
      <c r="AD38" s="15"/>
      <c r="AE38" s="31">
        <f>AC38</f>
        <v>1</v>
      </c>
    </row>
    <row r="39" spans="6:36" x14ac:dyDescent="0.35">
      <c r="F39" s="14" t="s">
        <v>43</v>
      </c>
      <c r="G39" s="12"/>
      <c r="H39" s="15">
        <f t="shared" si="0"/>
        <v>1</v>
      </c>
      <c r="I39" s="15"/>
      <c r="J39" s="31">
        <f>H39</f>
        <v>1</v>
      </c>
      <c r="M39" s="14" t="s">
        <v>43</v>
      </c>
      <c r="N39" s="12"/>
      <c r="O39" s="15">
        <f t="shared" si="1"/>
        <v>12</v>
      </c>
      <c r="P39" s="15"/>
      <c r="Q39" s="31">
        <f>O39</f>
        <v>12</v>
      </c>
      <c r="T39" s="14" t="s">
        <v>43</v>
      </c>
      <c r="U39" s="12"/>
      <c r="V39" s="15">
        <f t="shared" si="2"/>
        <v>17</v>
      </c>
      <c r="W39" s="15"/>
      <c r="X39" s="31">
        <f>V39</f>
        <v>17</v>
      </c>
      <c r="AA39" s="14" t="s">
        <v>43</v>
      </c>
      <c r="AB39" s="12"/>
      <c r="AC39" s="15">
        <f t="shared" si="3"/>
        <v>22</v>
      </c>
      <c r="AD39" s="15"/>
      <c r="AE39" s="31">
        <f>AC39</f>
        <v>22</v>
      </c>
    </row>
    <row r="40" spans="6:36" x14ac:dyDescent="0.35">
      <c r="F40" s="42"/>
      <c r="G40" s="12"/>
      <c r="I40" s="12"/>
      <c r="J40" s="32">
        <v>-2</v>
      </c>
      <c r="M40" s="42"/>
      <c r="N40" s="12"/>
      <c r="P40" s="12"/>
      <c r="Q40" s="32">
        <v>-2</v>
      </c>
      <c r="T40" s="42"/>
      <c r="U40" s="12"/>
      <c r="V40" s="7" t="str">
        <f t="shared" si="2"/>
        <v>N/A</v>
      </c>
      <c r="W40" s="12"/>
      <c r="X40" s="32">
        <v>-2</v>
      </c>
      <c r="AA40" s="42"/>
      <c r="AB40" s="12"/>
      <c r="AC40" s="7" t="str">
        <f t="shared" si="3"/>
        <v>N/A</v>
      </c>
      <c r="AD40" s="12"/>
      <c r="AE40" s="32">
        <v>-2</v>
      </c>
    </row>
    <row r="41" spans="6:36" x14ac:dyDescent="0.35">
      <c r="F41" s="16" t="s">
        <v>99</v>
      </c>
      <c r="G41" s="12"/>
      <c r="I41" s="12"/>
      <c r="J41" s="31">
        <f>J43</f>
        <v>12</v>
      </c>
      <c r="M41" s="16" t="s">
        <v>99</v>
      </c>
      <c r="N41" s="12"/>
      <c r="P41" s="12"/>
      <c r="Q41" s="31">
        <f>Q43</f>
        <v>1</v>
      </c>
      <c r="T41" s="14" t="s">
        <v>99</v>
      </c>
      <c r="U41" s="12"/>
      <c r="V41" s="7" t="b">
        <f t="shared" si="2"/>
        <v>0</v>
      </c>
      <c r="W41" s="12"/>
      <c r="X41" s="31">
        <f>X43</f>
        <v>8</v>
      </c>
      <c r="AA41" s="16" t="s">
        <v>99</v>
      </c>
      <c r="AB41" s="12"/>
      <c r="AC41" s="7" t="b">
        <f t="shared" si="3"/>
        <v>0</v>
      </c>
      <c r="AD41" s="12"/>
      <c r="AE41" s="31">
        <f>AE43</f>
        <v>3</v>
      </c>
    </row>
    <row r="42" spans="6:36" x14ac:dyDescent="0.35">
      <c r="F42" s="11"/>
      <c r="G42" s="12"/>
      <c r="H42" s="15"/>
      <c r="I42" s="15"/>
      <c r="J42" s="13"/>
      <c r="M42" s="11"/>
      <c r="N42" s="12"/>
      <c r="O42" s="15"/>
      <c r="P42" s="15"/>
      <c r="Q42" s="13"/>
      <c r="T42" s="11"/>
      <c r="U42" s="12"/>
      <c r="V42" s="15" t="str">
        <f>V13</f>
        <v>AM</v>
      </c>
      <c r="W42" s="15"/>
      <c r="X42" s="13"/>
      <c r="AA42" s="11"/>
      <c r="AB42" s="12"/>
      <c r="AC42" s="15" t="str">
        <f>AC13</f>
        <v>NZ</v>
      </c>
      <c r="AD42" s="15"/>
      <c r="AE42" s="13"/>
    </row>
    <row r="43" spans="6:36" x14ac:dyDescent="0.35">
      <c r="F43" s="33" t="str">
        <f>D31</f>
        <v>L</v>
      </c>
      <c r="G43" s="12"/>
      <c r="H43" s="15"/>
      <c r="I43" s="15"/>
      <c r="J43" s="34">
        <f>VLOOKUP(F43,nLet2Num,2,FALSE)</f>
        <v>12</v>
      </c>
      <c r="M43" s="33" t="str">
        <f>J58</f>
        <v>A</v>
      </c>
      <c r="N43" s="12"/>
      <c r="O43" s="15"/>
      <c r="P43" s="15"/>
      <c r="Q43" s="34">
        <f>VLOOKUP(M43,nLet2Num,2,FALSE)</f>
        <v>1</v>
      </c>
      <c r="T43" s="33" t="str">
        <f>Q58</f>
        <v>H</v>
      </c>
      <c r="U43" s="12"/>
      <c r="V43" s="15"/>
      <c r="W43" s="15"/>
      <c r="X43" s="34">
        <f>VLOOKUP(T43,nLet2Num,2,FALSE)</f>
        <v>8</v>
      </c>
      <c r="AA43" s="33" t="str">
        <f>X58</f>
        <v>C</v>
      </c>
      <c r="AB43" s="12"/>
      <c r="AC43" s="15"/>
      <c r="AD43" s="15"/>
      <c r="AE43" s="34">
        <f>VLOOKUP(AA43,nLet2Num,2,FALSE)</f>
        <v>3</v>
      </c>
    </row>
    <row r="44" spans="6:36" x14ac:dyDescent="0.35">
      <c r="F44" s="14"/>
      <c r="G44" s="12"/>
      <c r="H44" s="15"/>
      <c r="I44" s="15"/>
      <c r="J44" s="16"/>
      <c r="M44" s="14"/>
      <c r="N44" s="12"/>
      <c r="O44" s="15"/>
      <c r="P44" s="15"/>
      <c r="Q44" s="16"/>
      <c r="T44" s="14"/>
      <c r="U44" s="12"/>
      <c r="V44" s="15"/>
      <c r="W44" s="15"/>
      <c r="X44" s="16"/>
      <c r="AA44" s="14"/>
      <c r="AB44" s="12"/>
      <c r="AC44" s="15"/>
      <c r="AD44" s="15"/>
      <c r="AE44" s="16"/>
    </row>
    <row r="45" spans="6:36" x14ac:dyDescent="0.35">
      <c r="F45" s="14"/>
      <c r="G45" s="12"/>
      <c r="H45" s="15"/>
      <c r="I45" s="15"/>
      <c r="J45" s="34">
        <f>H10+J43+H9-2</f>
        <v>12</v>
      </c>
      <c r="M45" s="14"/>
      <c r="N45" s="12"/>
      <c r="O45" s="15"/>
      <c r="P45" s="15"/>
      <c r="Q45" s="34">
        <f>O10+Q43+O9-2</f>
        <v>27</v>
      </c>
      <c r="T45" s="14"/>
      <c r="U45" s="12"/>
      <c r="V45" s="15"/>
      <c r="W45" s="15"/>
      <c r="X45" s="34">
        <f>V10+X43+V9-2</f>
        <v>36</v>
      </c>
      <c r="AA45" s="14"/>
      <c r="AB45" s="12"/>
      <c r="AC45" s="15"/>
      <c r="AD45" s="15"/>
      <c r="AE45" s="34">
        <f>AC10+AE43+AC9-2</f>
        <v>24</v>
      </c>
    </row>
    <row r="46" spans="6:36" x14ac:dyDescent="0.35">
      <c r="F46" s="11"/>
      <c r="G46" s="12"/>
      <c r="H46" s="15"/>
      <c r="I46" s="15"/>
      <c r="J46" s="16"/>
      <c r="M46" s="11"/>
      <c r="N46" s="12"/>
      <c r="O46" s="15"/>
      <c r="P46" s="15"/>
      <c r="Q46" s="16"/>
      <c r="T46" s="11"/>
      <c r="U46" s="12"/>
      <c r="V46" s="15"/>
      <c r="W46" s="15"/>
      <c r="X46" s="16"/>
      <c r="AA46" s="11"/>
      <c r="AB46" s="12"/>
      <c r="AC46" s="15"/>
      <c r="AD46" s="15"/>
      <c r="AE46" s="16"/>
    </row>
    <row r="47" spans="6:36" x14ac:dyDescent="0.35">
      <c r="F47" s="35" t="str">
        <f>VLOOKUP(J45,nNum2Let,2,FALSE)</f>
        <v>L</v>
      </c>
      <c r="G47" s="12"/>
      <c r="H47" s="15"/>
      <c r="I47" s="15"/>
      <c r="J47" s="16"/>
      <c r="M47" s="35" t="str">
        <f>VLOOKUP(Q45,nNum2Let,2,FALSE)</f>
        <v>A</v>
      </c>
      <c r="N47" s="12"/>
      <c r="O47" s="15"/>
      <c r="P47" s="15"/>
      <c r="Q47" s="16"/>
      <c r="T47" s="35" t="str">
        <f>VLOOKUP(X45,nNum2Let,2,FALSE)</f>
        <v>J</v>
      </c>
      <c r="U47" s="12"/>
      <c r="V47" s="15"/>
      <c r="W47" s="15"/>
      <c r="X47" s="16"/>
      <c r="AA47" s="35" t="str">
        <f>VLOOKUP(AE45,nNum2Let,2,FALSE)</f>
        <v>X</v>
      </c>
      <c r="AB47" s="12"/>
      <c r="AC47" s="15"/>
      <c r="AD47" s="15"/>
      <c r="AE47" s="16"/>
    </row>
    <row r="48" spans="6:36" x14ac:dyDescent="0.35">
      <c r="F48" s="14"/>
      <c r="G48" s="12"/>
      <c r="H48" s="15"/>
      <c r="I48" s="15"/>
      <c r="J48" s="16"/>
      <c r="M48" s="14"/>
      <c r="N48" s="12"/>
      <c r="O48" s="15"/>
      <c r="P48" s="15"/>
      <c r="Q48" s="16"/>
      <c r="T48" s="14"/>
      <c r="U48" s="12"/>
      <c r="V48" s="15"/>
      <c r="W48" s="15"/>
      <c r="X48" s="16"/>
      <c r="AA48" s="14"/>
      <c r="AB48" s="12"/>
      <c r="AC48" s="15"/>
      <c r="AD48" s="15"/>
      <c r="AE48" s="16"/>
    </row>
    <row r="49" spans="6:31" x14ac:dyDescent="0.35">
      <c r="F49" s="14" t="str">
        <f>"R"&amp;H3&amp;F47</f>
        <v>RBL</v>
      </c>
      <c r="G49" s="12"/>
      <c r="H49" s="15"/>
      <c r="I49" s="15"/>
      <c r="J49" s="16" t="str">
        <f>F47&amp;F51</f>
        <v>LA</v>
      </c>
      <c r="M49" s="14" t="str">
        <f>"R"&amp;O3&amp;M47</f>
        <v>R4A</v>
      </c>
      <c r="N49" s="12"/>
      <c r="O49" s="15"/>
      <c r="P49" s="15"/>
      <c r="Q49" s="16" t="str">
        <f>M47&amp;M51</f>
        <v>AH</v>
      </c>
      <c r="T49" s="14" t="str">
        <f>"R"&amp;V3&amp;T47</f>
        <v>R3J</v>
      </c>
      <c r="U49" s="12"/>
      <c r="V49" s="15"/>
      <c r="W49" s="15"/>
      <c r="X49" s="16" t="str">
        <f>T47&amp;T51</f>
        <v>JE</v>
      </c>
      <c r="AA49" s="14" t="str">
        <f>"R"&amp;AC3&amp;AA47</f>
        <v>R2X</v>
      </c>
      <c r="AB49" s="12"/>
      <c r="AC49" s="15"/>
      <c r="AD49" s="15"/>
      <c r="AE49" s="16" t="str">
        <f>AA47&amp;AA51</f>
        <v>XI</v>
      </c>
    </row>
    <row r="50" spans="6:31" x14ac:dyDescent="0.35">
      <c r="F50" s="14"/>
      <c r="G50" s="12"/>
      <c r="H50" s="15"/>
      <c r="I50" s="15"/>
      <c r="J50" s="16">
        <f>VLOOKUP(F49,nRotorRev,5,FALSE)</f>
        <v>16</v>
      </c>
      <c r="M50" s="14"/>
      <c r="N50" s="12"/>
      <c r="O50" s="15"/>
      <c r="P50" s="15"/>
      <c r="Q50" s="16">
        <f>VLOOKUP(M49,nRotorRev,5,FALSE)</f>
        <v>8</v>
      </c>
      <c r="T50" s="14"/>
      <c r="U50" s="12"/>
      <c r="V50" s="15"/>
      <c r="W50" s="15"/>
      <c r="X50" s="16">
        <f>VLOOKUP(T49,nRotorRev,5,FALSE)</f>
        <v>22</v>
      </c>
      <c r="AA50" s="14"/>
      <c r="AB50" s="12"/>
      <c r="AC50" s="15"/>
      <c r="AD50" s="15"/>
      <c r="AE50" s="16">
        <f>VLOOKUP(AA49,nRotorRev,5,FALSE)</f>
        <v>12</v>
      </c>
    </row>
    <row r="51" spans="6:31" x14ac:dyDescent="0.35">
      <c r="F51" s="36" t="str">
        <f>VLOOKUP(F49,nRotorRev,4,FALSE)</f>
        <v>A</v>
      </c>
      <c r="G51" s="12"/>
      <c r="H51" s="15"/>
      <c r="I51" s="12"/>
      <c r="J51" s="13"/>
      <c r="M51" s="36" t="str">
        <f>VLOOKUP(M49,nRotorRev,4,FALSE)</f>
        <v>H</v>
      </c>
      <c r="N51" s="12"/>
      <c r="O51" s="15"/>
      <c r="P51" s="12"/>
      <c r="Q51" s="13"/>
      <c r="T51" s="36" t="str">
        <f>VLOOKUP(T49,nRotorRev,4,FALSE)</f>
        <v>E</v>
      </c>
      <c r="U51" s="12"/>
      <c r="V51" s="15"/>
      <c r="W51" s="12"/>
      <c r="X51" s="13"/>
      <c r="AA51" s="36" t="str">
        <f>VLOOKUP(AA49,nRotorRev,4,FALSE)</f>
        <v>I</v>
      </c>
      <c r="AB51" s="12"/>
      <c r="AC51" s="15"/>
      <c r="AD51" s="12"/>
      <c r="AE51" s="13"/>
    </row>
    <row r="52" spans="6:31" x14ac:dyDescent="0.35">
      <c r="F52" s="14"/>
      <c r="G52" s="12"/>
      <c r="H52" s="15"/>
      <c r="I52" s="15"/>
      <c r="J52" s="31">
        <f>J50</f>
        <v>16</v>
      </c>
      <c r="M52" s="14"/>
      <c r="N52" s="12"/>
      <c r="O52" s="15"/>
      <c r="P52" s="15"/>
      <c r="Q52" s="31">
        <f>Q50</f>
        <v>8</v>
      </c>
      <c r="T52" s="14"/>
      <c r="U52" s="12"/>
      <c r="V52" s="15"/>
      <c r="W52" s="15"/>
      <c r="X52" s="31">
        <f>X50</f>
        <v>22</v>
      </c>
      <c r="AA52" s="14"/>
      <c r="AB52" s="12"/>
      <c r="AC52" s="15"/>
      <c r="AD52" s="15"/>
      <c r="AE52" s="31">
        <f>AE50</f>
        <v>12</v>
      </c>
    </row>
    <row r="53" spans="6:31" x14ac:dyDescent="0.35">
      <c r="F53" s="14"/>
      <c r="G53" s="12"/>
      <c r="H53" s="15"/>
      <c r="I53" s="15"/>
      <c r="J53" s="31">
        <f>J43</f>
        <v>12</v>
      </c>
      <c r="M53" s="14"/>
      <c r="N53" s="12"/>
      <c r="O53" s="15"/>
      <c r="P53" s="15"/>
      <c r="Q53" s="31">
        <f>Q43</f>
        <v>1</v>
      </c>
      <c r="T53" s="14"/>
      <c r="U53" s="12"/>
      <c r="V53" s="15"/>
      <c r="W53" s="15"/>
      <c r="X53" s="31">
        <f>X43</f>
        <v>8</v>
      </c>
      <c r="AA53" s="14"/>
      <c r="AB53" s="12"/>
      <c r="AC53" s="15"/>
      <c r="AD53" s="15"/>
      <c r="AE53" s="31">
        <f>AE43</f>
        <v>3</v>
      </c>
    </row>
    <row r="54" spans="6:31" x14ac:dyDescent="0.35">
      <c r="F54" s="42"/>
      <c r="G54" s="12"/>
      <c r="H54" s="15"/>
      <c r="I54" s="12"/>
      <c r="J54" s="32">
        <v>-1</v>
      </c>
      <c r="M54" s="42"/>
      <c r="N54" s="12"/>
      <c r="O54" s="15"/>
      <c r="P54" s="12"/>
      <c r="Q54" s="32">
        <v>-1</v>
      </c>
      <c r="T54" s="78" t="str">
        <f>T6</f>
        <v/>
      </c>
      <c r="U54" s="12"/>
      <c r="V54" s="15"/>
      <c r="W54" s="12"/>
      <c r="X54" s="32">
        <v>-1</v>
      </c>
      <c r="AA54" s="42"/>
      <c r="AB54" s="12"/>
      <c r="AC54" s="15"/>
      <c r="AD54" s="12"/>
      <c r="AE54" s="32">
        <v>-1</v>
      </c>
    </row>
    <row r="55" spans="6:31" x14ac:dyDescent="0.35">
      <c r="F55" s="11"/>
      <c r="G55" s="12"/>
      <c r="H55" s="15"/>
      <c r="I55" s="12"/>
      <c r="J55" s="13"/>
      <c r="M55" s="11"/>
      <c r="N55" s="12"/>
      <c r="O55" s="15"/>
      <c r="P55" s="12"/>
      <c r="Q55" s="13"/>
      <c r="T55" s="78" t="str">
        <f>T7</f>
        <v/>
      </c>
      <c r="U55" s="12"/>
      <c r="V55" s="15"/>
      <c r="W55" s="12"/>
      <c r="X55" s="13"/>
      <c r="AA55" s="11"/>
      <c r="AB55" s="12"/>
      <c r="AC55" s="15"/>
      <c r="AD55" s="12"/>
      <c r="AE55" s="13"/>
    </row>
    <row r="56" spans="6:31" x14ac:dyDescent="0.35">
      <c r="F56" s="14"/>
      <c r="G56" s="12"/>
      <c r="H56" s="15"/>
      <c r="I56" s="12"/>
      <c r="J56" s="34">
        <f>J50+J43-1</f>
        <v>27</v>
      </c>
      <c r="M56" s="14"/>
      <c r="N56" s="12"/>
      <c r="O56" s="15"/>
      <c r="P56" s="12"/>
      <c r="Q56" s="34">
        <f>Q50+Q43-1</f>
        <v>8</v>
      </c>
      <c r="T56" s="14"/>
      <c r="U56" s="12"/>
      <c r="V56" s="15"/>
      <c r="W56" s="12"/>
      <c r="X56" s="34">
        <f>X50+X43-1</f>
        <v>29</v>
      </c>
      <c r="AA56" s="14"/>
      <c r="AB56" s="12"/>
      <c r="AC56" s="15"/>
      <c r="AD56" s="12"/>
      <c r="AE56" s="34">
        <f>AE50+AE43-1</f>
        <v>14</v>
      </c>
    </row>
    <row r="57" spans="6:31" x14ac:dyDescent="0.35">
      <c r="F57" s="11"/>
      <c r="G57" s="12"/>
      <c r="H57" s="15"/>
      <c r="I57" s="12"/>
      <c r="J57" s="13"/>
      <c r="M57" s="11"/>
      <c r="N57" s="12"/>
      <c r="O57" s="15"/>
      <c r="P57" s="12"/>
      <c r="Q57" s="13"/>
      <c r="T57" s="11"/>
      <c r="U57" s="12"/>
      <c r="V57" s="15"/>
      <c r="W57" s="12"/>
      <c r="X57" s="13"/>
      <c r="AA57" s="11"/>
      <c r="AB57" s="12"/>
      <c r="AC57" s="15"/>
      <c r="AD57" s="12"/>
      <c r="AE57" s="13"/>
    </row>
    <row r="58" spans="6:31" x14ac:dyDescent="0.35">
      <c r="F58" s="43"/>
      <c r="G58" s="23"/>
      <c r="H58" s="25"/>
      <c r="I58" s="23"/>
      <c r="J58" s="37" t="str">
        <f>VLOOKUP(J56,nNum2Let,2,FALSE)</f>
        <v>A</v>
      </c>
      <c r="M58" s="43"/>
      <c r="N58" s="23"/>
      <c r="O58" s="25"/>
      <c r="P58" s="23"/>
      <c r="Q58" s="37" t="str">
        <f>VLOOKUP(Q56,nNum2Let,2,FALSE)</f>
        <v>H</v>
      </c>
      <c r="T58" s="43"/>
      <c r="U58" s="23"/>
      <c r="V58" s="25"/>
      <c r="W58" s="23"/>
      <c r="X58" s="37" t="str">
        <f>VLOOKUP(X56,nNum2Let,2,FALSE)</f>
        <v>C</v>
      </c>
      <c r="AA58" s="43"/>
      <c r="AB58" s="23"/>
      <c r="AC58" s="25"/>
      <c r="AD58" s="23"/>
      <c r="AE58" s="37" t="str">
        <f>VLOOKUP(AE56,nNum2Let,2,FALSE)</f>
        <v>N</v>
      </c>
    </row>
    <row r="59" spans="6:31" x14ac:dyDescent="0.35"/>
    <row r="60" spans="6:31" x14ac:dyDescent="0.35"/>
  </sheetData>
  <sheetProtection sheet="1" objects="1" scenarios="1"/>
  <mergeCells count="8">
    <mergeCell ref="F2:J2"/>
    <mergeCell ref="F31:J31"/>
    <mergeCell ref="AA2:AE2"/>
    <mergeCell ref="T2:X2"/>
    <mergeCell ref="M2:Q2"/>
    <mergeCell ref="M31:Q31"/>
    <mergeCell ref="T31:X31"/>
    <mergeCell ref="AA31:AE31"/>
  </mergeCells>
  <dataValidations disablePrompts="1" count="1">
    <dataValidation type="list" allowBlank="1" showInputMessage="1" showErrorMessage="1" sqref="P11:S11 U11 I11:J11" xr:uid="{00000000-0002-0000-0100-000000000000}">
      <formula1>nRFT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60"/>
  <sheetViews>
    <sheetView showGridLines="0" tabSelected="1" zoomScale="90" zoomScaleNormal="90" workbookViewId="0">
      <selection activeCell="O12" sqref="O12"/>
    </sheetView>
  </sheetViews>
  <sheetFormatPr defaultColWidth="0" defaultRowHeight="14.5" zeroHeight="1" x14ac:dyDescent="0.35"/>
  <cols>
    <col min="1" max="1" width="5.7265625" customWidth="1"/>
    <col min="2" max="2" width="40.7265625" customWidth="1"/>
    <col min="3" max="3" width="1.7265625" customWidth="1"/>
    <col min="4" max="4" width="5.7265625" customWidth="1"/>
    <col min="5" max="5" width="1.7265625" customWidth="1"/>
    <col min="6" max="7" width="10.7265625" customWidth="1"/>
    <col min="8" max="8" width="5.7265625" customWidth="1"/>
    <col min="9" max="10" width="10.7265625" customWidth="1"/>
    <col min="11" max="11" width="5.7265625" customWidth="1"/>
    <col min="12" max="13" width="10.7265625" customWidth="1"/>
    <col min="14" max="17" width="9.1796875" customWidth="1"/>
    <col min="18" max="18" width="9.1796875" hidden="1" customWidth="1"/>
    <col min="19" max="22" width="0" hidden="1" customWidth="1"/>
    <col min="23" max="16384" width="9.1796875" hidden="1"/>
  </cols>
  <sheetData>
    <row r="1" spans="2:16" ht="15" customHeight="1" x14ac:dyDescent="0.35"/>
    <row r="2" spans="2:16" x14ac:dyDescent="0.35">
      <c r="F2" s="93" t="s">
        <v>37</v>
      </c>
      <c r="G2" s="94"/>
    </row>
    <row r="3" spans="2:16" ht="8.15" customHeight="1" x14ac:dyDescent="0.35"/>
    <row r="4" spans="2:16" ht="18" customHeight="1" x14ac:dyDescent="0.35">
      <c r="B4" s="46" t="s">
        <v>106</v>
      </c>
      <c r="C4" s="47"/>
      <c r="F4" s="45" t="s">
        <v>0</v>
      </c>
      <c r="G4" s="48" t="str">
        <f>"Thin"&amp;F4</f>
        <v>ThinB</v>
      </c>
      <c r="I4" s="87" t="s">
        <v>147</v>
      </c>
      <c r="J4" s="85"/>
      <c r="K4" s="85"/>
      <c r="L4" s="85"/>
      <c r="M4" s="85"/>
      <c r="N4" s="85"/>
      <c r="O4" s="85"/>
      <c r="P4" s="85"/>
    </row>
    <row r="5" spans="2:16" ht="16" customHeight="1" x14ac:dyDescent="0.35">
      <c r="I5" s="86" t="s">
        <v>144</v>
      </c>
      <c r="J5" s="85"/>
      <c r="K5" s="85"/>
      <c r="L5" s="85"/>
      <c r="M5" s="85"/>
      <c r="N5" s="85"/>
      <c r="O5" s="85"/>
      <c r="P5" s="85"/>
    </row>
    <row r="6" spans="2:16" ht="16" customHeight="1" x14ac:dyDescent="0.35">
      <c r="I6" s="86" t="s">
        <v>145</v>
      </c>
      <c r="J6" s="86"/>
      <c r="K6" s="86"/>
      <c r="L6" s="86"/>
      <c r="M6" s="86"/>
      <c r="N6" s="86"/>
      <c r="O6" s="86"/>
      <c r="P6" s="86"/>
    </row>
    <row r="7" spans="2:16" x14ac:dyDescent="0.35"/>
    <row r="8" spans="2:16" x14ac:dyDescent="0.35">
      <c r="F8" s="93" t="s">
        <v>107</v>
      </c>
      <c r="G8" s="94"/>
      <c r="I8" s="93" t="s">
        <v>38</v>
      </c>
      <c r="J8" s="94"/>
      <c r="L8" s="93" t="s">
        <v>39</v>
      </c>
      <c r="M8" s="94"/>
      <c r="O8" s="93" t="s">
        <v>40</v>
      </c>
      <c r="P8" s="94"/>
    </row>
    <row r="9" spans="2:16" ht="8.15" customHeight="1" x14ac:dyDescent="0.35"/>
    <row r="10" spans="2:16" ht="18" customHeight="1" x14ac:dyDescent="0.35">
      <c r="B10" s="46" t="s">
        <v>108</v>
      </c>
      <c r="C10" s="47"/>
      <c r="F10" s="45" t="s">
        <v>0</v>
      </c>
      <c r="G10" s="2"/>
      <c r="I10" s="45">
        <v>4</v>
      </c>
      <c r="J10" s="2"/>
      <c r="L10" s="45">
        <v>3</v>
      </c>
      <c r="M10" s="2"/>
      <c r="O10" s="45">
        <v>2</v>
      </c>
      <c r="P10" s="2"/>
    </row>
    <row r="11" spans="2:16" ht="8.15" customHeight="1" x14ac:dyDescent="0.35"/>
    <row r="12" spans="2:16" ht="18" customHeight="1" x14ac:dyDescent="0.35">
      <c r="B12" s="46" t="s">
        <v>64</v>
      </c>
      <c r="C12" s="47"/>
      <c r="F12" s="45">
        <v>1</v>
      </c>
      <c r="G12" s="48" t="str">
        <f>VLOOKUP(nRingSettingGreek,nNum2Let,2,FALSE)</f>
        <v>A</v>
      </c>
      <c r="I12" s="45">
        <v>16</v>
      </c>
      <c r="J12" s="48" t="str">
        <f>VLOOKUP(nRingSettingLeft,nNum2Let,2,FALSE)</f>
        <v>P</v>
      </c>
      <c r="L12" s="45">
        <v>11</v>
      </c>
      <c r="M12" s="48" t="str">
        <f>VLOOKUP(nRingSettingMiddle,nNum2Let,2,FALSE)</f>
        <v>K</v>
      </c>
      <c r="O12" s="45">
        <v>6</v>
      </c>
      <c r="P12" s="48" t="str">
        <f>VLOOKUP(nRingSettingRight,nNum2Let,2,FALSE)</f>
        <v>F</v>
      </c>
    </row>
    <row r="13" spans="2:16" ht="8.15" customHeight="1" x14ac:dyDescent="0.35"/>
    <row r="14" spans="2:16" ht="18" customHeight="1" x14ac:dyDescent="0.35">
      <c r="B14" s="46" t="s">
        <v>65</v>
      </c>
      <c r="C14" s="47"/>
      <c r="F14" s="45" t="s">
        <v>1</v>
      </c>
      <c r="G14" s="48">
        <f>VLOOKUP(F14,nLet2Num,2,FALSE)</f>
        <v>1</v>
      </c>
      <c r="I14" s="45" t="s">
        <v>15</v>
      </c>
      <c r="J14" s="48">
        <f>VLOOKUP(I14,nLet2Num,2,FALSE)</f>
        <v>16</v>
      </c>
      <c r="L14" s="45" t="s">
        <v>8</v>
      </c>
      <c r="M14" s="48">
        <f>VLOOKUP(L14,nLet2Num,2,FALSE)</f>
        <v>9</v>
      </c>
      <c r="O14" s="45" t="s">
        <v>10</v>
      </c>
      <c r="P14" s="48">
        <f>VLOOKUP(O14,nLet2Num,2,FALSE)</f>
        <v>11</v>
      </c>
    </row>
    <row r="15" spans="2:16" ht="8.15" customHeight="1" x14ac:dyDescent="0.35"/>
    <row r="16" spans="2:16" ht="18" customHeight="1" x14ac:dyDescent="0.35">
      <c r="B16" s="46" t="s">
        <v>66</v>
      </c>
      <c r="C16" s="47"/>
    </row>
    <row r="17" spans="2:7" x14ac:dyDescent="0.35"/>
    <row r="18" spans="2:7" x14ac:dyDescent="0.35"/>
    <row r="19" spans="2:7" x14ac:dyDescent="0.35"/>
    <row r="20" spans="2:7" x14ac:dyDescent="0.35">
      <c r="F20" s="93" t="s">
        <v>59</v>
      </c>
      <c r="G20" s="94"/>
    </row>
    <row r="21" spans="2:7" ht="8.15" customHeight="1" x14ac:dyDescent="0.35"/>
    <row r="22" spans="2:7" ht="18" customHeight="1" x14ac:dyDescent="0.35">
      <c r="B22" s="46" t="s">
        <v>101</v>
      </c>
      <c r="C22" s="47"/>
      <c r="F22" s="45" t="s">
        <v>149</v>
      </c>
      <c r="G22" s="49">
        <v>1</v>
      </c>
    </row>
    <row r="23" spans="2:7" ht="18" customHeight="1" x14ac:dyDescent="0.35">
      <c r="F23" s="45" t="s">
        <v>150</v>
      </c>
      <c r="G23" s="49">
        <v>2</v>
      </c>
    </row>
    <row r="24" spans="2:7" ht="18" customHeight="1" x14ac:dyDescent="0.35">
      <c r="F24" s="45" t="s">
        <v>151</v>
      </c>
      <c r="G24" s="49">
        <v>3</v>
      </c>
    </row>
    <row r="25" spans="2:7" ht="18" customHeight="1" x14ac:dyDescent="0.35">
      <c r="F25" s="45" t="s">
        <v>152</v>
      </c>
      <c r="G25" s="49">
        <v>4</v>
      </c>
    </row>
    <row r="26" spans="2:7" ht="18" customHeight="1" x14ac:dyDescent="0.35">
      <c r="F26" s="45" t="s">
        <v>153</v>
      </c>
      <c r="G26" s="49">
        <v>5</v>
      </c>
    </row>
    <row r="27" spans="2:7" ht="18" customHeight="1" x14ac:dyDescent="0.35">
      <c r="F27" s="45" t="s">
        <v>154</v>
      </c>
      <c r="G27" s="49">
        <v>6</v>
      </c>
    </row>
    <row r="28" spans="2:7" ht="18" customHeight="1" x14ac:dyDescent="0.35">
      <c r="F28" s="45" t="s">
        <v>155</v>
      </c>
      <c r="G28" s="49">
        <v>7</v>
      </c>
    </row>
    <row r="29" spans="2:7" ht="18" customHeight="1" x14ac:dyDescent="0.35">
      <c r="F29" s="45" t="s">
        <v>156</v>
      </c>
      <c r="G29" s="49">
        <v>8</v>
      </c>
    </row>
    <row r="30" spans="2:7" ht="18" customHeight="1" x14ac:dyDescent="0.35">
      <c r="F30" s="45" t="s">
        <v>157</v>
      </c>
      <c r="G30" s="49">
        <v>9</v>
      </c>
    </row>
    <row r="31" spans="2:7" ht="18" customHeight="1" x14ac:dyDescent="0.35">
      <c r="F31" s="45" t="s">
        <v>158</v>
      </c>
      <c r="G31" s="49">
        <v>10</v>
      </c>
    </row>
    <row r="32" spans="2:7" x14ac:dyDescent="0.35"/>
    <row r="34" spans="18:22" hidden="1" x14ac:dyDescent="0.35">
      <c r="R34" s="93" t="s">
        <v>67</v>
      </c>
      <c r="S34" s="95"/>
      <c r="T34" s="95"/>
      <c r="U34" s="95"/>
      <c r="V34" s="94"/>
    </row>
    <row r="35" spans="18:22" hidden="1" x14ac:dyDescent="0.35">
      <c r="R35" s="50">
        <v>1</v>
      </c>
      <c r="S35" s="50">
        <v>1</v>
      </c>
      <c r="T35" s="50" t="s">
        <v>0</v>
      </c>
      <c r="U35" s="50" t="s">
        <v>1</v>
      </c>
      <c r="V35" s="50" t="s">
        <v>0</v>
      </c>
    </row>
    <row r="36" spans="18:22" hidden="1" x14ac:dyDescent="0.35">
      <c r="R36" s="2">
        <v>2</v>
      </c>
      <c r="S36" s="2">
        <v>2</v>
      </c>
      <c r="T36" s="2" t="s">
        <v>2</v>
      </c>
      <c r="U36" s="2" t="s">
        <v>0</v>
      </c>
      <c r="V36" s="2" t="s">
        <v>6</v>
      </c>
    </row>
    <row r="37" spans="18:22" hidden="1" x14ac:dyDescent="0.35">
      <c r="R37" s="2">
        <v>3</v>
      </c>
      <c r="S37" s="2">
        <v>3</v>
      </c>
      <c r="T37" s="2"/>
      <c r="U37" s="2" t="s">
        <v>2</v>
      </c>
      <c r="V37" s="2"/>
    </row>
    <row r="38" spans="18:22" hidden="1" x14ac:dyDescent="0.35">
      <c r="R38" s="2">
        <v>4</v>
      </c>
      <c r="S38" s="2">
        <v>4</v>
      </c>
      <c r="T38" s="2"/>
      <c r="U38" s="2" t="s">
        <v>3</v>
      </c>
      <c r="V38" s="2"/>
    </row>
    <row r="39" spans="18:22" hidden="1" x14ac:dyDescent="0.35">
      <c r="R39" s="2">
        <v>5</v>
      </c>
      <c r="S39" s="2">
        <v>5</v>
      </c>
      <c r="T39" s="2"/>
      <c r="U39" s="2" t="s">
        <v>4</v>
      </c>
      <c r="V39" s="2"/>
    </row>
    <row r="40" spans="18:22" hidden="1" x14ac:dyDescent="0.35">
      <c r="R40" s="2">
        <v>6</v>
      </c>
      <c r="S40" s="2">
        <v>6</v>
      </c>
      <c r="T40" s="2"/>
      <c r="U40" s="2" t="s">
        <v>5</v>
      </c>
      <c r="V40" s="2"/>
    </row>
    <row r="41" spans="18:22" hidden="1" x14ac:dyDescent="0.35">
      <c r="R41" s="2">
        <v>7</v>
      </c>
      <c r="S41" s="2">
        <v>7</v>
      </c>
      <c r="T41" s="2"/>
      <c r="U41" s="2" t="s">
        <v>6</v>
      </c>
      <c r="V41" s="2"/>
    </row>
    <row r="42" spans="18:22" hidden="1" x14ac:dyDescent="0.35">
      <c r="R42" s="2">
        <v>8</v>
      </c>
      <c r="S42" s="2">
        <v>8</v>
      </c>
      <c r="T42" s="2"/>
      <c r="U42" s="2" t="s">
        <v>7</v>
      </c>
      <c r="V42" s="2"/>
    </row>
    <row r="43" spans="18:22" hidden="1" x14ac:dyDescent="0.35">
      <c r="R43" s="2"/>
      <c r="S43" s="2">
        <v>9</v>
      </c>
      <c r="T43" s="2"/>
      <c r="U43" s="2" t="s">
        <v>8</v>
      </c>
      <c r="V43" s="2"/>
    </row>
    <row r="44" spans="18:22" hidden="1" x14ac:dyDescent="0.35">
      <c r="R44" s="2"/>
      <c r="S44" s="2">
        <v>10</v>
      </c>
      <c r="T44" s="2"/>
      <c r="U44" s="2" t="s">
        <v>9</v>
      </c>
      <c r="V44" s="2"/>
    </row>
    <row r="45" spans="18:22" hidden="1" x14ac:dyDescent="0.35">
      <c r="R45" s="2"/>
      <c r="S45" s="2">
        <v>11</v>
      </c>
      <c r="T45" s="2"/>
      <c r="U45" s="2" t="s">
        <v>10</v>
      </c>
      <c r="V45" s="2"/>
    </row>
    <row r="46" spans="18:22" hidden="1" x14ac:dyDescent="0.35">
      <c r="R46" s="2"/>
      <c r="S46" s="2">
        <v>12</v>
      </c>
      <c r="T46" s="2"/>
      <c r="U46" s="2" t="s">
        <v>11</v>
      </c>
      <c r="V46" s="2"/>
    </row>
    <row r="47" spans="18:22" hidden="1" x14ac:dyDescent="0.35">
      <c r="R47" s="2"/>
      <c r="S47" s="2">
        <v>13</v>
      </c>
      <c r="T47" s="2"/>
      <c r="U47" s="2" t="s">
        <v>12</v>
      </c>
      <c r="V47" s="2"/>
    </row>
    <row r="48" spans="18:22" hidden="1" x14ac:dyDescent="0.35">
      <c r="R48" s="2"/>
      <c r="S48" s="2">
        <v>14</v>
      </c>
      <c r="T48" s="2"/>
      <c r="U48" s="2" t="s">
        <v>13</v>
      </c>
      <c r="V48" s="2"/>
    </row>
    <row r="49" spans="18:22" hidden="1" x14ac:dyDescent="0.35">
      <c r="R49" s="2"/>
      <c r="S49" s="2">
        <v>15</v>
      </c>
      <c r="T49" s="2"/>
      <c r="U49" s="2" t="s">
        <v>14</v>
      </c>
      <c r="V49" s="2"/>
    </row>
    <row r="50" spans="18:22" hidden="1" x14ac:dyDescent="0.35">
      <c r="R50" s="2"/>
      <c r="S50" s="2">
        <v>16</v>
      </c>
      <c r="T50" s="2"/>
      <c r="U50" s="2" t="s">
        <v>15</v>
      </c>
      <c r="V50" s="2"/>
    </row>
    <row r="51" spans="18:22" hidden="1" x14ac:dyDescent="0.35">
      <c r="R51" s="2"/>
      <c r="S51" s="2">
        <v>17</v>
      </c>
      <c r="T51" s="2"/>
      <c r="U51" s="2" t="s">
        <v>16</v>
      </c>
      <c r="V51" s="2"/>
    </row>
    <row r="52" spans="18:22" hidden="1" x14ac:dyDescent="0.35">
      <c r="R52" s="2"/>
      <c r="S52" s="2">
        <v>18</v>
      </c>
      <c r="T52" s="2"/>
      <c r="U52" s="2" t="s">
        <v>17</v>
      </c>
      <c r="V52" s="2"/>
    </row>
    <row r="53" spans="18:22" hidden="1" x14ac:dyDescent="0.35">
      <c r="R53" s="2"/>
      <c r="S53" s="2">
        <v>19</v>
      </c>
      <c r="T53" s="2"/>
      <c r="U53" s="2" t="s">
        <v>18</v>
      </c>
      <c r="V53" s="2"/>
    </row>
    <row r="54" spans="18:22" hidden="1" x14ac:dyDescent="0.35">
      <c r="R54" s="2"/>
      <c r="S54" s="2">
        <v>20</v>
      </c>
      <c r="T54" s="2"/>
      <c r="U54" s="2" t="s">
        <v>19</v>
      </c>
      <c r="V54" s="2"/>
    </row>
    <row r="55" spans="18:22" hidden="1" x14ac:dyDescent="0.35">
      <c r="R55" s="2"/>
      <c r="S55" s="2">
        <v>21</v>
      </c>
      <c r="T55" s="2"/>
      <c r="U55" s="2" t="s">
        <v>20</v>
      </c>
      <c r="V55" s="2"/>
    </row>
    <row r="56" spans="18:22" hidden="1" x14ac:dyDescent="0.35">
      <c r="R56" s="2"/>
      <c r="S56" s="2">
        <v>22</v>
      </c>
      <c r="T56" s="2"/>
      <c r="U56" s="2" t="s">
        <v>21</v>
      </c>
      <c r="V56" s="2"/>
    </row>
    <row r="57" spans="18:22" hidden="1" x14ac:dyDescent="0.35">
      <c r="R57" s="2"/>
      <c r="S57" s="2">
        <v>23</v>
      </c>
      <c r="T57" s="2"/>
      <c r="U57" s="2" t="s">
        <v>22</v>
      </c>
      <c r="V57" s="2"/>
    </row>
    <row r="58" spans="18:22" hidden="1" x14ac:dyDescent="0.35">
      <c r="R58" s="2"/>
      <c r="S58" s="2">
        <v>24</v>
      </c>
      <c r="T58" s="2"/>
      <c r="U58" s="2" t="s">
        <v>23</v>
      </c>
      <c r="V58" s="2"/>
    </row>
    <row r="59" spans="18:22" hidden="1" x14ac:dyDescent="0.35">
      <c r="R59" s="2"/>
      <c r="S59" s="2">
        <v>25</v>
      </c>
      <c r="T59" s="2"/>
      <c r="U59" s="2" t="s">
        <v>24</v>
      </c>
      <c r="V59" s="2"/>
    </row>
    <row r="60" spans="18:22" hidden="1" x14ac:dyDescent="0.35">
      <c r="R60" s="2"/>
      <c r="S60" s="2">
        <v>26</v>
      </c>
      <c r="T60" s="2"/>
      <c r="U60" s="2" t="s">
        <v>25</v>
      </c>
      <c r="V60" s="2"/>
    </row>
  </sheetData>
  <sheetProtection sheet="1" objects="1" scenarios="1" selectLockedCells="1"/>
  <mergeCells count="7">
    <mergeCell ref="O8:P8"/>
    <mergeCell ref="R34:V34"/>
    <mergeCell ref="F2:G2"/>
    <mergeCell ref="F20:G20"/>
    <mergeCell ref="I8:J8"/>
    <mergeCell ref="L8:M8"/>
    <mergeCell ref="F8:G8"/>
  </mergeCells>
  <dataValidations count="5">
    <dataValidation type="list" allowBlank="1" showInputMessage="1" showErrorMessage="1" sqref="O10 I10 L10" xr:uid="{00000000-0002-0000-0300-000000000000}">
      <formula1>nRotorsValid</formula1>
    </dataValidation>
    <dataValidation type="list" allowBlank="1" showInputMessage="1" showErrorMessage="1" sqref="I12 O12 L12 F12" xr:uid="{00000000-0002-0000-0300-000001000000}">
      <formula1>nRingSettings1To26</formula1>
    </dataValidation>
    <dataValidation type="list" allowBlank="1" showInputMessage="1" showErrorMessage="1" sqref="I14 L14 O14 F14" xr:uid="{00000000-0002-0000-0300-000002000000}">
      <formula1>nInitialPositionsAToZ</formula1>
    </dataValidation>
    <dataValidation type="list" allowBlank="1" showInputMessage="1" showErrorMessage="1" sqref="F4" xr:uid="{00000000-0002-0000-0300-000003000000}">
      <formula1>nReflectorsValid</formula1>
    </dataValidation>
    <dataValidation type="list" allowBlank="1" showInputMessage="1" showErrorMessage="1" sqref="F10" xr:uid="{00000000-0002-0000-0300-000004000000}">
      <formula1>nRotorsGreekValid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8197" r:id="rId4" name="CommandButtonGotoKeyboard">
          <controlPr defaultSize="0" autoLine="0" r:id="rId5">
            <anchor moveWithCells="1">
              <from>
                <xdr:col>8</xdr:col>
                <xdr:colOff>114300</xdr:colOff>
                <xdr:row>18</xdr:row>
                <xdr:rowOff>12700</xdr:rowOff>
              </from>
              <to>
                <xdr:col>9</xdr:col>
                <xdr:colOff>425450</xdr:colOff>
                <xdr:row>20</xdr:row>
                <xdr:rowOff>63500</xdr:rowOff>
              </to>
            </anchor>
          </controlPr>
        </control>
      </mc:Choice>
      <mc:Fallback>
        <control shapeId="8197" r:id="rId4" name="CommandButtonGotoKeyboard"/>
      </mc:Fallback>
    </mc:AlternateContent>
    <mc:AlternateContent xmlns:mc="http://schemas.openxmlformats.org/markup-compatibility/2006">
      <mc:Choice Requires="x14">
        <control shapeId="8196" r:id="rId6" name="CommandButtonSIP">
          <controlPr defaultSize="0" autoLine="0" autoPict="0" r:id="rId7">
            <anchor moveWithCells="1">
              <from>
                <xdr:col>5</xdr:col>
                <xdr:colOff>12700</xdr:colOff>
                <xdr:row>15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8196" r:id="rId6" name="CommandButtonSI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4"/>
  <dimension ref="A1:AG24"/>
  <sheetViews>
    <sheetView showGridLines="0" zoomScaleNormal="100" workbookViewId="0"/>
  </sheetViews>
  <sheetFormatPr defaultColWidth="0" defaultRowHeight="14.5" zeroHeight="1" x14ac:dyDescent="0.35"/>
  <cols>
    <col min="1" max="1" width="2.7265625" customWidth="1"/>
    <col min="2" max="4" width="9.1796875" customWidth="1"/>
    <col min="5" max="5" width="5.7265625" customWidth="1"/>
    <col min="6" max="6" width="3.7265625" customWidth="1"/>
    <col min="7" max="7" width="5.7265625" customWidth="1"/>
    <col min="8" max="8" width="9.1796875" customWidth="1"/>
    <col min="9" max="9" width="5.7265625" style="7" customWidth="1"/>
    <col min="10" max="10" width="3.7265625" customWidth="1"/>
    <col min="11" max="11" width="5.7265625" customWidth="1"/>
    <col min="12" max="12" width="9.1796875" customWidth="1"/>
    <col min="13" max="13" width="5.7265625" customWidth="1"/>
    <col min="14" max="14" width="3.7265625" customWidth="1"/>
    <col min="15" max="15" width="5.7265625" customWidth="1"/>
    <col min="16" max="16" width="9.1796875" customWidth="1"/>
    <col min="17" max="17" width="5.7265625" customWidth="1"/>
    <col min="18" max="18" width="3.7265625" customWidth="1"/>
    <col min="19" max="19" width="5.7265625" customWidth="1"/>
    <col min="20" max="28" width="9.1796875" customWidth="1"/>
    <col min="29" max="29" width="9.1796875" hidden="1" customWidth="1"/>
    <col min="30" max="33" width="0" hidden="1" customWidth="1"/>
    <col min="34" max="16384" width="9.1796875" hidden="1"/>
  </cols>
  <sheetData>
    <row r="1" spans="2:29" x14ac:dyDescent="0.35"/>
    <row r="2" spans="2:29" x14ac:dyDescent="0.35"/>
    <row r="3" spans="2:29" ht="18" customHeight="1" x14ac:dyDescent="0.35">
      <c r="E3" s="96" t="s">
        <v>107</v>
      </c>
      <c r="F3" s="98"/>
      <c r="G3" s="97"/>
      <c r="I3" s="96" t="s">
        <v>38</v>
      </c>
      <c r="J3" s="98"/>
      <c r="K3" s="97"/>
      <c r="M3" s="96" t="s">
        <v>39</v>
      </c>
      <c r="N3" s="98"/>
      <c r="O3" s="97"/>
      <c r="Q3" s="96" t="s">
        <v>40</v>
      </c>
      <c r="R3" s="98"/>
      <c r="S3" s="97"/>
      <c r="U3" s="96" t="s">
        <v>72</v>
      </c>
      <c r="V3" s="97"/>
      <c r="X3" s="58"/>
    </row>
    <row r="4" spans="2:29" ht="8.15" customHeight="1" x14ac:dyDescent="0.35">
      <c r="X4" s="58"/>
    </row>
    <row r="5" spans="2:29" ht="18" customHeight="1" x14ac:dyDescent="0.35">
      <c r="E5" s="55">
        <v>27</v>
      </c>
      <c r="G5" s="51">
        <f>MOD(E5,26)</f>
        <v>1</v>
      </c>
      <c r="I5" s="55">
        <v>42</v>
      </c>
      <c r="K5" s="51">
        <f>MOD(I5,26)</f>
        <v>16</v>
      </c>
      <c r="M5" s="55">
        <v>39</v>
      </c>
      <c r="O5" s="51">
        <f>MOD(M5,26)</f>
        <v>13</v>
      </c>
      <c r="Q5" s="55">
        <v>157</v>
      </c>
      <c r="S5" s="51">
        <f>MOD(Q5,26)</f>
        <v>1</v>
      </c>
      <c r="U5" s="53" t="s">
        <v>41</v>
      </c>
      <c r="V5" s="56" t="s">
        <v>2</v>
      </c>
      <c r="X5" s="58"/>
    </row>
    <row r="6" spans="2:29" ht="18" customHeight="1" x14ac:dyDescent="0.35">
      <c r="E6" s="52" t="str">
        <f>VLOOKUP(G6,nNum2Let,2,FALSE)</f>
        <v>A</v>
      </c>
      <c r="G6" s="51">
        <f>IF(G5=0,26,G5)</f>
        <v>1</v>
      </c>
      <c r="I6" s="52" t="str">
        <f>VLOOKUP(K6,nNum2Let,2,FALSE)</f>
        <v>P</v>
      </c>
      <c r="K6" s="51">
        <f>IF(K5=0,26,K5)</f>
        <v>16</v>
      </c>
      <c r="M6" s="52" t="str">
        <f>VLOOKUP(O6,nNum2Let,2,FALSE)</f>
        <v>M</v>
      </c>
      <c r="O6" s="51">
        <f>IF(O5=0,26,O5)</f>
        <v>13</v>
      </c>
      <c r="Q6" s="52" t="str">
        <f>VLOOKUP(S6,nNum2Let,2,FALSE)</f>
        <v>A</v>
      </c>
      <c r="S6" s="51">
        <f>IF(S5=0,26,S5)</f>
        <v>1</v>
      </c>
      <c r="U6" s="53" t="s">
        <v>42</v>
      </c>
      <c r="V6" s="54" t="str">
        <f>nLampLetter</f>
        <v>N</v>
      </c>
      <c r="X6" s="58"/>
    </row>
    <row r="7" spans="2:29" ht="8.15" customHeight="1" x14ac:dyDescent="0.35"/>
    <row r="8" spans="2:29" x14ac:dyDescent="0.35">
      <c r="C8" s="7" t="str">
        <f>nRefl_In</f>
        <v>O</v>
      </c>
      <c r="E8" s="99" t="str">
        <f>nRG_SigOut&amp;nDash&amp;nRG_ConOut&amp;nDash&amp;nRG_ConIn&amp;nDash&amp;nRG_SigIn</f>
        <v>O-O-Y-Y</v>
      </c>
      <c r="F8" s="99"/>
      <c r="G8" s="99"/>
      <c r="I8" s="99" t="str">
        <f>nRL_SigOut&amp;nDash&amp;nRL_ConOut&amp;nDash&amp;nRL_ConIn&amp;nDash&amp;nRL_SigIn</f>
        <v>Y-Y-I-I</v>
      </c>
      <c r="J8" s="99"/>
      <c r="K8" s="99"/>
      <c r="M8" s="99" t="str">
        <f>nRM_SigOut&amp;nDash&amp;NRM_ConOut&amp;nDash&amp;nRM_ConIn&amp;nDash&amp;nRM_SigIn</f>
        <v>I-K-U-S</v>
      </c>
      <c r="N8" s="99"/>
      <c r="O8" s="99"/>
      <c r="Q8" s="99" t="str">
        <f>nRR_SigOut&amp;nDash&amp;nRR_ConOut&amp;nDash&amp;nRR_ConIn&amp;nDash&amp;nRR_SigIn</f>
        <v>S-N-T-Y</v>
      </c>
      <c r="R8" s="99"/>
      <c r="S8" s="99"/>
    </row>
    <row r="9" spans="2:29" x14ac:dyDescent="0.35">
      <c r="C9" s="7" t="str">
        <f>nRefl_Out</f>
        <v>L</v>
      </c>
      <c r="E9" s="99" t="str">
        <f>nRRG_SigIn&amp;nDash&amp;nRRG_ConIn&amp;nDash&amp;nRRG_ConOut&amp;nDash&amp;nRRG_SigOut</f>
        <v>L-L-A-A</v>
      </c>
      <c r="F9" s="99"/>
      <c r="G9" s="99"/>
      <c r="I9" s="99" t="str">
        <f>nRRL_SigIn&amp;nDash&amp;nRRL_ConIn&amp;nDash&amp;nRRL_ConOut&amp;nDash&amp;nRRL_SigOut</f>
        <v>A-A-H-H</v>
      </c>
      <c r="J9" s="99"/>
      <c r="K9" s="99"/>
      <c r="M9" s="99" t="str">
        <f>nRRM_SigIn&amp;nDash&amp;nRRM_ConIn&amp;nDash&amp;nRRM_ConOut&amp;nDash&amp;nRRM_SigOut</f>
        <v>H-J-E-C</v>
      </c>
      <c r="N9" s="99"/>
      <c r="O9" s="99"/>
      <c r="Q9" s="99" t="str">
        <f>nRRR_SigIn&amp;nDash&amp;nRRR_ConIn&amp;nDash&amp;nRRR_ConOut&amp;nDash&amp;nRRR_SigOut</f>
        <v>C-X-I-N</v>
      </c>
      <c r="R9" s="99"/>
      <c r="S9" s="99"/>
    </row>
    <row r="10" spans="2:29" x14ac:dyDescent="0.35">
      <c r="AC10" s="2" t="s">
        <v>139</v>
      </c>
    </row>
    <row r="11" spans="2:29" x14ac:dyDescent="0.35">
      <c r="AC11" s="2">
        <v>0</v>
      </c>
    </row>
    <row r="12" spans="2:29" x14ac:dyDescent="0.35">
      <c r="AC12" s="2">
        <v>4</v>
      </c>
    </row>
    <row r="13" spans="2:29" x14ac:dyDescent="0.35">
      <c r="AC13" s="2">
        <v>5</v>
      </c>
    </row>
    <row r="14" spans="2:29" x14ac:dyDescent="0.35">
      <c r="B14" s="88" t="s">
        <v>138</v>
      </c>
      <c r="C14" s="83">
        <v>5</v>
      </c>
    </row>
    <row r="15" spans="2:29" x14ac:dyDescent="0.35"/>
    <row r="16" spans="2:29" x14ac:dyDescent="0.35">
      <c r="B16" s="1" t="str">
        <f>IF(nRotorGreekHistory&lt;&gt;"","Rotor Greek","")</f>
        <v>Rotor Greek</v>
      </c>
      <c r="D16" s="57" t="s">
        <v>160</v>
      </c>
    </row>
    <row r="17" spans="2:28" x14ac:dyDescent="0.35">
      <c r="B17" s="1" t="str">
        <f>IF(nRotorLeftHistory&lt;&gt;"","Rotor L","")</f>
        <v>Rotor L</v>
      </c>
      <c r="C17" s="1"/>
      <c r="D17" s="57" t="s">
        <v>161</v>
      </c>
      <c r="F17" s="58"/>
      <c r="AA17" s="65" t="str">
        <f>IF(nRotorLeftHistory&lt;&gt;"","Max:","")</f>
        <v>Max:</v>
      </c>
      <c r="AB17" s="66">
        <f>IF(nRotorLeftHistory&lt;&gt;"",120,"")</f>
        <v>120</v>
      </c>
    </row>
    <row r="18" spans="2:28" x14ac:dyDescent="0.35">
      <c r="B18" s="1" t="str">
        <f>IF(nRotorMiddleHistory&lt;&gt;"","Rotor M","")</f>
        <v>Rotor M</v>
      </c>
      <c r="C18" s="1"/>
      <c r="D18" s="57" t="s">
        <v>164</v>
      </c>
      <c r="F18" s="58"/>
      <c r="AA18" s="65" t="str">
        <f>IF(nRotorLeftHistory&lt;&gt;"","Chars:","")</f>
        <v>Chars:</v>
      </c>
      <c r="AB18" s="66">
        <f>IF(nRotorLeftHistory&lt;&gt;"",LEN(nRotorLeftHistory),"")</f>
        <v>120</v>
      </c>
    </row>
    <row r="19" spans="2:28" x14ac:dyDescent="0.35">
      <c r="B19" s="1" t="str">
        <f>IF(nRotorRightHistory&lt;&gt;"","Rotor R","")</f>
        <v>Rotor R</v>
      </c>
      <c r="C19" s="1"/>
      <c r="D19" s="57" t="s">
        <v>166</v>
      </c>
      <c r="F19" s="58"/>
      <c r="AA19" s="65" t="str">
        <f>IF(nRotorLeftHistory&lt;&gt;"","Left:","")</f>
        <v>Left:</v>
      </c>
      <c r="AB19" s="66">
        <f>IF(nRotorLeftHistory&lt;&gt;"",AB17-AB18,"")</f>
        <v>0</v>
      </c>
    </row>
    <row r="20" spans="2:28" x14ac:dyDescent="0.35">
      <c r="E20" s="58"/>
      <c r="F20" s="58"/>
    </row>
    <row r="21" spans="2:28" ht="15" x14ac:dyDescent="0.4">
      <c r="B21" s="1" t="str">
        <f>IF(nMessageInput&lt;&gt;"","Input","")</f>
        <v>Input</v>
      </c>
      <c r="C21" s="1"/>
      <c r="D21" s="68" t="s">
        <v>168</v>
      </c>
      <c r="F21" s="58"/>
      <c r="AA21" s="65" t="str">
        <f>IF(AB19=0,"Left","")</f>
        <v>Left</v>
      </c>
      <c r="AB21" s="65"/>
    </row>
    <row r="22" spans="2:28" ht="15" x14ac:dyDescent="0.4">
      <c r="B22" s="1" t="str">
        <f>IF(nMessageOutput&lt;&gt;"","Output","")</f>
        <v>Output</v>
      </c>
      <c r="C22" s="1"/>
      <c r="D22" s="67" t="s">
        <v>170</v>
      </c>
      <c r="F22" s="58"/>
      <c r="AA22" s="65" t="str">
        <f>IF(AB19=0,"shifting","")</f>
        <v>shifting</v>
      </c>
      <c r="AB22" s="65"/>
    </row>
    <row r="23" spans="2:28" ht="15" x14ac:dyDescent="0.4">
      <c r="B23" s="1"/>
      <c r="C23" s="1"/>
      <c r="D23" s="67"/>
      <c r="F23" s="58"/>
      <c r="AA23" s="65"/>
      <c r="AB23" s="65"/>
    </row>
    <row r="24" spans="2:28" ht="15" hidden="1" x14ac:dyDescent="0.4">
      <c r="B24" s="1"/>
      <c r="C24" s="1"/>
      <c r="D24" s="67"/>
      <c r="F24" s="58"/>
      <c r="AA24" s="65"/>
      <c r="AB24" s="65"/>
    </row>
  </sheetData>
  <sheetProtection selectLockedCells="1"/>
  <mergeCells count="13">
    <mergeCell ref="U3:V3"/>
    <mergeCell ref="I3:K3"/>
    <mergeCell ref="M3:O3"/>
    <mergeCell ref="Q3:S3"/>
    <mergeCell ref="E9:G9"/>
    <mergeCell ref="I9:K9"/>
    <mergeCell ref="M9:O9"/>
    <mergeCell ref="Q9:S9"/>
    <mergeCell ref="E3:G3"/>
    <mergeCell ref="E8:G8"/>
    <mergeCell ref="Q8:S8"/>
    <mergeCell ref="M8:O8"/>
    <mergeCell ref="I8:K8"/>
  </mergeCells>
  <dataValidations count="1">
    <dataValidation type="list" allowBlank="1" showInputMessage="1" showErrorMessage="1" sqref="C14" xr:uid="{00000000-0002-0000-0400-000000000000}">
      <formula1>nSpacingValid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ignoredErrors>
    <ignoredError sqref="AA21:AA22 B21:B22 AA17:AA19 B16:B19" unlockedFormula="1"/>
  </ignoredErrors>
  <drawing r:id="rId2"/>
  <legacyDrawing r:id="rId3"/>
  <controls>
    <mc:AlternateContent xmlns:mc="http://schemas.openxmlformats.org/markup-compatibility/2006">
      <mc:Choice Requires="x14">
        <control shapeId="6153" r:id="rId4" name="CommandButton70">
          <controlPr defaultSize="0" autoLine="0" r:id="rId5">
            <anchor moveWithCells="1">
              <from>
                <xdr:col>12</xdr:col>
                <xdr:colOff>0</xdr:colOff>
                <xdr:row>10</xdr:row>
                <xdr:rowOff>0</xdr:rowOff>
              </from>
              <to>
                <xdr:col>13</xdr:col>
                <xdr:colOff>139700</xdr:colOff>
                <xdr:row>11</xdr:row>
                <xdr:rowOff>139700</xdr:rowOff>
              </to>
            </anchor>
          </controlPr>
        </control>
      </mc:Choice>
      <mc:Fallback>
        <control shapeId="6153" r:id="rId4" name="CommandButton70"/>
      </mc:Fallback>
    </mc:AlternateContent>
    <mc:AlternateContent xmlns:mc="http://schemas.openxmlformats.org/markup-compatibility/2006">
      <mc:Choice Requires="x14">
        <control shapeId="6152" r:id="rId6" name="CommandButton69">
          <controlPr defaultSize="0" autoLine="0" r:id="rId7">
            <anchor moveWithCells="1">
              <from>
                <xdr:col>11</xdr:col>
                <xdr:colOff>107950</xdr:colOff>
                <xdr:row>10</xdr:row>
                <xdr:rowOff>0</xdr:rowOff>
              </from>
              <to>
                <xdr:col>12</xdr:col>
                <xdr:colOff>6350</xdr:colOff>
                <xdr:row>11</xdr:row>
                <xdr:rowOff>139700</xdr:rowOff>
              </to>
            </anchor>
          </controlPr>
        </control>
      </mc:Choice>
      <mc:Fallback>
        <control shapeId="6152" r:id="rId6" name="CommandButton69"/>
      </mc:Fallback>
    </mc:AlternateContent>
    <mc:AlternateContent xmlns:mc="http://schemas.openxmlformats.org/markup-compatibility/2006">
      <mc:Choice Requires="x14">
        <control shapeId="6151" r:id="rId8" name="CommandButton68">
          <controlPr defaultSize="0" autoLine="0" r:id="rId9">
            <anchor moveWithCells="1">
              <from>
                <xdr:col>9</xdr:col>
                <xdr:colOff>234950</xdr:colOff>
                <xdr:row>10</xdr:row>
                <xdr:rowOff>0</xdr:rowOff>
              </from>
              <to>
                <xdr:col>11</xdr:col>
                <xdr:colOff>114300</xdr:colOff>
                <xdr:row>11</xdr:row>
                <xdr:rowOff>139700</xdr:rowOff>
              </to>
            </anchor>
          </controlPr>
        </control>
      </mc:Choice>
      <mc:Fallback>
        <control shapeId="6151" r:id="rId8" name="CommandButton68"/>
      </mc:Fallback>
    </mc:AlternateContent>
    <mc:AlternateContent xmlns:mc="http://schemas.openxmlformats.org/markup-compatibility/2006">
      <mc:Choice Requires="x14">
        <control shapeId="6150" r:id="rId10" name="CommandButton67">
          <controlPr defaultSize="0" autoLine="0" r:id="rId11">
            <anchor moveWithCells="1">
              <from>
                <xdr:col>8</xdr:col>
                <xdr:colOff>95250</xdr:colOff>
                <xdr:row>10</xdr:row>
                <xdr:rowOff>0</xdr:rowOff>
              </from>
              <to>
                <xdr:col>9</xdr:col>
                <xdr:colOff>234950</xdr:colOff>
                <xdr:row>11</xdr:row>
                <xdr:rowOff>139700</xdr:rowOff>
              </to>
            </anchor>
          </controlPr>
        </control>
      </mc:Choice>
      <mc:Fallback>
        <control shapeId="6150" r:id="rId10" name="CommandButton67"/>
      </mc:Fallback>
    </mc:AlternateContent>
    <mc:AlternateContent xmlns:mc="http://schemas.openxmlformats.org/markup-compatibility/2006">
      <mc:Choice Requires="x14">
        <control shapeId="6149" r:id="rId12" name="CommandButton66">
          <controlPr defaultSize="0" autoLine="0" r:id="rId13">
            <anchor moveWithCells="1">
              <from>
                <xdr:col>7</xdr:col>
                <xdr:colOff>196850</xdr:colOff>
                <xdr:row>10</xdr:row>
                <xdr:rowOff>0</xdr:rowOff>
              </from>
              <to>
                <xdr:col>8</xdr:col>
                <xdr:colOff>95250</xdr:colOff>
                <xdr:row>11</xdr:row>
                <xdr:rowOff>139700</xdr:rowOff>
              </to>
            </anchor>
          </controlPr>
        </control>
      </mc:Choice>
      <mc:Fallback>
        <control shapeId="6149" r:id="rId12" name="CommandButton66"/>
      </mc:Fallback>
    </mc:AlternateContent>
    <mc:AlternateContent xmlns:mc="http://schemas.openxmlformats.org/markup-compatibility/2006">
      <mc:Choice Requires="x14">
        <control shapeId="6148" r:id="rId14" name="CommandButton65">
          <controlPr defaultSize="0" autoLine="0" r:id="rId15">
            <anchor moveWithCells="1">
              <from>
                <xdr:col>6</xdr:col>
                <xdr:colOff>57150</xdr:colOff>
                <xdr:row>10</xdr:row>
                <xdr:rowOff>0</xdr:rowOff>
              </from>
              <to>
                <xdr:col>7</xdr:col>
                <xdr:colOff>196850</xdr:colOff>
                <xdr:row>11</xdr:row>
                <xdr:rowOff>139700</xdr:rowOff>
              </to>
            </anchor>
          </controlPr>
        </control>
      </mc:Choice>
      <mc:Fallback>
        <control shapeId="6148" r:id="rId14" name="CommandButton65"/>
      </mc:Fallback>
    </mc:AlternateContent>
    <mc:AlternateContent xmlns:mc="http://schemas.openxmlformats.org/markup-compatibility/2006">
      <mc:Choice Requires="x14">
        <control shapeId="6145" r:id="rId16" name="SpinButtonRotorLeft">
          <controlPr defaultSize="0" autoLine="0" linkedCell="I5" r:id="rId17">
            <anchor moveWithCells="1">
              <from>
                <xdr:col>9</xdr:col>
                <xdr:colOff>6350</xdr:colOff>
                <xdr:row>4</xdr:row>
                <xdr:rowOff>0</xdr:rowOff>
              </from>
              <to>
                <xdr:col>9</xdr:col>
                <xdr:colOff>234950</xdr:colOff>
                <xdr:row>6</xdr:row>
                <xdr:rowOff>0</xdr:rowOff>
              </to>
            </anchor>
          </controlPr>
        </control>
      </mc:Choice>
      <mc:Fallback>
        <control shapeId="6145" r:id="rId16" name="SpinButtonRotorLeft"/>
      </mc:Fallback>
    </mc:AlternateContent>
    <mc:AlternateContent xmlns:mc="http://schemas.openxmlformats.org/markup-compatibility/2006">
      <mc:Choice Requires="x14">
        <control shapeId="6146" r:id="rId18" name="SpinButtonRotorMiddle">
          <controlPr defaultSize="0" autoLine="0" linkedCell="M5" r:id="rId19">
            <anchor moveWithCells="1">
              <from>
                <xdr:col>13</xdr:col>
                <xdr:colOff>6350</xdr:colOff>
                <xdr:row>4</xdr:row>
                <xdr:rowOff>0</xdr:rowOff>
              </from>
              <to>
                <xdr:col>13</xdr:col>
                <xdr:colOff>241300</xdr:colOff>
                <xdr:row>6</xdr:row>
                <xdr:rowOff>0</xdr:rowOff>
              </to>
            </anchor>
          </controlPr>
        </control>
      </mc:Choice>
      <mc:Fallback>
        <control shapeId="6146" r:id="rId18" name="SpinButtonRotorMiddle"/>
      </mc:Fallback>
    </mc:AlternateContent>
    <mc:AlternateContent xmlns:mc="http://schemas.openxmlformats.org/markup-compatibility/2006">
      <mc:Choice Requires="x14">
        <control shapeId="6147" r:id="rId20" name="SpinButtonRotorRight">
          <controlPr defaultSize="0" autoLine="0" linkedCell="Q5" r:id="rId17">
            <anchor moveWithCells="1">
              <from>
                <xdr:col>17</xdr:col>
                <xdr:colOff>6350</xdr:colOff>
                <xdr:row>4</xdr:row>
                <xdr:rowOff>0</xdr:rowOff>
              </from>
              <to>
                <xdr:col>17</xdr:col>
                <xdr:colOff>234950</xdr:colOff>
                <xdr:row>6</xdr:row>
                <xdr:rowOff>0</xdr:rowOff>
              </to>
            </anchor>
          </controlPr>
        </control>
      </mc:Choice>
      <mc:Fallback>
        <control shapeId="6147" r:id="rId20" name="SpinButtonRotorRight"/>
      </mc:Fallback>
    </mc:AlternateContent>
    <mc:AlternateContent xmlns:mc="http://schemas.openxmlformats.org/markup-compatibility/2006">
      <mc:Choice Requires="x14">
        <control shapeId="6154" r:id="rId21" name="CommandButton71">
          <controlPr defaultSize="0" autoLine="0" r:id="rId22">
            <anchor moveWithCells="1">
              <from>
                <xdr:col>13</xdr:col>
                <xdr:colOff>139700</xdr:colOff>
                <xdr:row>10</xdr:row>
                <xdr:rowOff>6350</xdr:rowOff>
              </from>
              <to>
                <xdr:col>15</xdr:col>
                <xdr:colOff>19050</xdr:colOff>
                <xdr:row>11</xdr:row>
                <xdr:rowOff>146050</xdr:rowOff>
              </to>
            </anchor>
          </controlPr>
        </control>
      </mc:Choice>
      <mc:Fallback>
        <control shapeId="6154" r:id="rId21" name="CommandButton71"/>
      </mc:Fallback>
    </mc:AlternateContent>
    <mc:AlternateContent xmlns:mc="http://schemas.openxmlformats.org/markup-compatibility/2006">
      <mc:Choice Requires="x14">
        <control shapeId="6155" r:id="rId23" name="CommandButton72">
          <controlPr defaultSize="0" autoLine="0" r:id="rId24">
            <anchor moveWithCells="1">
              <from>
                <xdr:col>15</xdr:col>
                <xdr:colOff>25400</xdr:colOff>
                <xdr:row>10</xdr:row>
                <xdr:rowOff>6350</xdr:rowOff>
              </from>
              <to>
                <xdr:col>15</xdr:col>
                <xdr:colOff>571500</xdr:colOff>
                <xdr:row>11</xdr:row>
                <xdr:rowOff>146050</xdr:rowOff>
              </to>
            </anchor>
          </controlPr>
        </control>
      </mc:Choice>
      <mc:Fallback>
        <control shapeId="6155" r:id="rId23" name="CommandButton72"/>
      </mc:Fallback>
    </mc:AlternateContent>
    <mc:AlternateContent xmlns:mc="http://schemas.openxmlformats.org/markup-compatibility/2006">
      <mc:Choice Requires="x14">
        <control shapeId="6156" r:id="rId25" name="CommandButton73">
          <controlPr defaultSize="0" autoLine="0" r:id="rId26">
            <anchor moveWithCells="1">
              <from>
                <xdr:col>15</xdr:col>
                <xdr:colOff>558800</xdr:colOff>
                <xdr:row>10</xdr:row>
                <xdr:rowOff>0</xdr:rowOff>
              </from>
              <to>
                <xdr:col>17</xdr:col>
                <xdr:colOff>57150</xdr:colOff>
                <xdr:row>11</xdr:row>
                <xdr:rowOff>146050</xdr:rowOff>
              </to>
            </anchor>
          </controlPr>
        </control>
      </mc:Choice>
      <mc:Fallback>
        <control shapeId="6156" r:id="rId25" name="CommandButton73"/>
      </mc:Fallback>
    </mc:AlternateContent>
    <mc:AlternateContent xmlns:mc="http://schemas.openxmlformats.org/markup-compatibility/2006">
      <mc:Choice Requires="x14">
        <control shapeId="6157" r:id="rId27" name="CommandButton74">
          <controlPr defaultSize="0" autoLine="0" r:id="rId28">
            <anchor moveWithCells="1">
              <from>
                <xdr:col>17</xdr:col>
                <xdr:colOff>50800</xdr:colOff>
                <xdr:row>10</xdr:row>
                <xdr:rowOff>0</xdr:rowOff>
              </from>
              <to>
                <xdr:col>18</xdr:col>
                <xdr:colOff>323850</xdr:colOff>
                <xdr:row>11</xdr:row>
                <xdr:rowOff>139700</xdr:rowOff>
              </to>
            </anchor>
          </controlPr>
        </control>
      </mc:Choice>
      <mc:Fallback>
        <control shapeId="6157" r:id="rId27" name="CommandButton74"/>
      </mc:Fallback>
    </mc:AlternateContent>
    <mc:AlternateContent xmlns:mc="http://schemas.openxmlformats.org/markup-compatibility/2006">
      <mc:Choice Requires="x14">
        <control shapeId="6158" r:id="rId29" name="CommandButton75">
          <controlPr defaultSize="0" autoLine="0" r:id="rId30">
            <anchor moveWithCells="1">
              <from>
                <xdr:col>18</xdr:col>
                <xdr:colOff>323850</xdr:colOff>
                <xdr:row>10</xdr:row>
                <xdr:rowOff>0</xdr:rowOff>
              </from>
              <to>
                <xdr:col>19</xdr:col>
                <xdr:colOff>463550</xdr:colOff>
                <xdr:row>11</xdr:row>
                <xdr:rowOff>139700</xdr:rowOff>
              </to>
            </anchor>
          </controlPr>
        </control>
      </mc:Choice>
      <mc:Fallback>
        <control shapeId="6158" r:id="rId29" name="CommandButton75"/>
      </mc:Fallback>
    </mc:AlternateContent>
    <mc:AlternateContent xmlns:mc="http://schemas.openxmlformats.org/markup-compatibility/2006">
      <mc:Choice Requires="x14">
        <control shapeId="6159" r:id="rId31" name="CommandButton76">
          <controlPr defaultSize="0" autoLine="0" r:id="rId32">
            <anchor moveWithCells="1">
              <from>
                <xdr:col>19</xdr:col>
                <xdr:colOff>457200</xdr:colOff>
                <xdr:row>9</xdr:row>
                <xdr:rowOff>177800</xdr:rowOff>
              </from>
              <to>
                <xdr:col>20</xdr:col>
                <xdr:colOff>355600</xdr:colOff>
                <xdr:row>11</xdr:row>
                <xdr:rowOff>133350</xdr:rowOff>
              </to>
            </anchor>
          </controlPr>
        </control>
      </mc:Choice>
      <mc:Fallback>
        <control shapeId="6159" r:id="rId31" name="CommandButton76"/>
      </mc:Fallback>
    </mc:AlternateContent>
    <mc:AlternateContent xmlns:mc="http://schemas.openxmlformats.org/markup-compatibility/2006">
      <mc:Choice Requires="x14">
        <control shapeId="6160" r:id="rId33" name="CommandButton77">
          <controlPr defaultSize="0" autoLine="0" r:id="rId34">
            <anchor moveWithCells="1">
              <from>
                <xdr:col>20</xdr:col>
                <xdr:colOff>355600</xdr:colOff>
                <xdr:row>10</xdr:row>
                <xdr:rowOff>0</xdr:rowOff>
              </from>
              <to>
                <xdr:col>21</xdr:col>
                <xdr:colOff>254000</xdr:colOff>
                <xdr:row>11</xdr:row>
                <xdr:rowOff>139700</xdr:rowOff>
              </to>
            </anchor>
          </controlPr>
        </control>
      </mc:Choice>
      <mc:Fallback>
        <control shapeId="6160" r:id="rId33" name="CommandButton77"/>
      </mc:Fallback>
    </mc:AlternateContent>
    <mc:AlternateContent xmlns:mc="http://schemas.openxmlformats.org/markup-compatibility/2006">
      <mc:Choice Requires="x14">
        <control shapeId="6161" r:id="rId35" name="CommandButton78">
          <controlPr defaultSize="0" autoLine="0" r:id="rId36">
            <anchor moveWithCells="1">
              <from>
                <xdr:col>7</xdr:col>
                <xdr:colOff>12700</xdr:colOff>
                <xdr:row>11</xdr:row>
                <xdr:rowOff>158750</xdr:rowOff>
              </from>
              <to>
                <xdr:col>7</xdr:col>
                <xdr:colOff>552450</xdr:colOff>
                <xdr:row>13</xdr:row>
                <xdr:rowOff>114300</xdr:rowOff>
              </to>
            </anchor>
          </controlPr>
        </control>
      </mc:Choice>
      <mc:Fallback>
        <control shapeId="6161" r:id="rId35" name="CommandButton78"/>
      </mc:Fallback>
    </mc:AlternateContent>
    <mc:AlternateContent xmlns:mc="http://schemas.openxmlformats.org/markup-compatibility/2006">
      <mc:Choice Requires="x14">
        <control shapeId="6162" r:id="rId37" name="CommandButton79">
          <controlPr defaultSize="0" autoLine="0" r:id="rId38">
            <anchor moveWithCells="1">
              <from>
                <xdr:col>7</xdr:col>
                <xdr:colOff>546100</xdr:colOff>
                <xdr:row>11</xdr:row>
                <xdr:rowOff>165100</xdr:rowOff>
              </from>
              <to>
                <xdr:col>9</xdr:col>
                <xdr:colOff>44450</xdr:colOff>
                <xdr:row>13</xdr:row>
                <xdr:rowOff>120650</xdr:rowOff>
              </to>
            </anchor>
          </controlPr>
        </control>
      </mc:Choice>
      <mc:Fallback>
        <control shapeId="6162" r:id="rId37" name="CommandButton79"/>
      </mc:Fallback>
    </mc:AlternateContent>
    <mc:AlternateContent xmlns:mc="http://schemas.openxmlformats.org/markup-compatibility/2006">
      <mc:Choice Requires="x14">
        <control shapeId="6163" r:id="rId39" name="CommandButton80">
          <controlPr defaultSize="0" autoLine="0" r:id="rId40">
            <anchor moveWithCells="1">
              <from>
                <xdr:col>9</xdr:col>
                <xdr:colOff>38100</xdr:colOff>
                <xdr:row>11</xdr:row>
                <xdr:rowOff>158750</xdr:rowOff>
              </from>
              <to>
                <xdr:col>10</xdr:col>
                <xdr:colOff>317500</xdr:colOff>
                <xdr:row>13</xdr:row>
                <xdr:rowOff>114300</xdr:rowOff>
              </to>
            </anchor>
          </controlPr>
        </control>
      </mc:Choice>
      <mc:Fallback>
        <control shapeId="6163" r:id="rId39" name="CommandButton80"/>
      </mc:Fallback>
    </mc:AlternateContent>
    <mc:AlternateContent xmlns:mc="http://schemas.openxmlformats.org/markup-compatibility/2006">
      <mc:Choice Requires="x14">
        <control shapeId="6164" r:id="rId41" name="CommandButton81">
          <controlPr defaultSize="0" autoLine="0" r:id="rId42">
            <anchor moveWithCells="1">
              <from>
                <xdr:col>10</xdr:col>
                <xdr:colOff>311150</xdr:colOff>
                <xdr:row>11</xdr:row>
                <xdr:rowOff>152400</xdr:rowOff>
              </from>
              <to>
                <xdr:col>11</xdr:col>
                <xdr:colOff>450850</xdr:colOff>
                <xdr:row>13</xdr:row>
                <xdr:rowOff>107950</xdr:rowOff>
              </to>
            </anchor>
          </controlPr>
        </control>
      </mc:Choice>
      <mc:Fallback>
        <control shapeId="6164" r:id="rId41" name="CommandButton81"/>
      </mc:Fallback>
    </mc:AlternateContent>
    <mc:AlternateContent xmlns:mc="http://schemas.openxmlformats.org/markup-compatibility/2006">
      <mc:Choice Requires="x14">
        <control shapeId="6165" r:id="rId43" name="CommandButton82">
          <controlPr defaultSize="0" autoLine="0" r:id="rId44">
            <anchor moveWithCells="1">
              <from>
                <xdr:col>11</xdr:col>
                <xdr:colOff>431800</xdr:colOff>
                <xdr:row>11</xdr:row>
                <xdr:rowOff>152400</xdr:rowOff>
              </from>
              <to>
                <xdr:col>12</xdr:col>
                <xdr:colOff>330200</xdr:colOff>
                <xdr:row>13</xdr:row>
                <xdr:rowOff>107950</xdr:rowOff>
              </to>
            </anchor>
          </controlPr>
        </control>
      </mc:Choice>
      <mc:Fallback>
        <control shapeId="6165" r:id="rId43" name="CommandButton82"/>
      </mc:Fallback>
    </mc:AlternateContent>
    <mc:AlternateContent xmlns:mc="http://schemas.openxmlformats.org/markup-compatibility/2006">
      <mc:Choice Requires="x14">
        <control shapeId="6166" r:id="rId45" name="CommandButton83">
          <controlPr defaultSize="0" autoLine="0" r:id="rId46">
            <anchor moveWithCells="1">
              <from>
                <xdr:col>12</xdr:col>
                <xdr:colOff>323850</xdr:colOff>
                <xdr:row>11</xdr:row>
                <xdr:rowOff>158750</xdr:rowOff>
              </from>
              <to>
                <xdr:col>14</xdr:col>
                <xdr:colOff>203200</xdr:colOff>
                <xdr:row>13</xdr:row>
                <xdr:rowOff>114300</xdr:rowOff>
              </to>
            </anchor>
          </controlPr>
        </control>
      </mc:Choice>
      <mc:Fallback>
        <control shapeId="6166" r:id="rId45" name="CommandButton83"/>
      </mc:Fallback>
    </mc:AlternateContent>
    <mc:AlternateContent xmlns:mc="http://schemas.openxmlformats.org/markup-compatibility/2006">
      <mc:Choice Requires="x14">
        <control shapeId="6167" r:id="rId47" name="CommandButton84">
          <controlPr defaultSize="0" autoLine="0" r:id="rId48">
            <anchor moveWithCells="1">
              <from>
                <xdr:col>14</xdr:col>
                <xdr:colOff>203200</xdr:colOff>
                <xdr:row>11</xdr:row>
                <xdr:rowOff>152400</xdr:rowOff>
              </from>
              <to>
                <xdr:col>15</xdr:col>
                <xdr:colOff>342900</xdr:colOff>
                <xdr:row>13</xdr:row>
                <xdr:rowOff>107950</xdr:rowOff>
              </to>
            </anchor>
          </controlPr>
        </control>
      </mc:Choice>
      <mc:Fallback>
        <control shapeId="6167" r:id="rId47" name="CommandButton84"/>
      </mc:Fallback>
    </mc:AlternateContent>
    <mc:AlternateContent xmlns:mc="http://schemas.openxmlformats.org/markup-compatibility/2006">
      <mc:Choice Requires="x14">
        <control shapeId="6168" r:id="rId49" name="CommandButton85">
          <controlPr defaultSize="0" autoLine="0" r:id="rId50">
            <anchor moveWithCells="1">
              <from>
                <xdr:col>15</xdr:col>
                <xdr:colOff>342900</xdr:colOff>
                <xdr:row>11</xdr:row>
                <xdr:rowOff>146050</xdr:rowOff>
              </from>
              <to>
                <xdr:col>16</xdr:col>
                <xdr:colOff>241300</xdr:colOff>
                <xdr:row>13</xdr:row>
                <xdr:rowOff>101600</xdr:rowOff>
              </to>
            </anchor>
          </controlPr>
        </control>
      </mc:Choice>
      <mc:Fallback>
        <control shapeId="6168" r:id="rId49" name="CommandButton85"/>
      </mc:Fallback>
    </mc:AlternateContent>
    <mc:AlternateContent xmlns:mc="http://schemas.openxmlformats.org/markup-compatibility/2006">
      <mc:Choice Requires="x14">
        <control shapeId="6169" r:id="rId51" name="CommandButton86">
          <controlPr defaultSize="0" autoLine="0" r:id="rId52">
            <anchor moveWithCells="1">
              <from>
                <xdr:col>16</xdr:col>
                <xdr:colOff>241300</xdr:colOff>
                <xdr:row>11</xdr:row>
                <xdr:rowOff>139700</xdr:rowOff>
              </from>
              <to>
                <xdr:col>18</xdr:col>
                <xdr:colOff>120650</xdr:colOff>
                <xdr:row>13</xdr:row>
                <xdr:rowOff>95250</xdr:rowOff>
              </to>
            </anchor>
          </controlPr>
        </control>
      </mc:Choice>
      <mc:Fallback>
        <control shapeId="6169" r:id="rId51" name="CommandButton86"/>
      </mc:Fallback>
    </mc:AlternateContent>
    <mc:AlternateContent xmlns:mc="http://schemas.openxmlformats.org/markup-compatibility/2006">
      <mc:Choice Requires="x14">
        <control shapeId="6170" r:id="rId53" name="CommandButton87">
          <controlPr defaultSize="0" autoLine="0" r:id="rId54">
            <anchor moveWithCells="1">
              <from>
                <xdr:col>18</xdr:col>
                <xdr:colOff>120650</xdr:colOff>
                <xdr:row>11</xdr:row>
                <xdr:rowOff>146050</xdr:rowOff>
              </from>
              <to>
                <xdr:col>19</xdr:col>
                <xdr:colOff>260350</xdr:colOff>
                <xdr:row>13</xdr:row>
                <xdr:rowOff>101600</xdr:rowOff>
              </to>
            </anchor>
          </controlPr>
        </control>
      </mc:Choice>
      <mc:Fallback>
        <control shapeId="6170" r:id="rId53" name="CommandButton87"/>
      </mc:Fallback>
    </mc:AlternateContent>
    <mc:AlternateContent xmlns:mc="http://schemas.openxmlformats.org/markup-compatibility/2006">
      <mc:Choice Requires="x14">
        <control shapeId="6171" r:id="rId55" name="CommandButton88">
          <controlPr defaultSize="0" autoLine="0" r:id="rId56">
            <anchor moveWithCells="1">
              <from>
                <xdr:col>19</xdr:col>
                <xdr:colOff>260350</xdr:colOff>
                <xdr:row>11</xdr:row>
                <xdr:rowOff>139700</xdr:rowOff>
              </from>
              <to>
                <xdr:col>20</xdr:col>
                <xdr:colOff>158750</xdr:colOff>
                <xdr:row>13</xdr:row>
                <xdr:rowOff>95250</xdr:rowOff>
              </to>
            </anchor>
          </controlPr>
        </control>
      </mc:Choice>
      <mc:Fallback>
        <control shapeId="6171" r:id="rId55" name="CommandButton88"/>
      </mc:Fallback>
    </mc:AlternateContent>
    <mc:AlternateContent xmlns:mc="http://schemas.openxmlformats.org/markup-compatibility/2006">
      <mc:Choice Requires="x14">
        <control shapeId="6172" r:id="rId57" name="CommandButton89">
          <controlPr defaultSize="0" autoLine="0" r:id="rId58">
            <anchor moveWithCells="1">
              <from>
                <xdr:col>20</xdr:col>
                <xdr:colOff>158750</xdr:colOff>
                <xdr:row>11</xdr:row>
                <xdr:rowOff>139700</xdr:rowOff>
              </from>
              <to>
                <xdr:col>21</xdr:col>
                <xdr:colOff>57150</xdr:colOff>
                <xdr:row>13</xdr:row>
                <xdr:rowOff>95250</xdr:rowOff>
              </to>
            </anchor>
          </controlPr>
        </control>
      </mc:Choice>
      <mc:Fallback>
        <control shapeId="6172" r:id="rId57" name="CommandButton89"/>
      </mc:Fallback>
    </mc:AlternateContent>
    <mc:AlternateContent xmlns:mc="http://schemas.openxmlformats.org/markup-compatibility/2006">
      <mc:Choice Requires="x14">
        <control shapeId="6173" r:id="rId59" name="CommandButton90">
          <controlPr defaultSize="0" autoLine="0" r:id="rId60">
            <anchor moveWithCells="1">
              <from>
                <xdr:col>21</xdr:col>
                <xdr:colOff>57150</xdr:colOff>
                <xdr:row>11</xdr:row>
                <xdr:rowOff>139700</xdr:rowOff>
              </from>
              <to>
                <xdr:col>21</xdr:col>
                <xdr:colOff>603250</xdr:colOff>
                <xdr:row>13</xdr:row>
                <xdr:rowOff>95250</xdr:rowOff>
              </to>
            </anchor>
          </controlPr>
        </control>
      </mc:Choice>
      <mc:Fallback>
        <control shapeId="6173" r:id="rId59" name="CommandButton90"/>
      </mc:Fallback>
    </mc:AlternateContent>
    <mc:AlternateContent xmlns:mc="http://schemas.openxmlformats.org/markup-compatibility/2006">
      <mc:Choice Requires="x14">
        <control shapeId="6175" r:id="rId61" name="CommandButtonGotoSettings">
          <controlPr defaultSize="0" autoLine="0" r:id="rId62">
            <anchor moveWithCells="1">
              <from>
                <xdr:col>1</xdr:col>
                <xdr:colOff>50800</xdr:colOff>
                <xdr:row>9</xdr:row>
                <xdr:rowOff>120650</xdr:rowOff>
              </from>
              <to>
                <xdr:col>2</xdr:col>
                <xdr:colOff>469900</xdr:colOff>
                <xdr:row>11</xdr:row>
                <xdr:rowOff>171450</xdr:rowOff>
              </to>
            </anchor>
          </controlPr>
        </control>
      </mc:Choice>
      <mc:Fallback>
        <control shapeId="6175" r:id="rId61" name="CommandButtonGotoSettings"/>
      </mc:Fallback>
    </mc:AlternateContent>
    <mc:AlternateContent xmlns:mc="http://schemas.openxmlformats.org/markup-compatibility/2006">
      <mc:Choice Requires="x14">
        <control shapeId="6176" r:id="rId63" name="SpinButtonRotorGreek">
          <controlPr defaultSize="0" autoLine="0" linkedCell="E5" r:id="rId17">
            <anchor moveWithCells="1">
              <from>
                <xdr:col>5</xdr:col>
                <xdr:colOff>6350</xdr:colOff>
                <xdr:row>4</xdr:row>
                <xdr:rowOff>0</xdr:rowOff>
              </from>
              <to>
                <xdr:col>5</xdr:col>
                <xdr:colOff>234950</xdr:colOff>
                <xdr:row>6</xdr:row>
                <xdr:rowOff>0</xdr:rowOff>
              </to>
            </anchor>
          </controlPr>
        </control>
      </mc:Choice>
      <mc:Fallback>
        <control shapeId="6176" r:id="rId63" name="SpinButtonRotorGreek"/>
      </mc:Fallback>
    </mc:AlternateContent>
    <mc:AlternateContent xmlns:mc="http://schemas.openxmlformats.org/markup-compatibility/2006">
      <mc:Choice Requires="x14">
        <control shapeId="6179" r:id="rId64" name="CommandButtonGoBack">
          <controlPr defaultSize="0" autoLine="0" r:id="rId65">
            <anchor moveWithCells="1">
              <from>
                <xdr:col>24</xdr:col>
                <xdr:colOff>266700</xdr:colOff>
                <xdr:row>9</xdr:row>
                <xdr:rowOff>120650</xdr:rowOff>
              </from>
              <to>
                <xdr:col>25</xdr:col>
                <xdr:colOff>165100</xdr:colOff>
                <xdr:row>11</xdr:row>
                <xdr:rowOff>76200</xdr:rowOff>
              </to>
            </anchor>
          </controlPr>
        </control>
      </mc:Choice>
      <mc:Fallback>
        <control shapeId="6179" r:id="rId64" name="CommandButtonGoBac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R9"/>
  <sheetViews>
    <sheetView showGridLines="0" showRowColHeaders="0" workbookViewId="0"/>
  </sheetViews>
  <sheetFormatPr defaultRowHeight="14.5" zeroHeight="1" x14ac:dyDescent="0.35"/>
  <cols>
    <col min="1" max="1" width="3.7265625" customWidth="1"/>
  </cols>
  <sheetData>
    <row r="1" spans="1:70" x14ac:dyDescent="0.35">
      <c r="A1" s="72"/>
      <c r="B1" s="80" t="str">
        <f>"Reflector: "&amp;LOWER(Settings!F4)</f>
        <v>Reflector: b</v>
      </c>
      <c r="C1" s="81"/>
      <c r="D1" s="81" t="str">
        <f>"Rotors: "&amp;nRotorGreek&amp;"/"&amp;nRotorLeft&amp;"/"&amp;nRotorMiddle&amp;"/"&amp;nRotorRight</f>
        <v>Rotors: B/4/3/2</v>
      </c>
      <c r="E1" s="81"/>
      <c r="F1" s="81" t="str">
        <f>"Rings: "&amp;nRingSettingGreek&amp;"/"&amp;nRingSettingLeft&amp;"/"&amp;nRingSettingMiddle&amp;"/"&amp;nRingSettingRight</f>
        <v>Rings: 1/16/11/6</v>
      </c>
      <c r="G1" s="81"/>
      <c r="H1" s="81" t="str">
        <f>"Initials: "&amp;Settings!F14&amp;"/"&amp;Settings!I14&amp;"/"&amp;Settings!L14&amp;"/"&amp;Settings!O14</f>
        <v>Initials: A/P/I/K</v>
      </c>
      <c r="I1" s="81"/>
      <c r="J1" s="81" t="str">
        <f>"Plugs: "&amp;nPlug01&amp;"/"&amp;nPlug02&amp;"/"&amp;nPlug03&amp;"/"&amp;nPlug04&amp;"/"&amp;nPlug05&amp;"/"&amp;nPlug06&amp;"/"&amp;nPlug07&amp;"/"&amp;nPlug08&amp;"/"&amp;nPlug09&amp;"/"&amp;nPlug10</f>
        <v>Plugs: CY/EL/FH/GS/IJ/KQ/MW/PV/RZ/TU</v>
      </c>
      <c r="K1" s="81"/>
      <c r="L1" s="81"/>
      <c r="M1" s="81"/>
      <c r="N1" s="8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</row>
    <row r="2" spans="1:70" x14ac:dyDescent="0.35">
      <c r="A2" s="72"/>
      <c r="B2" s="84" t="s">
        <v>140</v>
      </c>
      <c r="C2" s="57" t="s">
        <v>162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</row>
    <row r="3" spans="1:70" ht="15" x14ac:dyDescent="0.4">
      <c r="A3" s="69"/>
      <c r="B3" s="73" t="s">
        <v>87</v>
      </c>
      <c r="C3" s="57" t="s">
        <v>163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</row>
    <row r="4" spans="1:70" ht="15" x14ac:dyDescent="0.4">
      <c r="A4" s="69"/>
      <c r="B4" s="71" t="s">
        <v>88</v>
      </c>
      <c r="C4" s="57" t="s">
        <v>165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</row>
    <row r="5" spans="1:70" ht="15" x14ac:dyDescent="0.4">
      <c r="A5" s="69"/>
      <c r="B5" s="71" t="s">
        <v>89</v>
      </c>
      <c r="C5" s="57" t="s">
        <v>167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</row>
    <row r="6" spans="1:70" ht="15" x14ac:dyDescent="0.4">
      <c r="A6" s="69"/>
      <c r="B6" s="70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</row>
    <row r="7" spans="1:70" ht="15" x14ac:dyDescent="0.4">
      <c r="A7" s="69"/>
      <c r="B7" s="71" t="s">
        <v>90</v>
      </c>
      <c r="C7" s="57" t="s">
        <v>169</v>
      </c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</row>
    <row r="8" spans="1:70" x14ac:dyDescent="0.35">
      <c r="A8" s="58"/>
      <c r="B8" s="71" t="s">
        <v>91</v>
      </c>
      <c r="C8" s="57" t="s">
        <v>171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</row>
    <row r="9" spans="1:70" x14ac:dyDescent="0.3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</row>
  </sheetData>
  <sheetProtection sheet="1" objects="1" scenario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&amp;L&amp;F   &amp;D&amp;C&amp;P/&amp;N&amp;R&amp;A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4"/>
  <dimension ref="A1:S80"/>
  <sheetViews>
    <sheetView showGridLines="0" showRowColHeaders="0" workbookViewId="0">
      <selection sqref="A1:B1"/>
    </sheetView>
  </sheetViews>
  <sheetFormatPr defaultColWidth="0" defaultRowHeight="14.5" zeroHeight="1" x14ac:dyDescent="0.35"/>
  <cols>
    <col min="1" max="15" width="5.7265625" customWidth="1"/>
    <col min="16" max="19" width="9.1796875" customWidth="1"/>
    <col min="20" max="16384" width="9.1796875" hidden="1"/>
  </cols>
  <sheetData>
    <row r="1" spans="1:18" x14ac:dyDescent="0.35">
      <c r="A1" s="93" t="s">
        <v>27</v>
      </c>
      <c r="B1" s="94"/>
      <c r="D1" s="93" t="s">
        <v>28</v>
      </c>
      <c r="E1" s="94"/>
      <c r="G1" s="93" t="s">
        <v>26</v>
      </c>
      <c r="H1" s="95"/>
      <c r="I1" s="95"/>
      <c r="J1" s="95"/>
      <c r="K1" s="94"/>
      <c r="M1" s="93" t="s">
        <v>29</v>
      </c>
      <c r="N1" s="95"/>
      <c r="O1" s="94"/>
      <c r="Q1" s="93" t="s">
        <v>59</v>
      </c>
      <c r="R1" s="94"/>
    </row>
    <row r="2" spans="1:18" x14ac:dyDescent="0.35">
      <c r="A2" s="2">
        <v>1</v>
      </c>
      <c r="B2" s="2" t="s">
        <v>1</v>
      </c>
      <c r="D2" s="2" t="s">
        <v>1</v>
      </c>
      <c r="E2" s="2">
        <v>1</v>
      </c>
      <c r="G2" s="2" t="s">
        <v>1</v>
      </c>
      <c r="H2" s="2">
        <v>1</v>
      </c>
      <c r="I2" s="3">
        <f>H2-1</f>
        <v>0</v>
      </c>
      <c r="J2" s="3">
        <f>27-I2</f>
        <v>27</v>
      </c>
      <c r="K2" s="4">
        <f>IF(J2&gt;26,J2-26,J2)</f>
        <v>1</v>
      </c>
      <c r="M2" s="2" t="s">
        <v>125</v>
      </c>
      <c r="N2" s="2" t="s">
        <v>16</v>
      </c>
      <c r="O2" s="2" t="s">
        <v>17</v>
      </c>
      <c r="Q2" s="4" t="str">
        <f>UPPER(LEFT(nPlug01,1))</f>
        <v>C</v>
      </c>
      <c r="R2" s="4" t="str">
        <f>UPPER(RIGHT(nPlug01,1))</f>
        <v>Y</v>
      </c>
    </row>
    <row r="3" spans="1:18" x14ac:dyDescent="0.35">
      <c r="A3" s="2">
        <v>2</v>
      </c>
      <c r="B3" s="2" t="s">
        <v>0</v>
      </c>
      <c r="D3" s="2" t="s">
        <v>0</v>
      </c>
      <c r="E3" s="2">
        <v>2</v>
      </c>
      <c r="G3" s="2" t="s">
        <v>0</v>
      </c>
      <c r="H3" s="2">
        <v>2</v>
      </c>
      <c r="I3" s="3">
        <f t="shared" ref="I3:I27" si="0">H3-1</f>
        <v>1</v>
      </c>
      <c r="J3" s="3">
        <f t="shared" ref="J3:J27" si="1">27-I3</f>
        <v>26</v>
      </c>
      <c r="K3" s="4">
        <f t="shared" ref="K3:K27" si="2">IF(J3&gt;26,J3-26,J3)</f>
        <v>26</v>
      </c>
      <c r="M3" s="2" t="s">
        <v>124</v>
      </c>
      <c r="N3" s="2" t="s">
        <v>16</v>
      </c>
      <c r="O3" s="2" t="s">
        <v>17</v>
      </c>
      <c r="Q3" s="4" t="str">
        <f>R2</f>
        <v>Y</v>
      </c>
      <c r="R3" s="4" t="str">
        <f>Q2</f>
        <v>C</v>
      </c>
    </row>
    <row r="4" spans="1:18" x14ac:dyDescent="0.35">
      <c r="A4" s="2">
        <v>3</v>
      </c>
      <c r="B4" s="2" t="s">
        <v>2</v>
      </c>
      <c r="D4" s="2" t="s">
        <v>2</v>
      </c>
      <c r="E4" s="2">
        <v>3</v>
      </c>
      <c r="G4" s="2" t="s">
        <v>2</v>
      </c>
      <c r="H4" s="2">
        <v>3</v>
      </c>
      <c r="I4" s="3">
        <f t="shared" si="0"/>
        <v>2</v>
      </c>
      <c r="J4" s="3">
        <f t="shared" si="1"/>
        <v>25</v>
      </c>
      <c r="K4" s="4">
        <f t="shared" si="2"/>
        <v>25</v>
      </c>
      <c r="M4" s="2" t="s">
        <v>127</v>
      </c>
      <c r="N4" s="2" t="s">
        <v>4</v>
      </c>
      <c r="O4" s="2" t="s">
        <v>5</v>
      </c>
      <c r="Q4" s="4" t="str">
        <f>UPPER(LEFT(nPlug02,1))</f>
        <v>E</v>
      </c>
      <c r="R4" s="4" t="str">
        <f>UPPER(RIGHT(nPlug02,1))</f>
        <v>L</v>
      </c>
    </row>
    <row r="5" spans="1:18" x14ac:dyDescent="0.35">
      <c r="A5" s="2">
        <v>4</v>
      </c>
      <c r="B5" s="2" t="s">
        <v>3</v>
      </c>
      <c r="D5" s="2" t="s">
        <v>3</v>
      </c>
      <c r="E5" s="2">
        <v>4</v>
      </c>
      <c r="G5" s="2" t="s">
        <v>3</v>
      </c>
      <c r="H5" s="2">
        <v>4</v>
      </c>
      <c r="I5" s="3">
        <f t="shared" si="0"/>
        <v>3</v>
      </c>
      <c r="J5" s="3">
        <f t="shared" si="1"/>
        <v>24</v>
      </c>
      <c r="K5" s="4">
        <f t="shared" si="2"/>
        <v>24</v>
      </c>
      <c r="M5" s="2" t="s">
        <v>126</v>
      </c>
      <c r="N5" s="2" t="s">
        <v>4</v>
      </c>
      <c r="O5" s="2" t="s">
        <v>5</v>
      </c>
      <c r="Q5" s="4" t="str">
        <f>R4</f>
        <v>L</v>
      </c>
      <c r="R5" s="4" t="str">
        <f>Q4</f>
        <v>E</v>
      </c>
    </row>
    <row r="6" spans="1:18" x14ac:dyDescent="0.35">
      <c r="A6" s="2">
        <v>5</v>
      </c>
      <c r="B6" s="2" t="s">
        <v>4</v>
      </c>
      <c r="D6" s="2" t="s">
        <v>4</v>
      </c>
      <c r="E6" s="2">
        <v>5</v>
      </c>
      <c r="G6" s="2" t="s">
        <v>4</v>
      </c>
      <c r="H6" s="2">
        <v>5</v>
      </c>
      <c r="I6" s="3">
        <f t="shared" si="0"/>
        <v>4</v>
      </c>
      <c r="J6" s="3">
        <f t="shared" si="1"/>
        <v>23</v>
      </c>
      <c r="K6" s="4">
        <f t="shared" si="2"/>
        <v>23</v>
      </c>
      <c r="M6" s="2" t="s">
        <v>123</v>
      </c>
      <c r="N6" s="2" t="s">
        <v>21</v>
      </c>
      <c r="O6" s="2" t="s">
        <v>22</v>
      </c>
      <c r="Q6" s="4" t="str">
        <f>UPPER(LEFT(nPlug03,1))</f>
        <v>F</v>
      </c>
      <c r="R6" s="4" t="str">
        <f>UPPER(RIGHT(nPlug03,1))</f>
        <v>H</v>
      </c>
    </row>
    <row r="7" spans="1:18" x14ac:dyDescent="0.35">
      <c r="A7" s="2">
        <v>6</v>
      </c>
      <c r="B7" s="2" t="s">
        <v>5</v>
      </c>
      <c r="D7" s="2" t="s">
        <v>5</v>
      </c>
      <c r="E7" s="2">
        <v>6</v>
      </c>
      <c r="G7" s="2" t="s">
        <v>5</v>
      </c>
      <c r="H7" s="2">
        <v>6</v>
      </c>
      <c r="I7" s="3">
        <f t="shared" si="0"/>
        <v>5</v>
      </c>
      <c r="J7" s="3">
        <f t="shared" si="1"/>
        <v>22</v>
      </c>
      <c r="K7" s="4">
        <f t="shared" si="2"/>
        <v>22</v>
      </c>
      <c r="M7" s="2" t="s">
        <v>122</v>
      </c>
      <c r="N7" s="2" t="s">
        <v>21</v>
      </c>
      <c r="O7" s="2" t="s">
        <v>22</v>
      </c>
      <c r="Q7" s="4" t="str">
        <f>R6</f>
        <v>H</v>
      </c>
      <c r="R7" s="4" t="str">
        <f>Q6</f>
        <v>F</v>
      </c>
    </row>
    <row r="8" spans="1:18" x14ac:dyDescent="0.35">
      <c r="A8" s="2">
        <v>7</v>
      </c>
      <c r="B8" s="2" t="s">
        <v>6</v>
      </c>
      <c r="D8" s="2" t="s">
        <v>6</v>
      </c>
      <c r="E8" s="2">
        <v>7</v>
      </c>
      <c r="G8" s="2" t="s">
        <v>6</v>
      </c>
      <c r="H8" s="2">
        <v>7</v>
      </c>
      <c r="I8" s="3">
        <f t="shared" si="0"/>
        <v>6</v>
      </c>
      <c r="J8" s="3">
        <f t="shared" si="1"/>
        <v>21</v>
      </c>
      <c r="K8" s="4">
        <f t="shared" si="2"/>
        <v>21</v>
      </c>
      <c r="M8" s="2" t="s">
        <v>129</v>
      </c>
      <c r="N8" s="2" t="s">
        <v>9</v>
      </c>
      <c r="O8" s="2" t="s">
        <v>10</v>
      </c>
      <c r="Q8" s="4" t="str">
        <f>UPPER(LEFT(nPlug04,1))</f>
        <v>G</v>
      </c>
      <c r="R8" s="4" t="str">
        <f>UPPER(RIGHT(nPlug04,1))</f>
        <v>S</v>
      </c>
    </row>
    <row r="9" spans="1:18" x14ac:dyDescent="0.35">
      <c r="A9" s="2">
        <v>8</v>
      </c>
      <c r="B9" s="2" t="s">
        <v>7</v>
      </c>
      <c r="D9" s="2" t="s">
        <v>7</v>
      </c>
      <c r="E9" s="2">
        <v>8</v>
      </c>
      <c r="G9" s="2" t="s">
        <v>7</v>
      </c>
      <c r="H9" s="2">
        <v>8</v>
      </c>
      <c r="I9" s="3">
        <f t="shared" si="0"/>
        <v>7</v>
      </c>
      <c r="J9" s="3">
        <f t="shared" si="1"/>
        <v>20</v>
      </c>
      <c r="K9" s="4">
        <f t="shared" si="2"/>
        <v>20</v>
      </c>
      <c r="M9" s="2" t="s">
        <v>128</v>
      </c>
      <c r="N9" s="2" t="s">
        <v>9</v>
      </c>
      <c r="O9" s="2" t="s">
        <v>10</v>
      </c>
      <c r="Q9" s="4" t="str">
        <f>R8</f>
        <v>S</v>
      </c>
      <c r="R9" s="4" t="str">
        <f>Q8</f>
        <v>G</v>
      </c>
    </row>
    <row r="10" spans="1:18" x14ac:dyDescent="0.35">
      <c r="A10" s="2">
        <v>9</v>
      </c>
      <c r="B10" s="2" t="s">
        <v>8</v>
      </c>
      <c r="D10" s="2" t="s">
        <v>8</v>
      </c>
      <c r="E10" s="2">
        <v>9</v>
      </c>
      <c r="G10" s="2" t="s">
        <v>8</v>
      </c>
      <c r="H10" s="2">
        <v>9</v>
      </c>
      <c r="I10" s="3">
        <f t="shared" si="0"/>
        <v>8</v>
      </c>
      <c r="J10" s="3">
        <f t="shared" si="1"/>
        <v>19</v>
      </c>
      <c r="K10" s="4">
        <f t="shared" si="2"/>
        <v>19</v>
      </c>
      <c r="M10" s="2" t="s">
        <v>131</v>
      </c>
      <c r="N10" s="2" t="s">
        <v>25</v>
      </c>
      <c r="O10" s="2" t="s">
        <v>1</v>
      </c>
      <c r="Q10" s="4" t="str">
        <f>UPPER(LEFT(nPlug05,1))</f>
        <v>I</v>
      </c>
      <c r="R10" s="4" t="str">
        <f>UPPER(RIGHT(nPlug05,1))</f>
        <v>J</v>
      </c>
    </row>
    <row r="11" spans="1:18" x14ac:dyDescent="0.35">
      <c r="A11" s="2">
        <v>10</v>
      </c>
      <c r="B11" s="2" t="s">
        <v>9</v>
      </c>
      <c r="D11" s="2" t="s">
        <v>9</v>
      </c>
      <c r="E11" s="2">
        <v>10</v>
      </c>
      <c r="G11" s="2" t="s">
        <v>9</v>
      </c>
      <c r="H11" s="2">
        <v>10</v>
      </c>
      <c r="I11" s="3">
        <f t="shared" si="0"/>
        <v>9</v>
      </c>
      <c r="J11" s="3">
        <f t="shared" si="1"/>
        <v>18</v>
      </c>
      <c r="K11" s="4">
        <f t="shared" si="2"/>
        <v>18</v>
      </c>
      <c r="M11" s="2" t="s">
        <v>130</v>
      </c>
      <c r="N11" s="2" t="s">
        <v>25</v>
      </c>
      <c r="O11" s="2" t="s">
        <v>1</v>
      </c>
      <c r="Q11" s="4" t="str">
        <f>R10</f>
        <v>J</v>
      </c>
      <c r="R11" s="4" t="str">
        <f>Q10</f>
        <v>I</v>
      </c>
    </row>
    <row r="12" spans="1:18" x14ac:dyDescent="0.35">
      <c r="A12" s="2">
        <v>11</v>
      </c>
      <c r="B12" s="2" t="s">
        <v>10</v>
      </c>
      <c r="D12" s="2" t="s">
        <v>10</v>
      </c>
      <c r="E12" s="2">
        <v>11</v>
      </c>
      <c r="G12" s="2" t="s">
        <v>10</v>
      </c>
      <c r="H12" s="2">
        <v>11</v>
      </c>
      <c r="I12" s="3">
        <f t="shared" si="0"/>
        <v>10</v>
      </c>
      <c r="J12" s="3">
        <f t="shared" si="1"/>
        <v>17</v>
      </c>
      <c r="K12" s="4">
        <f t="shared" si="2"/>
        <v>17</v>
      </c>
      <c r="M12" s="2" t="s">
        <v>132</v>
      </c>
      <c r="N12" s="2" t="s">
        <v>12</v>
      </c>
      <c r="O12" s="2" t="s">
        <v>13</v>
      </c>
      <c r="Q12" s="4" t="str">
        <f>UPPER(LEFT(nPlug06,1))</f>
        <v>K</v>
      </c>
      <c r="R12" s="4" t="str">
        <f>UPPER(RIGHT(nPlug06,1))</f>
        <v>Q</v>
      </c>
    </row>
    <row r="13" spans="1:18" x14ac:dyDescent="0.35">
      <c r="A13" s="2">
        <v>12</v>
      </c>
      <c r="B13" s="2" t="s">
        <v>11</v>
      </c>
      <c r="D13" s="2" t="s">
        <v>11</v>
      </c>
      <c r="E13" s="2">
        <v>12</v>
      </c>
      <c r="G13" s="2" t="s">
        <v>11</v>
      </c>
      <c r="H13" s="2">
        <v>12</v>
      </c>
      <c r="I13" s="3">
        <f t="shared" si="0"/>
        <v>11</v>
      </c>
      <c r="J13" s="3">
        <f t="shared" si="1"/>
        <v>16</v>
      </c>
      <c r="K13" s="4">
        <f t="shared" si="2"/>
        <v>16</v>
      </c>
      <c r="M13" s="2" t="s">
        <v>133</v>
      </c>
      <c r="N13" s="2" t="s">
        <v>25</v>
      </c>
      <c r="O13" s="2" t="s">
        <v>1</v>
      </c>
      <c r="Q13" s="4" t="str">
        <f>R12</f>
        <v>Q</v>
      </c>
      <c r="R13" s="4" t="str">
        <f>Q12</f>
        <v>K</v>
      </c>
    </row>
    <row r="14" spans="1:18" x14ac:dyDescent="0.35">
      <c r="A14" s="2">
        <v>13</v>
      </c>
      <c r="B14" s="2" t="s">
        <v>12</v>
      </c>
      <c r="D14" s="2" t="s">
        <v>12</v>
      </c>
      <c r="E14" s="2">
        <v>13</v>
      </c>
      <c r="G14" s="2" t="s">
        <v>12</v>
      </c>
      <c r="H14" s="2">
        <v>13</v>
      </c>
      <c r="I14" s="3">
        <f t="shared" si="0"/>
        <v>12</v>
      </c>
      <c r="J14" s="3">
        <f t="shared" si="1"/>
        <v>15</v>
      </c>
      <c r="K14" s="4">
        <f t="shared" si="2"/>
        <v>15</v>
      </c>
      <c r="M14" s="2" t="s">
        <v>134</v>
      </c>
      <c r="N14" s="2" t="s">
        <v>12</v>
      </c>
      <c r="O14" s="2" t="s">
        <v>13</v>
      </c>
      <c r="Q14" s="4" t="str">
        <f>UPPER(LEFT(nPlug07,1))</f>
        <v>M</v>
      </c>
      <c r="R14" s="4" t="str">
        <f>UPPER(RIGHT(nPlug07,1))</f>
        <v>W</v>
      </c>
    </row>
    <row r="15" spans="1:18" x14ac:dyDescent="0.35">
      <c r="A15" s="2">
        <v>14</v>
      </c>
      <c r="B15" s="2" t="s">
        <v>13</v>
      </c>
      <c r="D15" s="2" t="s">
        <v>13</v>
      </c>
      <c r="E15" s="2">
        <v>14</v>
      </c>
      <c r="G15" s="2" t="s">
        <v>13</v>
      </c>
      <c r="H15" s="2">
        <v>14</v>
      </c>
      <c r="I15" s="3">
        <f t="shared" si="0"/>
        <v>13</v>
      </c>
      <c r="J15" s="3">
        <f t="shared" si="1"/>
        <v>14</v>
      </c>
      <c r="K15" s="4">
        <f t="shared" si="2"/>
        <v>14</v>
      </c>
      <c r="M15" s="2" t="s">
        <v>135</v>
      </c>
      <c r="N15" s="2" t="s">
        <v>25</v>
      </c>
      <c r="O15" s="2" t="s">
        <v>1</v>
      </c>
      <c r="Q15" s="4" t="str">
        <f>R14</f>
        <v>W</v>
      </c>
      <c r="R15" s="4" t="str">
        <f>Q14</f>
        <v>M</v>
      </c>
    </row>
    <row r="16" spans="1:18" x14ac:dyDescent="0.35">
      <c r="A16" s="2">
        <v>15</v>
      </c>
      <c r="B16" s="2" t="s">
        <v>14</v>
      </c>
      <c r="D16" s="2" t="s">
        <v>14</v>
      </c>
      <c r="E16" s="2">
        <v>15</v>
      </c>
      <c r="G16" s="2" t="s">
        <v>14</v>
      </c>
      <c r="H16" s="2">
        <v>15</v>
      </c>
      <c r="I16" s="3">
        <f t="shared" si="0"/>
        <v>14</v>
      </c>
      <c r="J16" s="3">
        <f t="shared" si="1"/>
        <v>13</v>
      </c>
      <c r="K16" s="4">
        <f t="shared" si="2"/>
        <v>13</v>
      </c>
      <c r="M16" s="2" t="s">
        <v>136</v>
      </c>
      <c r="N16" s="2" t="s">
        <v>12</v>
      </c>
      <c r="O16" s="2" t="s">
        <v>13</v>
      </c>
      <c r="Q16" s="4" t="str">
        <f>UPPER(LEFT(nPlug08,1))</f>
        <v>P</v>
      </c>
      <c r="R16" s="4" t="str">
        <f>UPPER(RIGHT(nPlug08,1))</f>
        <v>V</v>
      </c>
    </row>
    <row r="17" spans="1:18" x14ac:dyDescent="0.35">
      <c r="A17" s="2">
        <v>16</v>
      </c>
      <c r="B17" s="2" t="s">
        <v>15</v>
      </c>
      <c r="D17" s="2" t="s">
        <v>15</v>
      </c>
      <c r="E17" s="2">
        <v>16</v>
      </c>
      <c r="G17" s="2" t="s">
        <v>15</v>
      </c>
      <c r="H17" s="2">
        <v>16</v>
      </c>
      <c r="I17" s="3">
        <f t="shared" si="0"/>
        <v>15</v>
      </c>
      <c r="J17" s="3">
        <f t="shared" si="1"/>
        <v>12</v>
      </c>
      <c r="K17" s="4">
        <f t="shared" si="2"/>
        <v>12</v>
      </c>
      <c r="M17" s="2" t="s">
        <v>137</v>
      </c>
      <c r="N17" s="2" t="s">
        <v>25</v>
      </c>
      <c r="O17" s="2" t="s">
        <v>1</v>
      </c>
      <c r="Q17" s="4" t="str">
        <f>R16</f>
        <v>V</v>
      </c>
      <c r="R17" s="4" t="str">
        <f>Q16</f>
        <v>P</v>
      </c>
    </row>
    <row r="18" spans="1:18" x14ac:dyDescent="0.35">
      <c r="A18" s="2">
        <v>17</v>
      </c>
      <c r="B18" s="2" t="s">
        <v>16</v>
      </c>
      <c r="D18" s="2" t="s">
        <v>16</v>
      </c>
      <c r="E18" s="2">
        <v>17</v>
      </c>
      <c r="G18" s="2" t="s">
        <v>16</v>
      </c>
      <c r="H18" s="2">
        <v>17</v>
      </c>
      <c r="I18" s="3">
        <f t="shared" si="0"/>
        <v>16</v>
      </c>
      <c r="J18" s="3">
        <f t="shared" si="1"/>
        <v>11</v>
      </c>
      <c r="K18" s="4">
        <f t="shared" si="2"/>
        <v>11</v>
      </c>
      <c r="Q18" s="4" t="str">
        <f>UPPER(LEFT(nPlug09,1))</f>
        <v>R</v>
      </c>
      <c r="R18" s="4" t="str">
        <f>UPPER(RIGHT(nPlug09,1))</f>
        <v>Z</v>
      </c>
    </row>
    <row r="19" spans="1:18" x14ac:dyDescent="0.35">
      <c r="A19" s="2">
        <v>18</v>
      </c>
      <c r="B19" s="2" t="s">
        <v>17</v>
      </c>
      <c r="D19" s="2" t="s">
        <v>17</v>
      </c>
      <c r="E19" s="2">
        <v>18</v>
      </c>
      <c r="G19" s="2" t="s">
        <v>17</v>
      </c>
      <c r="H19" s="2">
        <v>18</v>
      </c>
      <c r="I19" s="3">
        <f t="shared" si="0"/>
        <v>17</v>
      </c>
      <c r="J19" s="3">
        <f t="shared" si="1"/>
        <v>10</v>
      </c>
      <c r="K19" s="4">
        <f t="shared" si="2"/>
        <v>10</v>
      </c>
      <c r="M19" s="93" t="s">
        <v>98</v>
      </c>
      <c r="N19" s="94"/>
      <c r="Q19" s="4" t="str">
        <f>R18</f>
        <v>Z</v>
      </c>
      <c r="R19" s="4" t="str">
        <f>Q18</f>
        <v>R</v>
      </c>
    </row>
    <row r="20" spans="1:18" x14ac:dyDescent="0.35">
      <c r="A20" s="2">
        <v>19</v>
      </c>
      <c r="B20" s="2" t="s">
        <v>18</v>
      </c>
      <c r="D20" s="2" t="s">
        <v>18</v>
      </c>
      <c r="E20" s="2">
        <v>19</v>
      </c>
      <c r="G20" s="2" t="s">
        <v>18</v>
      </c>
      <c r="H20" s="2">
        <v>19</v>
      </c>
      <c r="I20" s="3">
        <f t="shared" si="0"/>
        <v>18</v>
      </c>
      <c r="J20" s="3">
        <f t="shared" si="1"/>
        <v>9</v>
      </c>
      <c r="K20" s="4">
        <f t="shared" si="2"/>
        <v>9</v>
      </c>
      <c r="M20" s="2" t="s">
        <v>93</v>
      </c>
      <c r="N20" s="2" t="s">
        <v>17</v>
      </c>
      <c r="Q20" s="4" t="str">
        <f>UPPER(LEFT(nPlug10,1))</f>
        <v>T</v>
      </c>
      <c r="R20" s="4" t="str">
        <f>UPPER(RIGHT(nPlug10,1))</f>
        <v>U</v>
      </c>
    </row>
    <row r="21" spans="1:18" x14ac:dyDescent="0.35">
      <c r="A21" s="2">
        <v>20</v>
      </c>
      <c r="B21" s="2" t="s">
        <v>19</v>
      </c>
      <c r="D21" s="2" t="s">
        <v>19</v>
      </c>
      <c r="E21" s="2">
        <v>20</v>
      </c>
      <c r="G21" s="2" t="s">
        <v>19</v>
      </c>
      <c r="H21" s="2">
        <v>20</v>
      </c>
      <c r="I21" s="3">
        <f t="shared" si="0"/>
        <v>19</v>
      </c>
      <c r="J21" s="3">
        <f t="shared" si="1"/>
        <v>8</v>
      </c>
      <c r="K21" s="4">
        <f t="shared" si="2"/>
        <v>8</v>
      </c>
      <c r="M21" s="2" t="s">
        <v>94</v>
      </c>
      <c r="N21" s="2" t="s">
        <v>5</v>
      </c>
      <c r="Q21" s="4" t="str">
        <f>R20</f>
        <v>U</v>
      </c>
      <c r="R21" s="4" t="str">
        <f>Q20</f>
        <v>T</v>
      </c>
    </row>
    <row r="22" spans="1:18" x14ac:dyDescent="0.35">
      <c r="A22" s="2">
        <v>21</v>
      </c>
      <c r="B22" s="2" t="s">
        <v>20</v>
      </c>
      <c r="D22" s="2" t="s">
        <v>20</v>
      </c>
      <c r="E22" s="2">
        <v>21</v>
      </c>
      <c r="G22" s="2" t="s">
        <v>20</v>
      </c>
      <c r="H22" s="2">
        <v>21</v>
      </c>
      <c r="I22" s="3">
        <f t="shared" si="0"/>
        <v>20</v>
      </c>
      <c r="J22" s="3">
        <f t="shared" si="1"/>
        <v>7</v>
      </c>
      <c r="K22" s="4">
        <f t="shared" si="2"/>
        <v>7</v>
      </c>
      <c r="M22" s="2" t="s">
        <v>95</v>
      </c>
      <c r="N22" s="2" t="s">
        <v>22</v>
      </c>
    </row>
    <row r="23" spans="1:18" x14ac:dyDescent="0.35">
      <c r="A23" s="2">
        <v>22</v>
      </c>
      <c r="B23" s="2" t="s">
        <v>21</v>
      </c>
      <c r="D23" s="2" t="s">
        <v>21</v>
      </c>
      <c r="E23" s="2">
        <v>22</v>
      </c>
      <c r="G23" s="2" t="s">
        <v>21</v>
      </c>
      <c r="H23" s="2">
        <v>22</v>
      </c>
      <c r="I23" s="3">
        <f t="shared" si="0"/>
        <v>21</v>
      </c>
      <c r="J23" s="3">
        <f t="shared" si="1"/>
        <v>6</v>
      </c>
      <c r="K23" s="4">
        <f t="shared" si="2"/>
        <v>6</v>
      </c>
      <c r="M23" s="2" t="s">
        <v>96</v>
      </c>
      <c r="N23" s="2" t="s">
        <v>10</v>
      </c>
    </row>
    <row r="24" spans="1:18" x14ac:dyDescent="0.35">
      <c r="A24" s="2">
        <v>23</v>
      </c>
      <c r="B24" s="2" t="s">
        <v>22</v>
      </c>
      <c r="D24" s="2" t="s">
        <v>22</v>
      </c>
      <c r="E24" s="2">
        <v>23</v>
      </c>
      <c r="G24" s="2" t="s">
        <v>22</v>
      </c>
      <c r="H24" s="2">
        <v>23</v>
      </c>
      <c r="I24" s="3">
        <f t="shared" si="0"/>
        <v>22</v>
      </c>
      <c r="J24" s="3">
        <f t="shared" si="1"/>
        <v>5</v>
      </c>
      <c r="K24" s="4">
        <f t="shared" si="2"/>
        <v>5</v>
      </c>
      <c r="M24" s="2" t="s">
        <v>97</v>
      </c>
      <c r="N24" s="2" t="s">
        <v>1</v>
      </c>
    </row>
    <row r="25" spans="1:18" x14ac:dyDescent="0.35">
      <c r="A25" s="2">
        <v>24</v>
      </c>
      <c r="B25" s="2" t="s">
        <v>23</v>
      </c>
      <c r="D25" s="2" t="s">
        <v>23</v>
      </c>
      <c r="E25" s="2">
        <v>24</v>
      </c>
      <c r="G25" s="2" t="s">
        <v>23</v>
      </c>
      <c r="H25" s="2">
        <v>24</v>
      </c>
      <c r="I25" s="3">
        <f t="shared" si="0"/>
        <v>23</v>
      </c>
      <c r="J25" s="3">
        <f t="shared" si="1"/>
        <v>4</v>
      </c>
      <c r="K25" s="4">
        <f t="shared" si="2"/>
        <v>4</v>
      </c>
      <c r="M25" s="2" t="s">
        <v>116</v>
      </c>
      <c r="N25" s="2" t="s">
        <v>13</v>
      </c>
    </row>
    <row r="26" spans="1:18" x14ac:dyDescent="0.35">
      <c r="A26" s="2">
        <v>25</v>
      </c>
      <c r="B26" s="2" t="s">
        <v>24</v>
      </c>
      <c r="D26" s="2" t="s">
        <v>24</v>
      </c>
      <c r="E26" s="2">
        <v>25</v>
      </c>
      <c r="G26" s="2" t="s">
        <v>24</v>
      </c>
      <c r="H26" s="2">
        <v>25</v>
      </c>
      <c r="I26" s="3">
        <f t="shared" si="0"/>
        <v>24</v>
      </c>
      <c r="J26" s="3">
        <f t="shared" si="1"/>
        <v>3</v>
      </c>
      <c r="K26" s="4">
        <f t="shared" si="2"/>
        <v>3</v>
      </c>
      <c r="M26" s="2" t="s">
        <v>117</v>
      </c>
      <c r="N26" s="2" t="s">
        <v>1</v>
      </c>
    </row>
    <row r="27" spans="1:18" x14ac:dyDescent="0.35">
      <c r="A27" s="2">
        <v>26</v>
      </c>
      <c r="B27" s="2" t="s">
        <v>25</v>
      </c>
      <c r="D27" s="2" t="s">
        <v>25</v>
      </c>
      <c r="E27" s="2">
        <v>26</v>
      </c>
      <c r="G27" s="2" t="s">
        <v>25</v>
      </c>
      <c r="H27" s="2">
        <v>26</v>
      </c>
      <c r="I27" s="3">
        <f t="shared" si="0"/>
        <v>25</v>
      </c>
      <c r="J27" s="3">
        <f t="shared" si="1"/>
        <v>2</v>
      </c>
      <c r="K27" s="4">
        <f t="shared" si="2"/>
        <v>2</v>
      </c>
      <c r="M27" s="2" t="s">
        <v>118</v>
      </c>
      <c r="N27" s="2" t="s">
        <v>13</v>
      </c>
    </row>
    <row r="28" spans="1:18" x14ac:dyDescent="0.35">
      <c r="A28" s="2">
        <v>27</v>
      </c>
      <c r="B28" s="2" t="s">
        <v>1</v>
      </c>
      <c r="M28" s="2" t="s">
        <v>119</v>
      </c>
      <c r="N28" s="2" t="s">
        <v>1</v>
      </c>
    </row>
    <row r="29" spans="1:18" x14ac:dyDescent="0.35">
      <c r="A29" s="2">
        <v>28</v>
      </c>
      <c r="B29" s="2" t="s">
        <v>0</v>
      </c>
      <c r="M29" s="2" t="s">
        <v>120</v>
      </c>
      <c r="N29" s="2" t="s">
        <v>13</v>
      </c>
    </row>
    <row r="30" spans="1:18" x14ac:dyDescent="0.35">
      <c r="A30" s="2">
        <v>29</v>
      </c>
      <c r="B30" s="2" t="s">
        <v>2</v>
      </c>
      <c r="M30" s="2" t="s">
        <v>121</v>
      </c>
      <c r="N30" s="2" t="s">
        <v>1</v>
      </c>
    </row>
    <row r="31" spans="1:18" x14ac:dyDescent="0.35">
      <c r="A31" s="2">
        <v>30</v>
      </c>
      <c r="B31" s="2" t="s">
        <v>3</v>
      </c>
    </row>
    <row r="32" spans="1:18" x14ac:dyDescent="0.35">
      <c r="A32" s="2">
        <v>31</v>
      </c>
      <c r="B32" s="2" t="s">
        <v>4</v>
      </c>
    </row>
    <row r="33" spans="1:14" x14ac:dyDescent="0.35">
      <c r="A33" s="2">
        <v>32</v>
      </c>
      <c r="B33" s="2" t="s">
        <v>5</v>
      </c>
      <c r="M33" t="s">
        <v>148</v>
      </c>
      <c r="N33" t="str">
        <f>"-"</f>
        <v>-</v>
      </c>
    </row>
    <row r="34" spans="1:14" x14ac:dyDescent="0.35">
      <c r="A34" s="2">
        <v>33</v>
      </c>
      <c r="B34" s="2" t="s">
        <v>6</v>
      </c>
    </row>
    <row r="35" spans="1:14" x14ac:dyDescent="0.35">
      <c r="A35" s="2">
        <v>34</v>
      </c>
      <c r="B35" s="2" t="s">
        <v>7</v>
      </c>
    </row>
    <row r="36" spans="1:14" x14ac:dyDescent="0.35">
      <c r="A36" s="2">
        <v>35</v>
      </c>
      <c r="B36" s="2" t="s">
        <v>8</v>
      </c>
    </row>
    <row r="37" spans="1:14" x14ac:dyDescent="0.35">
      <c r="A37" s="2">
        <v>36</v>
      </c>
      <c r="B37" s="2" t="s">
        <v>9</v>
      </c>
    </row>
    <row r="38" spans="1:14" x14ac:dyDescent="0.35">
      <c r="A38" s="2">
        <v>37</v>
      </c>
      <c r="B38" s="2" t="s">
        <v>10</v>
      </c>
    </row>
    <row r="39" spans="1:14" x14ac:dyDescent="0.35">
      <c r="A39" s="2">
        <v>38</v>
      </c>
      <c r="B39" s="2" t="s">
        <v>11</v>
      </c>
    </row>
    <row r="40" spans="1:14" x14ac:dyDescent="0.35">
      <c r="A40" s="2">
        <v>39</v>
      </c>
      <c r="B40" s="2" t="s">
        <v>12</v>
      </c>
    </row>
    <row r="41" spans="1:14" x14ac:dyDescent="0.35">
      <c r="A41" s="2">
        <v>40</v>
      </c>
      <c r="B41" s="2" t="s">
        <v>13</v>
      </c>
    </row>
    <row r="42" spans="1:14" x14ac:dyDescent="0.35">
      <c r="A42" s="2">
        <v>41</v>
      </c>
      <c r="B42" s="2" t="s">
        <v>14</v>
      </c>
    </row>
    <row r="43" spans="1:14" x14ac:dyDescent="0.35">
      <c r="A43" s="2">
        <v>42</v>
      </c>
      <c r="B43" s="2" t="s">
        <v>15</v>
      </c>
    </row>
    <row r="44" spans="1:14" x14ac:dyDescent="0.35">
      <c r="A44" s="2">
        <v>43</v>
      </c>
      <c r="B44" s="2" t="s">
        <v>16</v>
      </c>
    </row>
    <row r="45" spans="1:14" x14ac:dyDescent="0.35">
      <c r="A45" s="2">
        <v>44</v>
      </c>
      <c r="B45" s="2" t="s">
        <v>17</v>
      </c>
    </row>
    <row r="46" spans="1:14" x14ac:dyDescent="0.35">
      <c r="A46" s="2">
        <v>45</v>
      </c>
      <c r="B46" s="2" t="s">
        <v>18</v>
      </c>
    </row>
    <row r="47" spans="1:14" x14ac:dyDescent="0.35">
      <c r="A47" s="2">
        <v>46</v>
      </c>
      <c r="B47" s="2" t="s">
        <v>19</v>
      </c>
    </row>
    <row r="48" spans="1:14" x14ac:dyDescent="0.35">
      <c r="A48" s="2">
        <v>47</v>
      </c>
      <c r="B48" s="2" t="s">
        <v>20</v>
      </c>
    </row>
    <row r="49" spans="1:2" x14ac:dyDescent="0.35">
      <c r="A49" s="2">
        <v>48</v>
      </c>
      <c r="B49" s="2" t="s">
        <v>21</v>
      </c>
    </row>
    <row r="50" spans="1:2" x14ac:dyDescent="0.35">
      <c r="A50" s="2">
        <v>49</v>
      </c>
      <c r="B50" s="2" t="s">
        <v>22</v>
      </c>
    </row>
    <row r="51" spans="1:2" x14ac:dyDescent="0.35">
      <c r="A51" s="2">
        <v>50</v>
      </c>
      <c r="B51" s="2" t="s">
        <v>23</v>
      </c>
    </row>
    <row r="52" spans="1:2" x14ac:dyDescent="0.35">
      <c r="A52" s="2">
        <v>51</v>
      </c>
      <c r="B52" s="2" t="s">
        <v>24</v>
      </c>
    </row>
    <row r="53" spans="1:2" x14ac:dyDescent="0.35">
      <c r="A53" s="2">
        <v>52</v>
      </c>
      <c r="B53" s="2" t="s">
        <v>25</v>
      </c>
    </row>
    <row r="54" spans="1:2" x14ac:dyDescent="0.35">
      <c r="A54" s="2">
        <v>53</v>
      </c>
      <c r="B54" s="2" t="s">
        <v>1</v>
      </c>
    </row>
    <row r="55" spans="1:2" x14ac:dyDescent="0.35">
      <c r="A55" s="2">
        <v>54</v>
      </c>
      <c r="B55" s="2" t="s">
        <v>0</v>
      </c>
    </row>
    <row r="56" spans="1:2" x14ac:dyDescent="0.35">
      <c r="A56" s="2">
        <v>55</v>
      </c>
      <c r="B56" s="2" t="s">
        <v>2</v>
      </c>
    </row>
    <row r="57" spans="1:2" x14ac:dyDescent="0.35">
      <c r="A57" s="2">
        <v>56</v>
      </c>
      <c r="B57" s="2" t="s">
        <v>3</v>
      </c>
    </row>
    <row r="58" spans="1:2" x14ac:dyDescent="0.35">
      <c r="A58" s="2">
        <v>57</v>
      </c>
      <c r="B58" s="2" t="s">
        <v>4</v>
      </c>
    </row>
    <row r="59" spans="1:2" x14ac:dyDescent="0.35">
      <c r="A59" s="2">
        <v>58</v>
      </c>
      <c r="B59" s="2" t="s">
        <v>5</v>
      </c>
    </row>
    <row r="60" spans="1:2" x14ac:dyDescent="0.35">
      <c r="A60" s="2">
        <v>59</v>
      </c>
      <c r="B60" s="2" t="s">
        <v>6</v>
      </c>
    </row>
    <row r="61" spans="1:2" x14ac:dyDescent="0.35">
      <c r="A61" s="2">
        <v>60</v>
      </c>
      <c r="B61" s="2" t="s">
        <v>7</v>
      </c>
    </row>
    <row r="62" spans="1:2" x14ac:dyDescent="0.35">
      <c r="A62" s="2">
        <v>61</v>
      </c>
      <c r="B62" s="2" t="s">
        <v>8</v>
      </c>
    </row>
    <row r="63" spans="1:2" x14ac:dyDescent="0.35">
      <c r="A63" s="2">
        <v>62</v>
      </c>
      <c r="B63" s="2" t="s">
        <v>9</v>
      </c>
    </row>
    <row r="64" spans="1:2" x14ac:dyDescent="0.35">
      <c r="A64" s="2">
        <v>63</v>
      </c>
      <c r="B64" s="2" t="s">
        <v>10</v>
      </c>
    </row>
    <row r="65" spans="1:2" x14ac:dyDescent="0.35">
      <c r="A65" s="2">
        <v>64</v>
      </c>
      <c r="B65" s="2" t="s">
        <v>11</v>
      </c>
    </row>
    <row r="66" spans="1:2" x14ac:dyDescent="0.35">
      <c r="A66" s="2">
        <v>65</v>
      </c>
      <c r="B66" s="2" t="s">
        <v>12</v>
      </c>
    </row>
    <row r="67" spans="1:2" x14ac:dyDescent="0.35">
      <c r="A67" s="2">
        <v>66</v>
      </c>
      <c r="B67" s="2" t="s">
        <v>13</v>
      </c>
    </row>
    <row r="68" spans="1:2" x14ac:dyDescent="0.35">
      <c r="A68" s="2">
        <v>67</v>
      </c>
      <c r="B68" s="2" t="s">
        <v>14</v>
      </c>
    </row>
    <row r="69" spans="1:2" x14ac:dyDescent="0.35">
      <c r="A69" s="2">
        <v>68</v>
      </c>
      <c r="B69" s="2" t="s">
        <v>15</v>
      </c>
    </row>
    <row r="70" spans="1:2" x14ac:dyDescent="0.35">
      <c r="A70" s="2">
        <v>69</v>
      </c>
      <c r="B70" s="2" t="s">
        <v>16</v>
      </c>
    </row>
    <row r="71" spans="1:2" x14ac:dyDescent="0.35">
      <c r="A71" s="2">
        <v>70</v>
      </c>
      <c r="B71" s="2" t="s">
        <v>17</v>
      </c>
    </row>
    <row r="72" spans="1:2" x14ac:dyDescent="0.35">
      <c r="A72" s="2">
        <v>71</v>
      </c>
      <c r="B72" s="2" t="s">
        <v>18</v>
      </c>
    </row>
    <row r="73" spans="1:2" x14ac:dyDescent="0.35">
      <c r="A73" s="2">
        <v>72</v>
      </c>
      <c r="B73" s="2" t="s">
        <v>19</v>
      </c>
    </row>
    <row r="74" spans="1:2" x14ac:dyDescent="0.35">
      <c r="A74" s="2">
        <v>73</v>
      </c>
      <c r="B74" s="2" t="s">
        <v>20</v>
      </c>
    </row>
    <row r="75" spans="1:2" x14ac:dyDescent="0.35">
      <c r="A75" s="2">
        <v>74</v>
      </c>
      <c r="B75" s="2" t="s">
        <v>21</v>
      </c>
    </row>
    <row r="76" spans="1:2" x14ac:dyDescent="0.35">
      <c r="A76" s="2">
        <v>75</v>
      </c>
      <c r="B76" s="2" t="s">
        <v>22</v>
      </c>
    </row>
    <row r="77" spans="1:2" x14ac:dyDescent="0.35">
      <c r="A77" s="2">
        <v>76</v>
      </c>
      <c r="B77" s="2" t="s">
        <v>23</v>
      </c>
    </row>
    <row r="78" spans="1:2" x14ac:dyDescent="0.35">
      <c r="A78" s="2">
        <v>77</v>
      </c>
      <c r="B78" s="2" t="s">
        <v>24</v>
      </c>
    </row>
    <row r="79" spans="1:2" x14ac:dyDescent="0.35">
      <c r="A79" s="2">
        <v>78</v>
      </c>
      <c r="B79" s="2" t="s">
        <v>25</v>
      </c>
    </row>
    <row r="80" spans="1:2" x14ac:dyDescent="0.35"/>
  </sheetData>
  <mergeCells count="6">
    <mergeCell ref="Q1:R1"/>
    <mergeCell ref="M19:N19"/>
    <mergeCell ref="G1:K1"/>
    <mergeCell ref="A1:B1"/>
    <mergeCell ref="D1:E1"/>
    <mergeCell ref="M1:O1"/>
  </mergeCells>
  <pageMargins left="0.7" right="0.7" top="0.75" bottom="0.75" header="0.3" footer="0.3"/>
  <ignoredErrors>
    <ignoredError sqref="Q4:R4 Q6:R6 Q8:R8 Q10:R10 Q12:R12 Q14:R14 Q16 Q18:R18 Q20:R2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5"/>
  <dimension ref="A1:J262"/>
  <sheetViews>
    <sheetView showGridLines="0" showRowColHeaders="0" workbookViewId="0">
      <selection sqref="A1:I1"/>
    </sheetView>
  </sheetViews>
  <sheetFormatPr defaultColWidth="0" defaultRowHeight="14.5" zeroHeight="1" x14ac:dyDescent="0.35"/>
  <cols>
    <col min="1" max="1" width="5.7265625" customWidth="1"/>
    <col min="2" max="2" width="5.7265625" style="76" customWidth="1"/>
    <col min="3" max="9" width="5.7265625" customWidth="1"/>
    <col min="10" max="10" width="9.1796875" customWidth="1"/>
    <col min="11" max="16384" width="9.1796875" hidden="1"/>
  </cols>
  <sheetData>
    <row r="1" spans="1:9" x14ac:dyDescent="0.35">
      <c r="A1" s="100" t="s">
        <v>30</v>
      </c>
      <c r="B1" s="100"/>
      <c r="C1" s="100"/>
      <c r="D1" s="100"/>
      <c r="E1" s="100"/>
      <c r="F1" s="100"/>
      <c r="G1" s="100"/>
      <c r="H1" s="100"/>
      <c r="I1" s="100"/>
    </row>
    <row r="2" spans="1:9" x14ac:dyDescent="0.35">
      <c r="A2" s="2" t="str">
        <f t="shared" ref="A2:A131" si="0">B2&amp;C2</f>
        <v>1A</v>
      </c>
      <c r="B2" s="74">
        <v>1</v>
      </c>
      <c r="C2" s="2" t="s">
        <v>1</v>
      </c>
      <c r="D2" s="2" t="s">
        <v>4</v>
      </c>
      <c r="E2" s="4">
        <f t="shared" ref="E2:E27" si="1">H2+I2</f>
        <v>5</v>
      </c>
      <c r="F2" s="3">
        <f t="shared" ref="F2:F27" si="2">VLOOKUP(C2,nLet2Num,2,FALSE)</f>
        <v>1</v>
      </c>
      <c r="G2" s="3">
        <f t="shared" ref="G2:G27" si="3">VLOOKUP(D2,nLet2Num,2,FALSE)</f>
        <v>5</v>
      </c>
      <c r="H2" s="5">
        <f t="shared" ref="H2:H27" si="4">G2-F2</f>
        <v>4</v>
      </c>
      <c r="I2" s="5">
        <f>IF(H2&lt;0,27,1)</f>
        <v>1</v>
      </c>
    </row>
    <row r="3" spans="1:9" x14ac:dyDescent="0.35">
      <c r="A3" s="2" t="str">
        <f t="shared" si="0"/>
        <v>1B</v>
      </c>
      <c r="B3" s="74">
        <v>1</v>
      </c>
      <c r="C3" s="2" t="s">
        <v>0</v>
      </c>
      <c r="D3" s="2" t="s">
        <v>10</v>
      </c>
      <c r="E3" s="4">
        <f t="shared" si="1"/>
        <v>10</v>
      </c>
      <c r="F3" s="3">
        <f t="shared" si="2"/>
        <v>2</v>
      </c>
      <c r="G3" s="3">
        <f t="shared" si="3"/>
        <v>11</v>
      </c>
      <c r="H3" s="5">
        <f t="shared" si="4"/>
        <v>9</v>
      </c>
      <c r="I3" s="5">
        <f t="shared" ref="I3:I27" si="5">IF(H3&lt;0,27,1)</f>
        <v>1</v>
      </c>
    </row>
    <row r="4" spans="1:9" x14ac:dyDescent="0.35">
      <c r="A4" s="2" t="str">
        <f t="shared" si="0"/>
        <v>1C</v>
      </c>
      <c r="B4" s="74">
        <v>1</v>
      </c>
      <c r="C4" s="2" t="s">
        <v>2</v>
      </c>
      <c r="D4" s="2" t="s">
        <v>12</v>
      </c>
      <c r="E4" s="4">
        <f t="shared" si="1"/>
        <v>11</v>
      </c>
      <c r="F4" s="3">
        <f t="shared" si="2"/>
        <v>3</v>
      </c>
      <c r="G4" s="3">
        <f t="shared" si="3"/>
        <v>13</v>
      </c>
      <c r="H4" s="5">
        <f t="shared" si="4"/>
        <v>10</v>
      </c>
      <c r="I4" s="5">
        <f t="shared" si="5"/>
        <v>1</v>
      </c>
    </row>
    <row r="5" spans="1:9" x14ac:dyDescent="0.35">
      <c r="A5" s="2" t="str">
        <f t="shared" si="0"/>
        <v>1D</v>
      </c>
      <c r="B5" s="74">
        <v>1</v>
      </c>
      <c r="C5" s="2" t="s">
        <v>3</v>
      </c>
      <c r="D5" s="2" t="s">
        <v>5</v>
      </c>
      <c r="E5" s="4">
        <f t="shared" si="1"/>
        <v>3</v>
      </c>
      <c r="F5" s="3">
        <f t="shared" si="2"/>
        <v>4</v>
      </c>
      <c r="G5" s="3">
        <f t="shared" si="3"/>
        <v>6</v>
      </c>
      <c r="H5" s="5">
        <f t="shared" si="4"/>
        <v>2</v>
      </c>
      <c r="I5" s="5">
        <f t="shared" si="5"/>
        <v>1</v>
      </c>
    </row>
    <row r="6" spans="1:9" x14ac:dyDescent="0.35">
      <c r="A6" s="2" t="str">
        <f t="shared" si="0"/>
        <v>1E</v>
      </c>
      <c r="B6" s="74">
        <v>1</v>
      </c>
      <c r="C6" s="2" t="s">
        <v>4</v>
      </c>
      <c r="D6" s="2" t="s">
        <v>11</v>
      </c>
      <c r="E6" s="4">
        <f t="shared" si="1"/>
        <v>8</v>
      </c>
      <c r="F6" s="3">
        <f t="shared" si="2"/>
        <v>5</v>
      </c>
      <c r="G6" s="3">
        <f t="shared" si="3"/>
        <v>12</v>
      </c>
      <c r="H6" s="5">
        <f t="shared" si="4"/>
        <v>7</v>
      </c>
      <c r="I6" s="5">
        <f t="shared" si="5"/>
        <v>1</v>
      </c>
    </row>
    <row r="7" spans="1:9" x14ac:dyDescent="0.35">
      <c r="A7" s="2" t="str">
        <f t="shared" si="0"/>
        <v>1F</v>
      </c>
      <c r="B7" s="74">
        <v>1</v>
      </c>
      <c r="C7" s="2" t="s">
        <v>5</v>
      </c>
      <c r="D7" s="2" t="s">
        <v>6</v>
      </c>
      <c r="E7" s="4">
        <f t="shared" si="1"/>
        <v>2</v>
      </c>
      <c r="F7" s="3">
        <f t="shared" si="2"/>
        <v>6</v>
      </c>
      <c r="G7" s="3">
        <f t="shared" si="3"/>
        <v>7</v>
      </c>
      <c r="H7" s="5">
        <f t="shared" si="4"/>
        <v>1</v>
      </c>
      <c r="I7" s="5">
        <f t="shared" si="5"/>
        <v>1</v>
      </c>
    </row>
    <row r="8" spans="1:9" x14ac:dyDescent="0.35">
      <c r="A8" s="2" t="str">
        <f t="shared" si="0"/>
        <v>1G</v>
      </c>
      <c r="B8" s="74">
        <v>1</v>
      </c>
      <c r="C8" s="2" t="s">
        <v>6</v>
      </c>
      <c r="D8" s="2" t="s">
        <v>3</v>
      </c>
      <c r="E8" s="4">
        <f t="shared" si="1"/>
        <v>24</v>
      </c>
      <c r="F8" s="3">
        <f t="shared" si="2"/>
        <v>7</v>
      </c>
      <c r="G8" s="3">
        <f t="shared" si="3"/>
        <v>4</v>
      </c>
      <c r="H8" s="5">
        <f t="shared" si="4"/>
        <v>-3</v>
      </c>
      <c r="I8" s="5">
        <f t="shared" si="5"/>
        <v>27</v>
      </c>
    </row>
    <row r="9" spans="1:9" x14ac:dyDescent="0.35">
      <c r="A9" s="2" t="str">
        <f t="shared" si="0"/>
        <v>1H</v>
      </c>
      <c r="B9" s="74">
        <v>1</v>
      </c>
      <c r="C9" s="2" t="s">
        <v>7</v>
      </c>
      <c r="D9" s="2" t="s">
        <v>16</v>
      </c>
      <c r="E9" s="4">
        <f t="shared" si="1"/>
        <v>10</v>
      </c>
      <c r="F9" s="3">
        <f t="shared" si="2"/>
        <v>8</v>
      </c>
      <c r="G9" s="3">
        <f t="shared" si="3"/>
        <v>17</v>
      </c>
      <c r="H9" s="5">
        <f t="shared" si="4"/>
        <v>9</v>
      </c>
      <c r="I9" s="5">
        <f t="shared" si="5"/>
        <v>1</v>
      </c>
    </row>
    <row r="10" spans="1:9" x14ac:dyDescent="0.35">
      <c r="A10" s="2" t="str">
        <f t="shared" si="0"/>
        <v>1I</v>
      </c>
      <c r="B10" s="74">
        <v>1</v>
      </c>
      <c r="C10" s="2" t="s">
        <v>8</v>
      </c>
      <c r="D10" s="2" t="s">
        <v>21</v>
      </c>
      <c r="E10" s="4">
        <f t="shared" si="1"/>
        <v>14</v>
      </c>
      <c r="F10" s="3">
        <f t="shared" si="2"/>
        <v>9</v>
      </c>
      <c r="G10" s="3">
        <f t="shared" si="3"/>
        <v>22</v>
      </c>
      <c r="H10" s="5">
        <f t="shared" si="4"/>
        <v>13</v>
      </c>
      <c r="I10" s="5">
        <f t="shared" si="5"/>
        <v>1</v>
      </c>
    </row>
    <row r="11" spans="1:9" x14ac:dyDescent="0.35">
      <c r="A11" s="2" t="str">
        <f t="shared" si="0"/>
        <v>1J</v>
      </c>
      <c r="B11" s="74">
        <v>1</v>
      </c>
      <c r="C11" s="2" t="s">
        <v>9</v>
      </c>
      <c r="D11" s="2" t="s">
        <v>25</v>
      </c>
      <c r="E11" s="4">
        <f t="shared" si="1"/>
        <v>17</v>
      </c>
      <c r="F11" s="3">
        <f t="shared" si="2"/>
        <v>10</v>
      </c>
      <c r="G11" s="3">
        <f t="shared" si="3"/>
        <v>26</v>
      </c>
      <c r="H11" s="5">
        <f t="shared" si="4"/>
        <v>16</v>
      </c>
      <c r="I11" s="5">
        <f t="shared" si="5"/>
        <v>1</v>
      </c>
    </row>
    <row r="12" spans="1:9" x14ac:dyDescent="0.35">
      <c r="A12" s="2" t="str">
        <f t="shared" si="0"/>
        <v>1K</v>
      </c>
      <c r="B12" s="74">
        <v>1</v>
      </c>
      <c r="C12" s="2" t="s">
        <v>10</v>
      </c>
      <c r="D12" s="2" t="s">
        <v>13</v>
      </c>
      <c r="E12" s="4">
        <f t="shared" si="1"/>
        <v>4</v>
      </c>
      <c r="F12" s="3">
        <f t="shared" si="2"/>
        <v>11</v>
      </c>
      <c r="G12" s="3">
        <f t="shared" si="3"/>
        <v>14</v>
      </c>
      <c r="H12" s="5">
        <f t="shared" si="4"/>
        <v>3</v>
      </c>
      <c r="I12" s="5">
        <f t="shared" si="5"/>
        <v>1</v>
      </c>
    </row>
    <row r="13" spans="1:9" x14ac:dyDescent="0.35">
      <c r="A13" s="2" t="str">
        <f t="shared" si="0"/>
        <v>1L</v>
      </c>
      <c r="B13" s="74">
        <v>1</v>
      </c>
      <c r="C13" s="2" t="s">
        <v>11</v>
      </c>
      <c r="D13" s="2" t="s">
        <v>19</v>
      </c>
      <c r="E13" s="4">
        <f t="shared" si="1"/>
        <v>9</v>
      </c>
      <c r="F13" s="3">
        <f t="shared" si="2"/>
        <v>12</v>
      </c>
      <c r="G13" s="3">
        <f t="shared" si="3"/>
        <v>20</v>
      </c>
      <c r="H13" s="5">
        <f t="shared" si="4"/>
        <v>8</v>
      </c>
      <c r="I13" s="5">
        <f t="shared" si="5"/>
        <v>1</v>
      </c>
    </row>
    <row r="14" spans="1:9" x14ac:dyDescent="0.35">
      <c r="A14" s="2" t="str">
        <f t="shared" si="0"/>
        <v>1M</v>
      </c>
      <c r="B14" s="74">
        <v>1</v>
      </c>
      <c r="C14" s="2" t="s">
        <v>12</v>
      </c>
      <c r="D14" s="2" t="s">
        <v>14</v>
      </c>
      <c r="E14" s="4">
        <f t="shared" si="1"/>
        <v>3</v>
      </c>
      <c r="F14" s="3">
        <f t="shared" si="2"/>
        <v>13</v>
      </c>
      <c r="G14" s="3">
        <f t="shared" si="3"/>
        <v>15</v>
      </c>
      <c r="H14" s="5">
        <f t="shared" si="4"/>
        <v>2</v>
      </c>
      <c r="I14" s="5">
        <f t="shared" si="5"/>
        <v>1</v>
      </c>
    </row>
    <row r="15" spans="1:9" x14ac:dyDescent="0.35">
      <c r="A15" s="2" t="str">
        <f t="shared" si="0"/>
        <v>1N</v>
      </c>
      <c r="B15" s="74">
        <v>1</v>
      </c>
      <c r="C15" s="2" t="s">
        <v>13</v>
      </c>
      <c r="D15" s="2" t="s">
        <v>22</v>
      </c>
      <c r="E15" s="4">
        <f t="shared" si="1"/>
        <v>10</v>
      </c>
      <c r="F15" s="3">
        <f t="shared" si="2"/>
        <v>14</v>
      </c>
      <c r="G15" s="3">
        <f t="shared" si="3"/>
        <v>23</v>
      </c>
      <c r="H15" s="5">
        <f t="shared" si="4"/>
        <v>9</v>
      </c>
      <c r="I15" s="5">
        <f t="shared" si="5"/>
        <v>1</v>
      </c>
    </row>
    <row r="16" spans="1:9" x14ac:dyDescent="0.35">
      <c r="A16" s="2" t="str">
        <f t="shared" si="0"/>
        <v>1O</v>
      </c>
      <c r="B16" s="74">
        <v>1</v>
      </c>
      <c r="C16" s="2" t="s">
        <v>14</v>
      </c>
      <c r="D16" s="2" t="s">
        <v>24</v>
      </c>
      <c r="E16" s="4">
        <f t="shared" si="1"/>
        <v>11</v>
      </c>
      <c r="F16" s="3">
        <f t="shared" si="2"/>
        <v>15</v>
      </c>
      <c r="G16" s="3">
        <f t="shared" si="3"/>
        <v>25</v>
      </c>
      <c r="H16" s="5">
        <f t="shared" si="4"/>
        <v>10</v>
      </c>
      <c r="I16" s="5">
        <f t="shared" si="5"/>
        <v>1</v>
      </c>
    </row>
    <row r="17" spans="1:9" x14ac:dyDescent="0.35">
      <c r="A17" s="2" t="str">
        <f t="shared" si="0"/>
        <v>1P</v>
      </c>
      <c r="B17" s="74">
        <v>1</v>
      </c>
      <c r="C17" s="2" t="s">
        <v>15</v>
      </c>
      <c r="D17" s="2" t="s">
        <v>7</v>
      </c>
      <c r="E17" s="4">
        <f t="shared" si="1"/>
        <v>19</v>
      </c>
      <c r="F17" s="3">
        <f t="shared" si="2"/>
        <v>16</v>
      </c>
      <c r="G17" s="3">
        <f t="shared" si="3"/>
        <v>8</v>
      </c>
      <c r="H17" s="5">
        <f t="shared" si="4"/>
        <v>-8</v>
      </c>
      <c r="I17" s="5">
        <f t="shared" si="5"/>
        <v>27</v>
      </c>
    </row>
    <row r="18" spans="1:9" x14ac:dyDescent="0.35">
      <c r="A18" s="2" t="str">
        <f t="shared" si="0"/>
        <v>1Q</v>
      </c>
      <c r="B18" s="74">
        <v>1</v>
      </c>
      <c r="C18" s="2" t="s">
        <v>16</v>
      </c>
      <c r="D18" s="2" t="s">
        <v>23</v>
      </c>
      <c r="E18" s="4">
        <f t="shared" si="1"/>
        <v>8</v>
      </c>
      <c r="F18" s="3">
        <f t="shared" si="2"/>
        <v>17</v>
      </c>
      <c r="G18" s="3">
        <f t="shared" si="3"/>
        <v>24</v>
      </c>
      <c r="H18" s="5">
        <f t="shared" si="4"/>
        <v>7</v>
      </c>
      <c r="I18" s="5">
        <f t="shared" si="5"/>
        <v>1</v>
      </c>
    </row>
    <row r="19" spans="1:9" x14ac:dyDescent="0.35">
      <c r="A19" s="2" t="str">
        <f t="shared" si="0"/>
        <v>1R</v>
      </c>
      <c r="B19" s="74">
        <v>1</v>
      </c>
      <c r="C19" s="2" t="s">
        <v>17</v>
      </c>
      <c r="D19" s="2" t="s">
        <v>20</v>
      </c>
      <c r="E19" s="4">
        <f t="shared" si="1"/>
        <v>4</v>
      </c>
      <c r="F19" s="3">
        <f t="shared" si="2"/>
        <v>18</v>
      </c>
      <c r="G19" s="3">
        <f t="shared" si="3"/>
        <v>21</v>
      </c>
      <c r="H19" s="5">
        <f t="shared" si="4"/>
        <v>3</v>
      </c>
      <c r="I19" s="5">
        <f t="shared" si="5"/>
        <v>1</v>
      </c>
    </row>
    <row r="20" spans="1:9" x14ac:dyDescent="0.35">
      <c r="A20" s="2" t="str">
        <f t="shared" si="0"/>
        <v>1S</v>
      </c>
      <c r="B20" s="74">
        <v>1</v>
      </c>
      <c r="C20" s="2" t="s">
        <v>18</v>
      </c>
      <c r="D20" s="2" t="s">
        <v>18</v>
      </c>
      <c r="E20" s="4">
        <f t="shared" si="1"/>
        <v>1</v>
      </c>
      <c r="F20" s="3">
        <f t="shared" si="2"/>
        <v>19</v>
      </c>
      <c r="G20" s="3">
        <f t="shared" si="3"/>
        <v>19</v>
      </c>
      <c r="H20" s="5">
        <f t="shared" si="4"/>
        <v>0</v>
      </c>
      <c r="I20" s="5">
        <f t="shared" si="5"/>
        <v>1</v>
      </c>
    </row>
    <row r="21" spans="1:9" x14ac:dyDescent="0.35">
      <c r="A21" s="2" t="str">
        <f t="shared" si="0"/>
        <v>1T</v>
      </c>
      <c r="B21" s="74">
        <v>1</v>
      </c>
      <c r="C21" s="2" t="s">
        <v>19</v>
      </c>
      <c r="D21" s="2" t="s">
        <v>15</v>
      </c>
      <c r="E21" s="4">
        <f t="shared" si="1"/>
        <v>23</v>
      </c>
      <c r="F21" s="3">
        <f t="shared" si="2"/>
        <v>20</v>
      </c>
      <c r="G21" s="3">
        <f t="shared" si="3"/>
        <v>16</v>
      </c>
      <c r="H21" s="5">
        <f t="shared" si="4"/>
        <v>-4</v>
      </c>
      <c r="I21" s="5">
        <f t="shared" si="5"/>
        <v>27</v>
      </c>
    </row>
    <row r="22" spans="1:9" x14ac:dyDescent="0.35">
      <c r="A22" s="2" t="str">
        <f t="shared" si="0"/>
        <v>1U</v>
      </c>
      <c r="B22" s="74">
        <v>1</v>
      </c>
      <c r="C22" s="2" t="s">
        <v>20</v>
      </c>
      <c r="D22" s="2" t="s">
        <v>1</v>
      </c>
      <c r="E22" s="4">
        <f t="shared" si="1"/>
        <v>7</v>
      </c>
      <c r="F22" s="3">
        <f t="shared" si="2"/>
        <v>21</v>
      </c>
      <c r="G22" s="3">
        <f t="shared" si="3"/>
        <v>1</v>
      </c>
      <c r="H22" s="5">
        <f t="shared" si="4"/>
        <v>-20</v>
      </c>
      <c r="I22" s="5">
        <f t="shared" si="5"/>
        <v>27</v>
      </c>
    </row>
    <row r="23" spans="1:9" x14ac:dyDescent="0.35">
      <c r="A23" s="2" t="str">
        <f t="shared" si="0"/>
        <v>1V</v>
      </c>
      <c r="B23" s="74">
        <v>1</v>
      </c>
      <c r="C23" s="2" t="s">
        <v>21</v>
      </c>
      <c r="D23" s="2" t="s">
        <v>8</v>
      </c>
      <c r="E23" s="4">
        <f t="shared" si="1"/>
        <v>14</v>
      </c>
      <c r="F23" s="3">
        <f t="shared" si="2"/>
        <v>22</v>
      </c>
      <c r="G23" s="3">
        <f t="shared" si="3"/>
        <v>9</v>
      </c>
      <c r="H23" s="5">
        <f t="shared" si="4"/>
        <v>-13</v>
      </c>
      <c r="I23" s="5">
        <f t="shared" si="5"/>
        <v>27</v>
      </c>
    </row>
    <row r="24" spans="1:9" x14ac:dyDescent="0.35">
      <c r="A24" s="2" t="str">
        <f t="shared" si="0"/>
        <v>1W</v>
      </c>
      <c r="B24" s="74">
        <v>1</v>
      </c>
      <c r="C24" s="2" t="s">
        <v>22</v>
      </c>
      <c r="D24" s="2" t="s">
        <v>0</v>
      </c>
      <c r="E24" s="4">
        <f t="shared" si="1"/>
        <v>6</v>
      </c>
      <c r="F24" s="3">
        <f t="shared" si="2"/>
        <v>23</v>
      </c>
      <c r="G24" s="3">
        <f t="shared" si="3"/>
        <v>2</v>
      </c>
      <c r="H24" s="5">
        <f t="shared" si="4"/>
        <v>-21</v>
      </c>
      <c r="I24" s="5">
        <f t="shared" si="5"/>
        <v>27</v>
      </c>
    </row>
    <row r="25" spans="1:9" x14ac:dyDescent="0.35">
      <c r="A25" s="2" t="str">
        <f t="shared" si="0"/>
        <v>1X</v>
      </c>
      <c r="B25" s="74">
        <v>1</v>
      </c>
      <c r="C25" s="2" t="s">
        <v>23</v>
      </c>
      <c r="D25" s="2" t="s">
        <v>17</v>
      </c>
      <c r="E25" s="4">
        <f t="shared" si="1"/>
        <v>21</v>
      </c>
      <c r="F25" s="3">
        <f t="shared" si="2"/>
        <v>24</v>
      </c>
      <c r="G25" s="3">
        <f t="shared" si="3"/>
        <v>18</v>
      </c>
      <c r="H25" s="5">
        <f t="shared" si="4"/>
        <v>-6</v>
      </c>
      <c r="I25" s="5">
        <f t="shared" si="5"/>
        <v>27</v>
      </c>
    </row>
    <row r="26" spans="1:9" x14ac:dyDescent="0.35">
      <c r="A26" s="2" t="str">
        <f t="shared" si="0"/>
        <v>1Y</v>
      </c>
      <c r="B26" s="74">
        <v>1</v>
      </c>
      <c r="C26" s="2" t="s">
        <v>24</v>
      </c>
      <c r="D26" s="2" t="s">
        <v>2</v>
      </c>
      <c r="E26" s="4">
        <f t="shared" si="1"/>
        <v>5</v>
      </c>
      <c r="F26" s="3">
        <f t="shared" si="2"/>
        <v>25</v>
      </c>
      <c r="G26" s="3">
        <f t="shared" si="3"/>
        <v>3</v>
      </c>
      <c r="H26" s="5">
        <f t="shared" si="4"/>
        <v>-22</v>
      </c>
      <c r="I26" s="5">
        <f t="shared" si="5"/>
        <v>27</v>
      </c>
    </row>
    <row r="27" spans="1:9" x14ac:dyDescent="0.35">
      <c r="A27" s="2" t="str">
        <f t="shared" si="0"/>
        <v>1Z</v>
      </c>
      <c r="B27" s="74">
        <v>1</v>
      </c>
      <c r="C27" s="2" t="s">
        <v>25</v>
      </c>
      <c r="D27" s="2" t="s">
        <v>9</v>
      </c>
      <c r="E27" s="4">
        <f t="shared" si="1"/>
        <v>11</v>
      </c>
      <c r="F27" s="3">
        <f t="shared" si="2"/>
        <v>26</v>
      </c>
      <c r="G27" s="3">
        <f t="shared" si="3"/>
        <v>10</v>
      </c>
      <c r="H27" s="5">
        <f t="shared" si="4"/>
        <v>-16</v>
      </c>
      <c r="I27" s="5">
        <f t="shared" si="5"/>
        <v>27</v>
      </c>
    </row>
    <row r="28" spans="1:9" x14ac:dyDescent="0.35">
      <c r="A28" s="2" t="str">
        <f t="shared" si="0"/>
        <v>2A</v>
      </c>
      <c r="B28" s="74">
        <v>2</v>
      </c>
      <c r="C28" s="2" t="s">
        <v>1</v>
      </c>
      <c r="D28" s="2" t="s">
        <v>1</v>
      </c>
      <c r="E28" s="4">
        <f t="shared" ref="E28:E53" si="6">H28+I28</f>
        <v>1</v>
      </c>
      <c r="F28" s="3">
        <f t="shared" ref="F28:F53" si="7">VLOOKUP(C28,nLet2Num,2,FALSE)</f>
        <v>1</v>
      </c>
      <c r="G28" s="3">
        <f t="shared" ref="G28:G53" si="8">VLOOKUP(D28,nLet2Num,2,FALSE)</f>
        <v>1</v>
      </c>
      <c r="H28" s="5">
        <f t="shared" ref="H28:H53" si="9">G28-F28</f>
        <v>0</v>
      </c>
      <c r="I28" s="5">
        <f t="shared" ref="I28:I53" si="10">IF(H28&lt;0,27,1)</f>
        <v>1</v>
      </c>
    </row>
    <row r="29" spans="1:9" x14ac:dyDescent="0.35">
      <c r="A29" s="2" t="str">
        <f t="shared" si="0"/>
        <v>2B</v>
      </c>
      <c r="B29" s="74">
        <v>2</v>
      </c>
      <c r="C29" s="2" t="s">
        <v>0</v>
      </c>
      <c r="D29" s="2" t="s">
        <v>9</v>
      </c>
      <c r="E29" s="4">
        <f t="shared" si="6"/>
        <v>9</v>
      </c>
      <c r="F29" s="3">
        <f t="shared" si="7"/>
        <v>2</v>
      </c>
      <c r="G29" s="3">
        <f t="shared" si="8"/>
        <v>10</v>
      </c>
      <c r="H29" s="5">
        <f t="shared" si="9"/>
        <v>8</v>
      </c>
      <c r="I29" s="5">
        <f t="shared" si="10"/>
        <v>1</v>
      </c>
    </row>
    <row r="30" spans="1:9" x14ac:dyDescent="0.35">
      <c r="A30" s="2" t="str">
        <f t="shared" si="0"/>
        <v>2C</v>
      </c>
      <c r="B30" s="74">
        <v>2</v>
      </c>
      <c r="C30" s="2" t="s">
        <v>2</v>
      </c>
      <c r="D30" s="2" t="s">
        <v>3</v>
      </c>
      <c r="E30" s="4">
        <f t="shared" si="6"/>
        <v>2</v>
      </c>
      <c r="F30" s="3">
        <f t="shared" si="7"/>
        <v>3</v>
      </c>
      <c r="G30" s="3">
        <f t="shared" si="8"/>
        <v>4</v>
      </c>
      <c r="H30" s="5">
        <f t="shared" si="9"/>
        <v>1</v>
      </c>
      <c r="I30" s="5">
        <f t="shared" si="10"/>
        <v>1</v>
      </c>
    </row>
    <row r="31" spans="1:9" x14ac:dyDescent="0.35">
      <c r="A31" s="2" t="str">
        <f t="shared" si="0"/>
        <v>2D</v>
      </c>
      <c r="B31" s="74">
        <v>2</v>
      </c>
      <c r="C31" s="2" t="s">
        <v>3</v>
      </c>
      <c r="D31" s="2" t="s">
        <v>10</v>
      </c>
      <c r="E31" s="4">
        <f t="shared" si="6"/>
        <v>8</v>
      </c>
      <c r="F31" s="3">
        <f t="shared" si="7"/>
        <v>4</v>
      </c>
      <c r="G31" s="3">
        <f t="shared" si="8"/>
        <v>11</v>
      </c>
      <c r="H31" s="5">
        <f t="shared" si="9"/>
        <v>7</v>
      </c>
      <c r="I31" s="5">
        <f t="shared" si="10"/>
        <v>1</v>
      </c>
    </row>
    <row r="32" spans="1:9" x14ac:dyDescent="0.35">
      <c r="A32" s="2" t="str">
        <f t="shared" si="0"/>
        <v>2E</v>
      </c>
      <c r="B32" s="74">
        <v>2</v>
      </c>
      <c r="C32" s="2" t="s">
        <v>4</v>
      </c>
      <c r="D32" s="2" t="s">
        <v>18</v>
      </c>
      <c r="E32" s="4">
        <f t="shared" si="6"/>
        <v>15</v>
      </c>
      <c r="F32" s="3">
        <f t="shared" si="7"/>
        <v>5</v>
      </c>
      <c r="G32" s="3">
        <f t="shared" si="8"/>
        <v>19</v>
      </c>
      <c r="H32" s="5">
        <f t="shared" si="9"/>
        <v>14</v>
      </c>
      <c r="I32" s="5">
        <f t="shared" si="10"/>
        <v>1</v>
      </c>
    </row>
    <row r="33" spans="1:9" x14ac:dyDescent="0.35">
      <c r="A33" s="2" t="str">
        <f t="shared" si="0"/>
        <v>2F</v>
      </c>
      <c r="B33" s="74">
        <v>2</v>
      </c>
      <c r="C33" s="2" t="s">
        <v>5</v>
      </c>
      <c r="D33" s="2" t="s">
        <v>8</v>
      </c>
      <c r="E33" s="4">
        <f t="shared" si="6"/>
        <v>4</v>
      </c>
      <c r="F33" s="3">
        <f t="shared" si="7"/>
        <v>6</v>
      </c>
      <c r="G33" s="3">
        <f t="shared" si="8"/>
        <v>9</v>
      </c>
      <c r="H33" s="5">
        <f t="shared" si="9"/>
        <v>3</v>
      </c>
      <c r="I33" s="5">
        <f t="shared" si="10"/>
        <v>1</v>
      </c>
    </row>
    <row r="34" spans="1:9" x14ac:dyDescent="0.35">
      <c r="A34" s="2" t="str">
        <f t="shared" si="0"/>
        <v>2G</v>
      </c>
      <c r="B34" s="74">
        <v>2</v>
      </c>
      <c r="C34" s="2" t="s">
        <v>6</v>
      </c>
      <c r="D34" s="2" t="s">
        <v>17</v>
      </c>
      <c r="E34" s="4">
        <f t="shared" si="6"/>
        <v>12</v>
      </c>
      <c r="F34" s="3">
        <f t="shared" si="7"/>
        <v>7</v>
      </c>
      <c r="G34" s="3">
        <f t="shared" si="8"/>
        <v>18</v>
      </c>
      <c r="H34" s="5">
        <f t="shared" si="9"/>
        <v>11</v>
      </c>
      <c r="I34" s="5">
        <f t="shared" si="10"/>
        <v>1</v>
      </c>
    </row>
    <row r="35" spans="1:9" x14ac:dyDescent="0.35">
      <c r="A35" s="2" t="str">
        <f t="shared" si="0"/>
        <v>2H</v>
      </c>
      <c r="B35" s="74">
        <v>2</v>
      </c>
      <c r="C35" s="2" t="s">
        <v>7</v>
      </c>
      <c r="D35" s="2" t="s">
        <v>20</v>
      </c>
      <c r="E35" s="4">
        <f t="shared" si="6"/>
        <v>14</v>
      </c>
      <c r="F35" s="3">
        <f t="shared" si="7"/>
        <v>8</v>
      </c>
      <c r="G35" s="3">
        <f t="shared" si="8"/>
        <v>21</v>
      </c>
      <c r="H35" s="5">
        <f t="shared" si="9"/>
        <v>13</v>
      </c>
      <c r="I35" s="5">
        <f t="shared" si="10"/>
        <v>1</v>
      </c>
    </row>
    <row r="36" spans="1:9" x14ac:dyDescent="0.35">
      <c r="A36" s="2" t="str">
        <f t="shared" si="0"/>
        <v>2I</v>
      </c>
      <c r="B36" s="74">
        <v>2</v>
      </c>
      <c r="C36" s="2" t="s">
        <v>8</v>
      </c>
      <c r="D36" s="2" t="s">
        <v>23</v>
      </c>
      <c r="E36" s="4">
        <f t="shared" si="6"/>
        <v>16</v>
      </c>
      <c r="F36" s="3">
        <f t="shared" si="7"/>
        <v>9</v>
      </c>
      <c r="G36" s="3">
        <f t="shared" si="8"/>
        <v>24</v>
      </c>
      <c r="H36" s="5">
        <f t="shared" si="9"/>
        <v>15</v>
      </c>
      <c r="I36" s="5">
        <f t="shared" si="10"/>
        <v>1</v>
      </c>
    </row>
    <row r="37" spans="1:9" x14ac:dyDescent="0.35">
      <c r="A37" s="2" t="str">
        <f t="shared" si="0"/>
        <v>2J</v>
      </c>
      <c r="B37" s="74">
        <v>2</v>
      </c>
      <c r="C37" s="2" t="s">
        <v>9</v>
      </c>
      <c r="D37" s="2" t="s">
        <v>0</v>
      </c>
      <c r="E37" s="4">
        <f t="shared" si="6"/>
        <v>19</v>
      </c>
      <c r="F37" s="3">
        <f t="shared" si="7"/>
        <v>10</v>
      </c>
      <c r="G37" s="3">
        <f t="shared" si="8"/>
        <v>2</v>
      </c>
      <c r="H37" s="5">
        <f t="shared" si="9"/>
        <v>-8</v>
      </c>
      <c r="I37" s="5">
        <f t="shared" si="10"/>
        <v>27</v>
      </c>
    </row>
    <row r="38" spans="1:9" x14ac:dyDescent="0.35">
      <c r="A38" s="2" t="str">
        <f t="shared" si="0"/>
        <v>2K</v>
      </c>
      <c r="B38" s="74">
        <v>2</v>
      </c>
      <c r="C38" s="2" t="s">
        <v>10</v>
      </c>
      <c r="D38" s="2" t="s">
        <v>11</v>
      </c>
      <c r="E38" s="4">
        <f t="shared" si="6"/>
        <v>2</v>
      </c>
      <c r="F38" s="3">
        <f t="shared" si="7"/>
        <v>11</v>
      </c>
      <c r="G38" s="3">
        <f t="shared" si="8"/>
        <v>12</v>
      </c>
      <c r="H38" s="5">
        <f t="shared" si="9"/>
        <v>1</v>
      </c>
      <c r="I38" s="5">
        <f t="shared" si="10"/>
        <v>1</v>
      </c>
    </row>
    <row r="39" spans="1:9" x14ac:dyDescent="0.35">
      <c r="A39" s="2" t="str">
        <f t="shared" si="0"/>
        <v>2L</v>
      </c>
      <c r="B39" s="74">
        <v>2</v>
      </c>
      <c r="C39" s="2" t="s">
        <v>11</v>
      </c>
      <c r="D39" s="2" t="s">
        <v>7</v>
      </c>
      <c r="E39" s="4">
        <f t="shared" si="6"/>
        <v>23</v>
      </c>
      <c r="F39" s="3">
        <f t="shared" si="7"/>
        <v>12</v>
      </c>
      <c r="G39" s="3">
        <f t="shared" si="8"/>
        <v>8</v>
      </c>
      <c r="H39" s="5">
        <f t="shared" si="9"/>
        <v>-4</v>
      </c>
      <c r="I39" s="5">
        <f t="shared" si="10"/>
        <v>27</v>
      </c>
    </row>
    <row r="40" spans="1:9" x14ac:dyDescent="0.35">
      <c r="A40" s="2" t="str">
        <f t="shared" si="0"/>
        <v>2M</v>
      </c>
      <c r="B40" s="74">
        <v>2</v>
      </c>
      <c r="C40" s="2" t="s">
        <v>12</v>
      </c>
      <c r="D40" s="2" t="s">
        <v>22</v>
      </c>
      <c r="E40" s="4">
        <f t="shared" si="6"/>
        <v>11</v>
      </c>
      <c r="F40" s="3">
        <f t="shared" si="7"/>
        <v>13</v>
      </c>
      <c r="G40" s="3">
        <f t="shared" si="8"/>
        <v>23</v>
      </c>
      <c r="H40" s="5">
        <f t="shared" si="9"/>
        <v>10</v>
      </c>
      <c r="I40" s="5">
        <f t="shared" si="10"/>
        <v>1</v>
      </c>
    </row>
    <row r="41" spans="1:9" x14ac:dyDescent="0.35">
      <c r="A41" s="2" t="str">
        <f t="shared" si="0"/>
        <v>2N</v>
      </c>
      <c r="B41" s="74">
        <v>2</v>
      </c>
      <c r="C41" s="2" t="s">
        <v>13</v>
      </c>
      <c r="D41" s="2" t="s">
        <v>19</v>
      </c>
      <c r="E41" s="4">
        <f t="shared" si="6"/>
        <v>7</v>
      </c>
      <c r="F41" s="3">
        <f t="shared" si="7"/>
        <v>14</v>
      </c>
      <c r="G41" s="3">
        <f t="shared" si="8"/>
        <v>20</v>
      </c>
      <c r="H41" s="5">
        <f t="shared" si="9"/>
        <v>6</v>
      </c>
      <c r="I41" s="5">
        <f t="shared" si="10"/>
        <v>1</v>
      </c>
    </row>
    <row r="42" spans="1:9" x14ac:dyDescent="0.35">
      <c r="A42" s="2" t="str">
        <f t="shared" si="0"/>
        <v>2O</v>
      </c>
      <c r="B42" s="74">
        <v>2</v>
      </c>
      <c r="C42" s="2" t="s">
        <v>14</v>
      </c>
      <c r="D42" s="2" t="s">
        <v>12</v>
      </c>
      <c r="E42" s="4">
        <f t="shared" si="6"/>
        <v>25</v>
      </c>
      <c r="F42" s="3">
        <f t="shared" si="7"/>
        <v>15</v>
      </c>
      <c r="G42" s="3">
        <f t="shared" si="8"/>
        <v>13</v>
      </c>
      <c r="H42" s="5">
        <f t="shared" si="9"/>
        <v>-2</v>
      </c>
      <c r="I42" s="5">
        <f t="shared" si="10"/>
        <v>27</v>
      </c>
    </row>
    <row r="43" spans="1:9" x14ac:dyDescent="0.35">
      <c r="A43" s="2" t="str">
        <f t="shared" si="0"/>
        <v>2P</v>
      </c>
      <c r="B43" s="74">
        <v>2</v>
      </c>
      <c r="C43" s="2" t="s">
        <v>15</v>
      </c>
      <c r="D43" s="2" t="s">
        <v>2</v>
      </c>
      <c r="E43" s="4">
        <f t="shared" si="6"/>
        <v>14</v>
      </c>
      <c r="F43" s="3">
        <f t="shared" si="7"/>
        <v>16</v>
      </c>
      <c r="G43" s="3">
        <f t="shared" si="8"/>
        <v>3</v>
      </c>
      <c r="H43" s="5">
        <f t="shared" si="9"/>
        <v>-13</v>
      </c>
      <c r="I43" s="5">
        <f t="shared" si="10"/>
        <v>27</v>
      </c>
    </row>
    <row r="44" spans="1:9" x14ac:dyDescent="0.35">
      <c r="A44" s="2" t="str">
        <f t="shared" si="0"/>
        <v>2Q</v>
      </c>
      <c r="B44" s="75">
        <v>2</v>
      </c>
      <c r="C44" s="2" t="s">
        <v>16</v>
      </c>
      <c r="D44" s="2" t="s">
        <v>16</v>
      </c>
      <c r="E44" s="4">
        <f t="shared" si="6"/>
        <v>1</v>
      </c>
      <c r="F44" s="3">
        <f t="shared" si="7"/>
        <v>17</v>
      </c>
      <c r="G44" s="3">
        <f t="shared" si="8"/>
        <v>17</v>
      </c>
      <c r="H44" s="5">
        <f t="shared" si="9"/>
        <v>0</v>
      </c>
      <c r="I44" s="5">
        <f t="shared" si="10"/>
        <v>1</v>
      </c>
    </row>
    <row r="45" spans="1:9" x14ac:dyDescent="0.35">
      <c r="A45" s="2" t="str">
        <f t="shared" si="0"/>
        <v>2R</v>
      </c>
      <c r="B45" s="74">
        <v>2</v>
      </c>
      <c r="C45" s="2" t="s">
        <v>17</v>
      </c>
      <c r="D45" s="2" t="s">
        <v>6</v>
      </c>
      <c r="E45" s="4">
        <f t="shared" si="6"/>
        <v>16</v>
      </c>
      <c r="F45" s="3">
        <f t="shared" si="7"/>
        <v>18</v>
      </c>
      <c r="G45" s="3">
        <f t="shared" si="8"/>
        <v>7</v>
      </c>
      <c r="H45" s="5">
        <f t="shared" si="9"/>
        <v>-11</v>
      </c>
      <c r="I45" s="5">
        <f t="shared" si="10"/>
        <v>27</v>
      </c>
    </row>
    <row r="46" spans="1:9" x14ac:dyDescent="0.35">
      <c r="A46" s="2" t="str">
        <f t="shared" si="0"/>
        <v>2S</v>
      </c>
      <c r="B46" s="74">
        <v>2</v>
      </c>
      <c r="C46" s="2" t="s">
        <v>18</v>
      </c>
      <c r="D46" s="2" t="s">
        <v>25</v>
      </c>
      <c r="E46" s="4">
        <f t="shared" si="6"/>
        <v>8</v>
      </c>
      <c r="F46" s="3">
        <f t="shared" si="7"/>
        <v>19</v>
      </c>
      <c r="G46" s="3">
        <f t="shared" si="8"/>
        <v>26</v>
      </c>
      <c r="H46" s="5">
        <f t="shared" si="9"/>
        <v>7</v>
      </c>
      <c r="I46" s="5">
        <f t="shared" si="10"/>
        <v>1</v>
      </c>
    </row>
    <row r="47" spans="1:9" x14ac:dyDescent="0.35">
      <c r="A47" s="2" t="str">
        <f t="shared" si="0"/>
        <v>2T</v>
      </c>
      <c r="B47" s="74">
        <v>2</v>
      </c>
      <c r="C47" s="2" t="s">
        <v>19</v>
      </c>
      <c r="D47" s="2" t="s">
        <v>13</v>
      </c>
      <c r="E47" s="4">
        <f t="shared" si="6"/>
        <v>21</v>
      </c>
      <c r="F47" s="3">
        <f t="shared" si="7"/>
        <v>20</v>
      </c>
      <c r="G47" s="3">
        <f t="shared" si="8"/>
        <v>14</v>
      </c>
      <c r="H47" s="5">
        <f t="shared" si="9"/>
        <v>-6</v>
      </c>
      <c r="I47" s="5">
        <f t="shared" si="10"/>
        <v>27</v>
      </c>
    </row>
    <row r="48" spans="1:9" x14ac:dyDescent="0.35">
      <c r="A48" s="2" t="str">
        <f t="shared" si="0"/>
        <v>2U</v>
      </c>
      <c r="B48" s="74">
        <v>2</v>
      </c>
      <c r="C48" s="2" t="s">
        <v>20</v>
      </c>
      <c r="D48" s="2" t="s">
        <v>15</v>
      </c>
      <c r="E48" s="4">
        <f t="shared" si="6"/>
        <v>22</v>
      </c>
      <c r="F48" s="3">
        <f t="shared" si="7"/>
        <v>21</v>
      </c>
      <c r="G48" s="3">
        <f t="shared" si="8"/>
        <v>16</v>
      </c>
      <c r="H48" s="5">
        <f t="shared" si="9"/>
        <v>-5</v>
      </c>
      <c r="I48" s="5">
        <f t="shared" si="10"/>
        <v>27</v>
      </c>
    </row>
    <row r="49" spans="1:9" x14ac:dyDescent="0.35">
      <c r="A49" s="2" t="str">
        <f t="shared" si="0"/>
        <v>2V</v>
      </c>
      <c r="B49" s="74">
        <v>2</v>
      </c>
      <c r="C49" s="2" t="s">
        <v>21</v>
      </c>
      <c r="D49" s="2" t="s">
        <v>24</v>
      </c>
      <c r="E49" s="4">
        <f t="shared" si="6"/>
        <v>4</v>
      </c>
      <c r="F49" s="3">
        <f t="shared" si="7"/>
        <v>22</v>
      </c>
      <c r="G49" s="3">
        <f t="shared" si="8"/>
        <v>25</v>
      </c>
      <c r="H49" s="5">
        <f t="shared" si="9"/>
        <v>3</v>
      </c>
      <c r="I49" s="5">
        <f t="shared" si="10"/>
        <v>1</v>
      </c>
    </row>
    <row r="50" spans="1:9" x14ac:dyDescent="0.35">
      <c r="A50" s="2" t="str">
        <f t="shared" si="0"/>
        <v>2W</v>
      </c>
      <c r="B50" s="74">
        <v>2</v>
      </c>
      <c r="C50" s="2" t="s">
        <v>22</v>
      </c>
      <c r="D50" s="2" t="s">
        <v>5</v>
      </c>
      <c r="E50" s="4">
        <f t="shared" si="6"/>
        <v>10</v>
      </c>
      <c r="F50" s="3">
        <f t="shared" si="7"/>
        <v>23</v>
      </c>
      <c r="G50" s="3">
        <f t="shared" si="8"/>
        <v>6</v>
      </c>
      <c r="H50" s="5">
        <f t="shared" si="9"/>
        <v>-17</v>
      </c>
      <c r="I50" s="5">
        <f t="shared" si="10"/>
        <v>27</v>
      </c>
    </row>
    <row r="51" spans="1:9" x14ac:dyDescent="0.35">
      <c r="A51" s="2" t="str">
        <f t="shared" si="0"/>
        <v>2X</v>
      </c>
      <c r="B51" s="74">
        <v>2</v>
      </c>
      <c r="C51" s="2" t="s">
        <v>23</v>
      </c>
      <c r="D51" s="2" t="s">
        <v>21</v>
      </c>
      <c r="E51" s="4">
        <f t="shared" si="6"/>
        <v>25</v>
      </c>
      <c r="F51" s="3">
        <f t="shared" si="7"/>
        <v>24</v>
      </c>
      <c r="G51" s="3">
        <f t="shared" si="8"/>
        <v>22</v>
      </c>
      <c r="H51" s="5">
        <f t="shared" si="9"/>
        <v>-2</v>
      </c>
      <c r="I51" s="5">
        <f t="shared" si="10"/>
        <v>27</v>
      </c>
    </row>
    <row r="52" spans="1:9" x14ac:dyDescent="0.35">
      <c r="A52" s="2" t="str">
        <f t="shared" si="0"/>
        <v>2Y</v>
      </c>
      <c r="B52" s="74">
        <v>2</v>
      </c>
      <c r="C52" s="2" t="s">
        <v>24</v>
      </c>
      <c r="D52" s="2" t="s">
        <v>14</v>
      </c>
      <c r="E52" s="4">
        <f t="shared" si="6"/>
        <v>17</v>
      </c>
      <c r="F52" s="3">
        <f t="shared" si="7"/>
        <v>25</v>
      </c>
      <c r="G52" s="3">
        <f t="shared" si="8"/>
        <v>15</v>
      </c>
      <c r="H52" s="5">
        <f t="shared" si="9"/>
        <v>-10</v>
      </c>
      <c r="I52" s="5">
        <f t="shared" si="10"/>
        <v>27</v>
      </c>
    </row>
    <row r="53" spans="1:9" x14ac:dyDescent="0.35">
      <c r="A53" s="2" t="str">
        <f t="shared" si="0"/>
        <v>2Z</v>
      </c>
      <c r="B53" s="74">
        <v>2</v>
      </c>
      <c r="C53" s="2" t="s">
        <v>25</v>
      </c>
      <c r="D53" s="2" t="s">
        <v>4</v>
      </c>
      <c r="E53" s="4">
        <f t="shared" si="6"/>
        <v>6</v>
      </c>
      <c r="F53" s="3">
        <f t="shared" si="7"/>
        <v>26</v>
      </c>
      <c r="G53" s="3">
        <f t="shared" si="8"/>
        <v>5</v>
      </c>
      <c r="H53" s="5">
        <f t="shared" si="9"/>
        <v>-21</v>
      </c>
      <c r="I53" s="5">
        <f t="shared" si="10"/>
        <v>27</v>
      </c>
    </row>
    <row r="54" spans="1:9" x14ac:dyDescent="0.35">
      <c r="A54" s="2" t="str">
        <f t="shared" si="0"/>
        <v>3A</v>
      </c>
      <c r="B54" s="74">
        <v>3</v>
      </c>
      <c r="C54" s="2" t="s">
        <v>1</v>
      </c>
      <c r="D54" s="2" t="s">
        <v>0</v>
      </c>
      <c r="E54" s="4">
        <f t="shared" ref="E54:E79" si="11">H54+I54</f>
        <v>2</v>
      </c>
      <c r="F54" s="3">
        <f t="shared" ref="F54:F79" si="12">VLOOKUP(C54,nLet2Num,2,FALSE)</f>
        <v>1</v>
      </c>
      <c r="G54" s="3">
        <f t="shared" ref="G54:G79" si="13">VLOOKUP(D54,nLet2Num,2,FALSE)</f>
        <v>2</v>
      </c>
      <c r="H54" s="5">
        <f t="shared" ref="H54:H79" si="14">G54-F54</f>
        <v>1</v>
      </c>
      <c r="I54" s="5">
        <f t="shared" ref="I54:I79" si="15">IF(H54&lt;0,27,1)</f>
        <v>1</v>
      </c>
    </row>
    <row r="55" spans="1:9" x14ac:dyDescent="0.35">
      <c r="A55" s="2" t="str">
        <f t="shared" si="0"/>
        <v>3B</v>
      </c>
      <c r="B55" s="74">
        <v>3</v>
      </c>
      <c r="C55" s="2" t="s">
        <v>0</v>
      </c>
      <c r="D55" s="2" t="s">
        <v>3</v>
      </c>
      <c r="E55" s="4">
        <f t="shared" si="11"/>
        <v>3</v>
      </c>
      <c r="F55" s="3">
        <f t="shared" si="12"/>
        <v>2</v>
      </c>
      <c r="G55" s="3">
        <f t="shared" si="13"/>
        <v>4</v>
      </c>
      <c r="H55" s="5">
        <f t="shared" si="14"/>
        <v>2</v>
      </c>
      <c r="I55" s="5">
        <f t="shared" si="15"/>
        <v>1</v>
      </c>
    </row>
    <row r="56" spans="1:9" x14ac:dyDescent="0.35">
      <c r="A56" s="2" t="str">
        <f t="shared" si="0"/>
        <v>3C</v>
      </c>
      <c r="B56" s="74">
        <v>3</v>
      </c>
      <c r="C56" s="2" t="s">
        <v>2</v>
      </c>
      <c r="D56" s="2" t="s">
        <v>5</v>
      </c>
      <c r="E56" s="4">
        <f t="shared" si="11"/>
        <v>4</v>
      </c>
      <c r="F56" s="3">
        <f t="shared" si="12"/>
        <v>3</v>
      </c>
      <c r="G56" s="3">
        <f t="shared" si="13"/>
        <v>6</v>
      </c>
      <c r="H56" s="5">
        <f t="shared" si="14"/>
        <v>3</v>
      </c>
      <c r="I56" s="5">
        <f t="shared" si="15"/>
        <v>1</v>
      </c>
    </row>
    <row r="57" spans="1:9" x14ac:dyDescent="0.35">
      <c r="A57" s="2" t="str">
        <f t="shared" si="0"/>
        <v>3D</v>
      </c>
      <c r="B57" s="74">
        <v>3</v>
      </c>
      <c r="C57" s="2" t="s">
        <v>3</v>
      </c>
      <c r="D57" s="2" t="s">
        <v>7</v>
      </c>
      <c r="E57" s="4">
        <f t="shared" si="11"/>
        <v>5</v>
      </c>
      <c r="F57" s="3">
        <f t="shared" si="12"/>
        <v>4</v>
      </c>
      <c r="G57" s="3">
        <f t="shared" si="13"/>
        <v>8</v>
      </c>
      <c r="H57" s="5">
        <f t="shared" si="14"/>
        <v>4</v>
      </c>
      <c r="I57" s="5">
        <f t="shared" si="15"/>
        <v>1</v>
      </c>
    </row>
    <row r="58" spans="1:9" x14ac:dyDescent="0.35">
      <c r="A58" s="2" t="str">
        <f t="shared" si="0"/>
        <v>3E</v>
      </c>
      <c r="B58" s="74">
        <v>3</v>
      </c>
      <c r="C58" s="2" t="s">
        <v>4</v>
      </c>
      <c r="D58" s="2" t="s">
        <v>9</v>
      </c>
      <c r="E58" s="4">
        <f t="shared" si="11"/>
        <v>6</v>
      </c>
      <c r="F58" s="3">
        <f t="shared" si="12"/>
        <v>5</v>
      </c>
      <c r="G58" s="3">
        <f t="shared" si="13"/>
        <v>10</v>
      </c>
      <c r="H58" s="5">
        <f t="shared" si="14"/>
        <v>5</v>
      </c>
      <c r="I58" s="5">
        <f t="shared" si="15"/>
        <v>1</v>
      </c>
    </row>
    <row r="59" spans="1:9" x14ac:dyDescent="0.35">
      <c r="A59" s="2" t="str">
        <f t="shared" si="0"/>
        <v>3F</v>
      </c>
      <c r="B59" s="74">
        <v>3</v>
      </c>
      <c r="C59" s="2" t="s">
        <v>5</v>
      </c>
      <c r="D59" s="2" t="s">
        <v>11</v>
      </c>
      <c r="E59" s="4">
        <f t="shared" si="11"/>
        <v>7</v>
      </c>
      <c r="F59" s="3">
        <f t="shared" si="12"/>
        <v>6</v>
      </c>
      <c r="G59" s="3">
        <f t="shared" si="13"/>
        <v>12</v>
      </c>
      <c r="H59" s="5">
        <f t="shared" si="14"/>
        <v>6</v>
      </c>
      <c r="I59" s="5">
        <f t="shared" si="15"/>
        <v>1</v>
      </c>
    </row>
    <row r="60" spans="1:9" x14ac:dyDescent="0.35">
      <c r="A60" s="2" t="str">
        <f t="shared" si="0"/>
        <v>3G</v>
      </c>
      <c r="B60" s="74">
        <v>3</v>
      </c>
      <c r="C60" s="2" t="s">
        <v>6</v>
      </c>
      <c r="D60" s="2" t="s">
        <v>2</v>
      </c>
      <c r="E60" s="4">
        <f t="shared" si="11"/>
        <v>23</v>
      </c>
      <c r="F60" s="3">
        <f t="shared" si="12"/>
        <v>7</v>
      </c>
      <c r="G60" s="3">
        <f t="shared" si="13"/>
        <v>3</v>
      </c>
      <c r="H60" s="5">
        <f t="shared" si="14"/>
        <v>-4</v>
      </c>
      <c r="I60" s="5">
        <f t="shared" si="15"/>
        <v>27</v>
      </c>
    </row>
    <row r="61" spans="1:9" x14ac:dyDescent="0.35">
      <c r="A61" s="2" t="str">
        <f t="shared" si="0"/>
        <v>3H</v>
      </c>
      <c r="B61" s="74">
        <v>3</v>
      </c>
      <c r="C61" s="2" t="s">
        <v>7</v>
      </c>
      <c r="D61" s="2" t="s">
        <v>15</v>
      </c>
      <c r="E61" s="4">
        <f t="shared" si="11"/>
        <v>9</v>
      </c>
      <c r="F61" s="3">
        <f t="shared" si="12"/>
        <v>8</v>
      </c>
      <c r="G61" s="3">
        <f t="shared" si="13"/>
        <v>16</v>
      </c>
      <c r="H61" s="5">
        <f t="shared" si="14"/>
        <v>8</v>
      </c>
      <c r="I61" s="5">
        <f t="shared" si="15"/>
        <v>1</v>
      </c>
    </row>
    <row r="62" spans="1:9" x14ac:dyDescent="0.35">
      <c r="A62" s="2" t="str">
        <f t="shared" si="0"/>
        <v>3I</v>
      </c>
      <c r="B62" s="74">
        <v>3</v>
      </c>
      <c r="C62" s="2" t="s">
        <v>8</v>
      </c>
      <c r="D62" s="2" t="s">
        <v>17</v>
      </c>
      <c r="E62" s="4">
        <f t="shared" si="11"/>
        <v>10</v>
      </c>
      <c r="F62" s="3">
        <f t="shared" si="12"/>
        <v>9</v>
      </c>
      <c r="G62" s="3">
        <f t="shared" si="13"/>
        <v>18</v>
      </c>
      <c r="H62" s="5">
        <f t="shared" si="14"/>
        <v>9</v>
      </c>
      <c r="I62" s="5">
        <f t="shared" si="15"/>
        <v>1</v>
      </c>
    </row>
    <row r="63" spans="1:9" x14ac:dyDescent="0.35">
      <c r="A63" s="2" t="str">
        <f t="shared" si="0"/>
        <v>3J</v>
      </c>
      <c r="B63" s="74">
        <v>3</v>
      </c>
      <c r="C63" s="2" t="s">
        <v>9</v>
      </c>
      <c r="D63" s="2" t="s">
        <v>19</v>
      </c>
      <c r="E63" s="4">
        <f t="shared" si="11"/>
        <v>11</v>
      </c>
      <c r="F63" s="3">
        <f t="shared" si="12"/>
        <v>10</v>
      </c>
      <c r="G63" s="3">
        <f t="shared" si="13"/>
        <v>20</v>
      </c>
      <c r="H63" s="5">
        <f t="shared" si="14"/>
        <v>10</v>
      </c>
      <c r="I63" s="5">
        <f t="shared" si="15"/>
        <v>1</v>
      </c>
    </row>
    <row r="64" spans="1:9" x14ac:dyDescent="0.35">
      <c r="A64" s="2" t="str">
        <f t="shared" si="0"/>
        <v>3K</v>
      </c>
      <c r="B64" s="74">
        <v>3</v>
      </c>
      <c r="C64" s="2" t="s">
        <v>10</v>
      </c>
      <c r="D64" s="2" t="s">
        <v>23</v>
      </c>
      <c r="E64" s="4">
        <f t="shared" si="11"/>
        <v>14</v>
      </c>
      <c r="F64" s="3">
        <f t="shared" si="12"/>
        <v>11</v>
      </c>
      <c r="G64" s="3">
        <f t="shared" si="13"/>
        <v>24</v>
      </c>
      <c r="H64" s="5">
        <f t="shared" si="14"/>
        <v>13</v>
      </c>
      <c r="I64" s="5">
        <f t="shared" si="15"/>
        <v>1</v>
      </c>
    </row>
    <row r="65" spans="1:9" x14ac:dyDescent="0.35">
      <c r="A65" s="2" t="str">
        <f t="shared" si="0"/>
        <v>3L</v>
      </c>
      <c r="B65" s="74">
        <v>3</v>
      </c>
      <c r="C65" s="2" t="s">
        <v>11</v>
      </c>
      <c r="D65" s="2" t="s">
        <v>21</v>
      </c>
      <c r="E65" s="4">
        <f t="shared" si="11"/>
        <v>11</v>
      </c>
      <c r="F65" s="3">
        <f t="shared" si="12"/>
        <v>12</v>
      </c>
      <c r="G65" s="3">
        <f t="shared" si="13"/>
        <v>22</v>
      </c>
      <c r="H65" s="5">
        <f t="shared" si="14"/>
        <v>10</v>
      </c>
      <c r="I65" s="5">
        <f t="shared" si="15"/>
        <v>1</v>
      </c>
    </row>
    <row r="66" spans="1:9" x14ac:dyDescent="0.35">
      <c r="A66" s="2" t="str">
        <f t="shared" si="0"/>
        <v>3M</v>
      </c>
      <c r="B66" s="74">
        <v>3</v>
      </c>
      <c r="C66" s="2" t="s">
        <v>12</v>
      </c>
      <c r="D66" s="2" t="s">
        <v>25</v>
      </c>
      <c r="E66" s="4">
        <f t="shared" si="11"/>
        <v>14</v>
      </c>
      <c r="F66" s="3">
        <f t="shared" si="12"/>
        <v>13</v>
      </c>
      <c r="G66" s="3">
        <f t="shared" si="13"/>
        <v>26</v>
      </c>
      <c r="H66" s="5">
        <f t="shared" si="14"/>
        <v>13</v>
      </c>
      <c r="I66" s="5">
        <f t="shared" si="15"/>
        <v>1</v>
      </c>
    </row>
    <row r="67" spans="1:9" x14ac:dyDescent="0.35">
      <c r="A67" s="2" t="str">
        <f t="shared" si="0"/>
        <v>3N</v>
      </c>
      <c r="B67" s="74">
        <v>3</v>
      </c>
      <c r="C67" s="2" t="s">
        <v>13</v>
      </c>
      <c r="D67" s="2" t="s">
        <v>13</v>
      </c>
      <c r="E67" s="4">
        <f t="shared" si="11"/>
        <v>1</v>
      </c>
      <c r="F67" s="3">
        <f t="shared" si="12"/>
        <v>14</v>
      </c>
      <c r="G67" s="3">
        <f t="shared" si="13"/>
        <v>14</v>
      </c>
      <c r="H67" s="5">
        <f t="shared" si="14"/>
        <v>0</v>
      </c>
      <c r="I67" s="5">
        <f t="shared" si="15"/>
        <v>1</v>
      </c>
    </row>
    <row r="68" spans="1:9" x14ac:dyDescent="0.35">
      <c r="A68" s="2" t="str">
        <f t="shared" si="0"/>
        <v>3O</v>
      </c>
      <c r="B68" s="74">
        <v>3</v>
      </c>
      <c r="C68" s="2" t="s">
        <v>14</v>
      </c>
      <c r="D68" s="2" t="s">
        <v>24</v>
      </c>
      <c r="E68" s="4">
        <f t="shared" si="11"/>
        <v>11</v>
      </c>
      <c r="F68" s="3">
        <f t="shared" si="12"/>
        <v>15</v>
      </c>
      <c r="G68" s="3">
        <f t="shared" si="13"/>
        <v>25</v>
      </c>
      <c r="H68" s="5">
        <f t="shared" si="14"/>
        <v>10</v>
      </c>
      <c r="I68" s="5">
        <f t="shared" si="15"/>
        <v>1</v>
      </c>
    </row>
    <row r="69" spans="1:9" x14ac:dyDescent="0.35">
      <c r="A69" s="2" t="str">
        <f t="shared" si="0"/>
        <v>3P</v>
      </c>
      <c r="B69" s="74">
        <v>3</v>
      </c>
      <c r="C69" s="2" t="s">
        <v>15</v>
      </c>
      <c r="D69" s="2" t="s">
        <v>4</v>
      </c>
      <c r="E69" s="4">
        <f t="shared" si="11"/>
        <v>16</v>
      </c>
      <c r="F69" s="3">
        <f t="shared" si="12"/>
        <v>16</v>
      </c>
      <c r="G69" s="3">
        <f t="shared" si="13"/>
        <v>5</v>
      </c>
      <c r="H69" s="5">
        <f t="shared" si="14"/>
        <v>-11</v>
      </c>
      <c r="I69" s="5">
        <f t="shared" si="15"/>
        <v>27</v>
      </c>
    </row>
    <row r="70" spans="1:9" x14ac:dyDescent="0.35">
      <c r="A70" s="2" t="str">
        <f t="shared" si="0"/>
        <v>3Q</v>
      </c>
      <c r="B70" s="74">
        <v>3</v>
      </c>
      <c r="C70" s="2" t="s">
        <v>16</v>
      </c>
      <c r="D70" s="2" t="s">
        <v>8</v>
      </c>
      <c r="E70" s="4">
        <f t="shared" si="11"/>
        <v>19</v>
      </c>
      <c r="F70" s="3">
        <f t="shared" si="12"/>
        <v>17</v>
      </c>
      <c r="G70" s="3">
        <f t="shared" si="13"/>
        <v>9</v>
      </c>
      <c r="H70" s="5">
        <f t="shared" si="14"/>
        <v>-8</v>
      </c>
      <c r="I70" s="5">
        <f t="shared" si="15"/>
        <v>27</v>
      </c>
    </row>
    <row r="71" spans="1:9" x14ac:dyDescent="0.35">
      <c r="A71" s="2" t="str">
        <f t="shared" si="0"/>
        <v>3R</v>
      </c>
      <c r="B71" s="74">
        <v>3</v>
      </c>
      <c r="C71" s="2" t="s">
        <v>17</v>
      </c>
      <c r="D71" s="2" t="s">
        <v>22</v>
      </c>
      <c r="E71" s="4">
        <f t="shared" si="11"/>
        <v>6</v>
      </c>
      <c r="F71" s="3">
        <f t="shared" si="12"/>
        <v>18</v>
      </c>
      <c r="G71" s="3">
        <f t="shared" si="13"/>
        <v>23</v>
      </c>
      <c r="H71" s="5">
        <f t="shared" si="14"/>
        <v>5</v>
      </c>
      <c r="I71" s="5">
        <f t="shared" si="15"/>
        <v>1</v>
      </c>
    </row>
    <row r="72" spans="1:9" x14ac:dyDescent="0.35">
      <c r="A72" s="2" t="str">
        <f t="shared" si="0"/>
        <v>3S</v>
      </c>
      <c r="B72" s="74">
        <v>3</v>
      </c>
      <c r="C72" s="2" t="s">
        <v>18</v>
      </c>
      <c r="D72" s="2" t="s">
        <v>6</v>
      </c>
      <c r="E72" s="4">
        <f t="shared" si="11"/>
        <v>15</v>
      </c>
      <c r="F72" s="3">
        <f t="shared" si="12"/>
        <v>19</v>
      </c>
      <c r="G72" s="3">
        <f t="shared" si="13"/>
        <v>7</v>
      </c>
      <c r="H72" s="5">
        <f t="shared" si="14"/>
        <v>-12</v>
      </c>
      <c r="I72" s="5">
        <f t="shared" si="15"/>
        <v>27</v>
      </c>
    </row>
    <row r="73" spans="1:9" x14ac:dyDescent="0.35">
      <c r="A73" s="2" t="str">
        <f t="shared" si="0"/>
        <v>3T</v>
      </c>
      <c r="B73" s="74">
        <v>3</v>
      </c>
      <c r="C73" s="2" t="s">
        <v>19</v>
      </c>
      <c r="D73" s="2" t="s">
        <v>1</v>
      </c>
      <c r="E73" s="4">
        <f t="shared" si="11"/>
        <v>8</v>
      </c>
      <c r="F73" s="3">
        <f t="shared" si="12"/>
        <v>20</v>
      </c>
      <c r="G73" s="3">
        <f t="shared" si="13"/>
        <v>1</v>
      </c>
      <c r="H73" s="5">
        <f t="shared" si="14"/>
        <v>-19</v>
      </c>
      <c r="I73" s="5">
        <f t="shared" si="15"/>
        <v>27</v>
      </c>
    </row>
    <row r="74" spans="1:9" x14ac:dyDescent="0.35">
      <c r="A74" s="2" t="str">
        <f t="shared" si="0"/>
        <v>3U</v>
      </c>
      <c r="B74" s="74">
        <v>3</v>
      </c>
      <c r="C74" s="2" t="s">
        <v>20</v>
      </c>
      <c r="D74" s="2" t="s">
        <v>10</v>
      </c>
      <c r="E74" s="4">
        <f t="shared" si="11"/>
        <v>17</v>
      </c>
      <c r="F74" s="3">
        <f t="shared" si="12"/>
        <v>21</v>
      </c>
      <c r="G74" s="3">
        <f t="shared" si="13"/>
        <v>11</v>
      </c>
      <c r="H74" s="5">
        <f t="shared" si="14"/>
        <v>-10</v>
      </c>
      <c r="I74" s="5">
        <f t="shared" si="15"/>
        <v>27</v>
      </c>
    </row>
    <row r="75" spans="1:9" x14ac:dyDescent="0.35">
      <c r="A75" s="2" t="str">
        <f t="shared" si="0"/>
        <v>3V</v>
      </c>
      <c r="B75" s="74">
        <v>3</v>
      </c>
      <c r="C75" s="2" t="s">
        <v>21</v>
      </c>
      <c r="D75" s="2" t="s">
        <v>12</v>
      </c>
      <c r="E75" s="4">
        <f t="shared" si="11"/>
        <v>18</v>
      </c>
      <c r="F75" s="3">
        <f t="shared" si="12"/>
        <v>22</v>
      </c>
      <c r="G75" s="3">
        <f t="shared" si="13"/>
        <v>13</v>
      </c>
      <c r="H75" s="5">
        <f t="shared" si="14"/>
        <v>-9</v>
      </c>
      <c r="I75" s="5">
        <f t="shared" si="15"/>
        <v>27</v>
      </c>
    </row>
    <row r="76" spans="1:9" x14ac:dyDescent="0.35">
      <c r="A76" s="2" t="str">
        <f t="shared" si="0"/>
        <v>3W</v>
      </c>
      <c r="B76" s="74">
        <v>3</v>
      </c>
      <c r="C76" s="2" t="s">
        <v>22</v>
      </c>
      <c r="D76" s="2" t="s">
        <v>20</v>
      </c>
      <c r="E76" s="4">
        <f t="shared" si="11"/>
        <v>25</v>
      </c>
      <c r="F76" s="3">
        <f t="shared" si="12"/>
        <v>23</v>
      </c>
      <c r="G76" s="3">
        <f t="shared" si="13"/>
        <v>21</v>
      </c>
      <c r="H76" s="5">
        <f t="shared" si="14"/>
        <v>-2</v>
      </c>
      <c r="I76" s="5">
        <f t="shared" si="15"/>
        <v>27</v>
      </c>
    </row>
    <row r="77" spans="1:9" x14ac:dyDescent="0.35">
      <c r="A77" s="2" t="str">
        <f t="shared" si="0"/>
        <v>3X</v>
      </c>
      <c r="B77" s="74">
        <v>3</v>
      </c>
      <c r="C77" s="2" t="s">
        <v>23</v>
      </c>
      <c r="D77" s="2" t="s">
        <v>18</v>
      </c>
      <c r="E77" s="4">
        <f t="shared" si="11"/>
        <v>22</v>
      </c>
      <c r="F77" s="3">
        <f t="shared" si="12"/>
        <v>24</v>
      </c>
      <c r="G77" s="3">
        <f t="shared" si="13"/>
        <v>19</v>
      </c>
      <c r="H77" s="5">
        <f t="shared" si="14"/>
        <v>-5</v>
      </c>
      <c r="I77" s="5">
        <f t="shared" si="15"/>
        <v>27</v>
      </c>
    </row>
    <row r="78" spans="1:9" x14ac:dyDescent="0.35">
      <c r="A78" s="2" t="str">
        <f t="shared" si="0"/>
        <v>3Y</v>
      </c>
      <c r="B78" s="74">
        <v>3</v>
      </c>
      <c r="C78" s="2" t="s">
        <v>24</v>
      </c>
      <c r="D78" s="2" t="s">
        <v>16</v>
      </c>
      <c r="E78" s="4">
        <f t="shared" si="11"/>
        <v>19</v>
      </c>
      <c r="F78" s="3">
        <f t="shared" si="12"/>
        <v>25</v>
      </c>
      <c r="G78" s="3">
        <f t="shared" si="13"/>
        <v>17</v>
      </c>
      <c r="H78" s="5">
        <f t="shared" si="14"/>
        <v>-8</v>
      </c>
      <c r="I78" s="5">
        <f t="shared" si="15"/>
        <v>27</v>
      </c>
    </row>
    <row r="79" spans="1:9" x14ac:dyDescent="0.35">
      <c r="A79" s="2" t="str">
        <f t="shared" si="0"/>
        <v>3Z</v>
      </c>
      <c r="B79" s="74">
        <v>3</v>
      </c>
      <c r="C79" s="2" t="s">
        <v>25</v>
      </c>
      <c r="D79" s="2" t="s">
        <v>14</v>
      </c>
      <c r="E79" s="4">
        <f t="shared" si="11"/>
        <v>16</v>
      </c>
      <c r="F79" s="3">
        <f t="shared" si="12"/>
        <v>26</v>
      </c>
      <c r="G79" s="3">
        <f t="shared" si="13"/>
        <v>15</v>
      </c>
      <c r="H79" s="5">
        <f t="shared" si="14"/>
        <v>-11</v>
      </c>
      <c r="I79" s="5">
        <f t="shared" si="15"/>
        <v>27</v>
      </c>
    </row>
    <row r="80" spans="1:9" x14ac:dyDescent="0.35">
      <c r="A80" s="2" t="str">
        <f t="shared" si="0"/>
        <v>4A</v>
      </c>
      <c r="B80" s="74">
        <v>4</v>
      </c>
      <c r="C80" s="2" t="s">
        <v>1</v>
      </c>
      <c r="D80" s="2" t="s">
        <v>4</v>
      </c>
      <c r="E80" s="4">
        <f t="shared" ref="E80:E105" si="16">H80+I80</f>
        <v>5</v>
      </c>
      <c r="F80" s="3">
        <f t="shared" ref="F80:F105" si="17">VLOOKUP(C80,nLet2Num,2,FALSE)</f>
        <v>1</v>
      </c>
      <c r="G80" s="3">
        <f t="shared" ref="G80:G105" si="18">VLOOKUP(D80,nLet2Num,2,FALSE)</f>
        <v>5</v>
      </c>
      <c r="H80" s="5">
        <f t="shared" ref="H80:H105" si="19">G80-F80</f>
        <v>4</v>
      </c>
      <c r="I80" s="5">
        <f t="shared" ref="I80:I105" si="20">IF(H80&lt;0,27,1)</f>
        <v>1</v>
      </c>
    </row>
    <row r="81" spans="1:9" x14ac:dyDescent="0.35">
      <c r="A81" s="2" t="str">
        <f t="shared" si="0"/>
        <v>4B</v>
      </c>
      <c r="B81" s="74">
        <v>4</v>
      </c>
      <c r="C81" s="2" t="s">
        <v>0</v>
      </c>
      <c r="D81" s="2" t="s">
        <v>18</v>
      </c>
      <c r="E81" s="4">
        <f t="shared" si="16"/>
        <v>18</v>
      </c>
      <c r="F81" s="3">
        <f t="shared" si="17"/>
        <v>2</v>
      </c>
      <c r="G81" s="3">
        <f t="shared" si="18"/>
        <v>19</v>
      </c>
      <c r="H81" s="5">
        <f t="shared" si="19"/>
        <v>17</v>
      </c>
      <c r="I81" s="5">
        <f t="shared" si="20"/>
        <v>1</v>
      </c>
    </row>
    <row r="82" spans="1:9" x14ac:dyDescent="0.35">
      <c r="A82" s="2" t="str">
        <f t="shared" si="0"/>
        <v>4C</v>
      </c>
      <c r="B82" s="74">
        <v>4</v>
      </c>
      <c r="C82" s="2" t="s">
        <v>2</v>
      </c>
      <c r="D82" s="2" t="s">
        <v>14</v>
      </c>
      <c r="E82" s="4">
        <f t="shared" si="16"/>
        <v>13</v>
      </c>
      <c r="F82" s="3">
        <f t="shared" si="17"/>
        <v>3</v>
      </c>
      <c r="G82" s="3">
        <f t="shared" si="18"/>
        <v>15</v>
      </c>
      <c r="H82" s="5">
        <f t="shared" si="19"/>
        <v>12</v>
      </c>
      <c r="I82" s="5">
        <f t="shared" si="20"/>
        <v>1</v>
      </c>
    </row>
    <row r="83" spans="1:9" x14ac:dyDescent="0.35">
      <c r="A83" s="2" t="str">
        <f t="shared" si="0"/>
        <v>4D</v>
      </c>
      <c r="B83" s="74">
        <v>4</v>
      </c>
      <c r="C83" s="2" t="s">
        <v>3</v>
      </c>
      <c r="D83" s="2" t="s">
        <v>21</v>
      </c>
      <c r="E83" s="4">
        <f t="shared" si="16"/>
        <v>19</v>
      </c>
      <c r="F83" s="3">
        <f t="shared" si="17"/>
        <v>4</v>
      </c>
      <c r="G83" s="3">
        <f t="shared" si="18"/>
        <v>22</v>
      </c>
      <c r="H83" s="5">
        <f t="shared" si="19"/>
        <v>18</v>
      </c>
      <c r="I83" s="5">
        <f t="shared" si="20"/>
        <v>1</v>
      </c>
    </row>
    <row r="84" spans="1:9" x14ac:dyDescent="0.35">
      <c r="A84" s="2" t="str">
        <f t="shared" si="0"/>
        <v>4E</v>
      </c>
      <c r="B84" s="74">
        <v>4</v>
      </c>
      <c r="C84" s="2" t="s">
        <v>4</v>
      </c>
      <c r="D84" s="2" t="s">
        <v>15</v>
      </c>
      <c r="E84" s="4">
        <f t="shared" si="16"/>
        <v>12</v>
      </c>
      <c r="F84" s="3">
        <f t="shared" si="17"/>
        <v>5</v>
      </c>
      <c r="G84" s="3">
        <f t="shared" si="18"/>
        <v>16</v>
      </c>
      <c r="H84" s="5">
        <f t="shared" si="19"/>
        <v>11</v>
      </c>
      <c r="I84" s="5">
        <f t="shared" si="20"/>
        <v>1</v>
      </c>
    </row>
    <row r="85" spans="1:9" x14ac:dyDescent="0.35">
      <c r="A85" s="2" t="str">
        <f t="shared" si="0"/>
        <v>4F</v>
      </c>
      <c r="B85" s="74">
        <v>4</v>
      </c>
      <c r="C85" s="2" t="s">
        <v>5</v>
      </c>
      <c r="D85" s="2" t="s">
        <v>25</v>
      </c>
      <c r="E85" s="4">
        <f t="shared" si="16"/>
        <v>21</v>
      </c>
      <c r="F85" s="3">
        <f t="shared" si="17"/>
        <v>6</v>
      </c>
      <c r="G85" s="3">
        <f t="shared" si="18"/>
        <v>26</v>
      </c>
      <c r="H85" s="5">
        <f t="shared" si="19"/>
        <v>20</v>
      </c>
      <c r="I85" s="5">
        <f t="shared" si="20"/>
        <v>1</v>
      </c>
    </row>
    <row r="86" spans="1:9" x14ac:dyDescent="0.35">
      <c r="A86" s="2" t="str">
        <f t="shared" si="0"/>
        <v>4G</v>
      </c>
      <c r="B86" s="74">
        <v>4</v>
      </c>
      <c r="C86" s="2" t="s">
        <v>6</v>
      </c>
      <c r="D86" s="2" t="s">
        <v>9</v>
      </c>
      <c r="E86" s="4">
        <f t="shared" si="16"/>
        <v>4</v>
      </c>
      <c r="F86" s="3">
        <f t="shared" si="17"/>
        <v>7</v>
      </c>
      <c r="G86" s="3">
        <f t="shared" si="18"/>
        <v>10</v>
      </c>
      <c r="H86" s="5">
        <f t="shared" si="19"/>
        <v>3</v>
      </c>
      <c r="I86" s="5">
        <f t="shared" si="20"/>
        <v>1</v>
      </c>
    </row>
    <row r="87" spans="1:9" x14ac:dyDescent="0.35">
      <c r="A87" s="2" t="str">
        <f t="shared" si="0"/>
        <v>4H</v>
      </c>
      <c r="B87" s="74">
        <v>4</v>
      </c>
      <c r="C87" s="2" t="s">
        <v>7</v>
      </c>
      <c r="D87" s="2" t="s">
        <v>1</v>
      </c>
      <c r="E87" s="4">
        <f t="shared" si="16"/>
        <v>20</v>
      </c>
      <c r="F87" s="3">
        <f t="shared" si="17"/>
        <v>8</v>
      </c>
      <c r="G87" s="3">
        <f t="shared" si="18"/>
        <v>1</v>
      </c>
      <c r="H87" s="5">
        <f t="shared" si="19"/>
        <v>-7</v>
      </c>
      <c r="I87" s="5">
        <f t="shared" si="20"/>
        <v>27</v>
      </c>
    </row>
    <row r="88" spans="1:9" x14ac:dyDescent="0.35">
      <c r="A88" s="2" t="str">
        <f t="shared" si="0"/>
        <v>4I</v>
      </c>
      <c r="B88" s="74">
        <v>4</v>
      </c>
      <c r="C88" s="2" t="s">
        <v>8</v>
      </c>
      <c r="D88" s="2" t="s">
        <v>24</v>
      </c>
      <c r="E88" s="4">
        <f t="shared" si="16"/>
        <v>17</v>
      </c>
      <c r="F88" s="3">
        <f t="shared" si="17"/>
        <v>9</v>
      </c>
      <c r="G88" s="3">
        <f t="shared" si="18"/>
        <v>25</v>
      </c>
      <c r="H88" s="5">
        <f t="shared" si="19"/>
        <v>16</v>
      </c>
      <c r="I88" s="5">
        <f t="shared" si="20"/>
        <v>1</v>
      </c>
    </row>
    <row r="89" spans="1:9" x14ac:dyDescent="0.35">
      <c r="A89" s="2" t="str">
        <f t="shared" si="0"/>
        <v>4J</v>
      </c>
      <c r="B89" s="74">
        <v>4</v>
      </c>
      <c r="C89" s="2" t="s">
        <v>9</v>
      </c>
      <c r="D89" s="2" t="s">
        <v>16</v>
      </c>
      <c r="E89" s="4">
        <f t="shared" si="16"/>
        <v>8</v>
      </c>
      <c r="F89" s="3">
        <f t="shared" si="17"/>
        <v>10</v>
      </c>
      <c r="G89" s="3">
        <f t="shared" si="18"/>
        <v>17</v>
      </c>
      <c r="H89" s="5">
        <f t="shared" si="19"/>
        <v>7</v>
      </c>
      <c r="I89" s="5">
        <f t="shared" si="20"/>
        <v>1</v>
      </c>
    </row>
    <row r="90" spans="1:9" x14ac:dyDescent="0.35">
      <c r="A90" s="2" t="str">
        <f t="shared" si="0"/>
        <v>4K</v>
      </c>
      <c r="B90" s="74">
        <v>4</v>
      </c>
      <c r="C90" s="2" t="s">
        <v>10</v>
      </c>
      <c r="D90" s="2" t="s">
        <v>20</v>
      </c>
      <c r="E90" s="4">
        <f t="shared" si="16"/>
        <v>11</v>
      </c>
      <c r="F90" s="3">
        <f t="shared" si="17"/>
        <v>11</v>
      </c>
      <c r="G90" s="3">
        <f t="shared" si="18"/>
        <v>21</v>
      </c>
      <c r="H90" s="5">
        <f t="shared" si="19"/>
        <v>10</v>
      </c>
      <c r="I90" s="5">
        <f t="shared" si="20"/>
        <v>1</v>
      </c>
    </row>
    <row r="91" spans="1:9" x14ac:dyDescent="0.35">
      <c r="A91" s="2" t="str">
        <f t="shared" si="0"/>
        <v>4L</v>
      </c>
      <c r="B91" s="74">
        <v>4</v>
      </c>
      <c r="C91" s="2" t="s">
        <v>11</v>
      </c>
      <c r="D91" s="2" t="s">
        <v>8</v>
      </c>
      <c r="E91" s="4">
        <f t="shared" si="16"/>
        <v>24</v>
      </c>
      <c r="F91" s="3">
        <f t="shared" si="17"/>
        <v>12</v>
      </c>
      <c r="G91" s="3">
        <f t="shared" si="18"/>
        <v>9</v>
      </c>
      <c r="H91" s="5">
        <f t="shared" si="19"/>
        <v>-3</v>
      </c>
      <c r="I91" s="5">
        <f t="shared" si="20"/>
        <v>27</v>
      </c>
    </row>
    <row r="92" spans="1:9" x14ac:dyDescent="0.35">
      <c r="A92" s="2" t="str">
        <f t="shared" si="0"/>
        <v>4M</v>
      </c>
      <c r="B92" s="74">
        <v>4</v>
      </c>
      <c r="C92" s="2" t="s">
        <v>12</v>
      </c>
      <c r="D92" s="2" t="s">
        <v>17</v>
      </c>
      <c r="E92" s="4">
        <f t="shared" si="16"/>
        <v>6</v>
      </c>
      <c r="F92" s="3">
        <f t="shared" si="17"/>
        <v>13</v>
      </c>
      <c r="G92" s="3">
        <f t="shared" si="18"/>
        <v>18</v>
      </c>
      <c r="H92" s="5">
        <f t="shared" si="19"/>
        <v>5</v>
      </c>
      <c r="I92" s="5">
        <f t="shared" si="20"/>
        <v>1</v>
      </c>
    </row>
    <row r="93" spans="1:9" x14ac:dyDescent="0.35">
      <c r="A93" s="2" t="str">
        <f t="shared" si="0"/>
        <v>4N</v>
      </c>
      <c r="B93" s="74">
        <v>4</v>
      </c>
      <c r="C93" s="2" t="s">
        <v>13</v>
      </c>
      <c r="D93" s="2" t="s">
        <v>7</v>
      </c>
      <c r="E93" s="4">
        <f t="shared" si="16"/>
        <v>21</v>
      </c>
      <c r="F93" s="3">
        <f t="shared" si="17"/>
        <v>14</v>
      </c>
      <c r="G93" s="3">
        <f t="shared" si="18"/>
        <v>8</v>
      </c>
      <c r="H93" s="5">
        <f t="shared" si="19"/>
        <v>-6</v>
      </c>
      <c r="I93" s="5">
        <f t="shared" si="20"/>
        <v>27</v>
      </c>
    </row>
    <row r="94" spans="1:9" x14ac:dyDescent="0.35">
      <c r="A94" s="2" t="str">
        <f t="shared" si="0"/>
        <v>4O</v>
      </c>
      <c r="B94" s="74">
        <v>4</v>
      </c>
      <c r="C94" s="2" t="s">
        <v>14</v>
      </c>
      <c r="D94" s="2" t="s">
        <v>23</v>
      </c>
      <c r="E94" s="4">
        <f t="shared" si="16"/>
        <v>10</v>
      </c>
      <c r="F94" s="3">
        <f t="shared" si="17"/>
        <v>15</v>
      </c>
      <c r="G94" s="3">
        <f t="shared" si="18"/>
        <v>24</v>
      </c>
      <c r="H94" s="5">
        <f t="shared" si="19"/>
        <v>9</v>
      </c>
      <c r="I94" s="5">
        <f t="shared" si="20"/>
        <v>1</v>
      </c>
    </row>
    <row r="95" spans="1:9" x14ac:dyDescent="0.35">
      <c r="A95" s="2" t="str">
        <f t="shared" si="0"/>
        <v>4P</v>
      </c>
      <c r="B95" s="74">
        <v>4</v>
      </c>
      <c r="C95" s="2" t="s">
        <v>15</v>
      </c>
      <c r="D95" s="2" t="s">
        <v>11</v>
      </c>
      <c r="E95" s="4">
        <f t="shared" si="16"/>
        <v>23</v>
      </c>
      <c r="F95" s="3">
        <f t="shared" si="17"/>
        <v>16</v>
      </c>
      <c r="G95" s="3">
        <f t="shared" si="18"/>
        <v>12</v>
      </c>
      <c r="H95" s="5">
        <f t="shared" si="19"/>
        <v>-4</v>
      </c>
      <c r="I95" s="5">
        <f t="shared" si="20"/>
        <v>27</v>
      </c>
    </row>
    <row r="96" spans="1:9" x14ac:dyDescent="0.35">
      <c r="A96" s="2" t="str">
        <f t="shared" si="0"/>
        <v>4Q</v>
      </c>
      <c r="B96" s="74">
        <v>4</v>
      </c>
      <c r="C96" s="2" t="s">
        <v>16</v>
      </c>
      <c r="D96" s="2" t="s">
        <v>13</v>
      </c>
      <c r="E96" s="4">
        <f t="shared" si="16"/>
        <v>24</v>
      </c>
      <c r="F96" s="3">
        <f t="shared" si="17"/>
        <v>17</v>
      </c>
      <c r="G96" s="3">
        <f t="shared" si="18"/>
        <v>14</v>
      </c>
      <c r="H96" s="5">
        <f t="shared" si="19"/>
        <v>-3</v>
      </c>
      <c r="I96" s="5">
        <f t="shared" si="20"/>
        <v>27</v>
      </c>
    </row>
    <row r="97" spans="1:9" x14ac:dyDescent="0.35">
      <c r="A97" s="2" t="str">
        <f t="shared" si="0"/>
        <v>4R</v>
      </c>
      <c r="B97" s="74">
        <v>4</v>
      </c>
      <c r="C97" s="2" t="s">
        <v>17</v>
      </c>
      <c r="D97" s="2" t="s">
        <v>5</v>
      </c>
      <c r="E97" s="4">
        <f t="shared" si="16"/>
        <v>15</v>
      </c>
      <c r="F97" s="3">
        <f t="shared" si="17"/>
        <v>18</v>
      </c>
      <c r="G97" s="3">
        <f t="shared" si="18"/>
        <v>6</v>
      </c>
      <c r="H97" s="5">
        <f t="shared" si="19"/>
        <v>-12</v>
      </c>
      <c r="I97" s="5">
        <f t="shared" si="20"/>
        <v>27</v>
      </c>
    </row>
    <row r="98" spans="1:9" x14ac:dyDescent="0.35">
      <c r="A98" s="2" t="str">
        <f t="shared" si="0"/>
        <v>4S</v>
      </c>
      <c r="B98" s="74">
        <v>4</v>
      </c>
      <c r="C98" s="2" t="s">
        <v>18</v>
      </c>
      <c r="D98" s="2" t="s">
        <v>19</v>
      </c>
      <c r="E98" s="4">
        <f t="shared" si="16"/>
        <v>2</v>
      </c>
      <c r="F98" s="3">
        <f t="shared" si="17"/>
        <v>19</v>
      </c>
      <c r="G98" s="3">
        <f t="shared" si="18"/>
        <v>20</v>
      </c>
      <c r="H98" s="5">
        <f t="shared" si="19"/>
        <v>1</v>
      </c>
      <c r="I98" s="5">
        <f t="shared" si="20"/>
        <v>1</v>
      </c>
    </row>
    <row r="99" spans="1:9" x14ac:dyDescent="0.35">
      <c r="A99" s="2" t="str">
        <f t="shared" si="0"/>
        <v>4T</v>
      </c>
      <c r="B99" s="74">
        <v>4</v>
      </c>
      <c r="C99" s="2" t="s">
        <v>19</v>
      </c>
      <c r="D99" s="2" t="s">
        <v>6</v>
      </c>
      <c r="E99" s="4">
        <f t="shared" si="16"/>
        <v>14</v>
      </c>
      <c r="F99" s="3">
        <f t="shared" si="17"/>
        <v>20</v>
      </c>
      <c r="G99" s="3">
        <f t="shared" si="18"/>
        <v>7</v>
      </c>
      <c r="H99" s="5">
        <f t="shared" si="19"/>
        <v>-13</v>
      </c>
      <c r="I99" s="5">
        <f t="shared" si="20"/>
        <v>27</v>
      </c>
    </row>
    <row r="100" spans="1:9" x14ac:dyDescent="0.35">
      <c r="A100" s="2" t="str">
        <f t="shared" si="0"/>
        <v>4U</v>
      </c>
      <c r="B100" s="74">
        <v>4</v>
      </c>
      <c r="C100" s="2" t="s">
        <v>20</v>
      </c>
      <c r="D100" s="2" t="s">
        <v>10</v>
      </c>
      <c r="E100" s="4">
        <f t="shared" si="16"/>
        <v>17</v>
      </c>
      <c r="F100" s="3">
        <f t="shared" si="17"/>
        <v>21</v>
      </c>
      <c r="G100" s="3">
        <f t="shared" si="18"/>
        <v>11</v>
      </c>
      <c r="H100" s="5">
        <f t="shared" si="19"/>
        <v>-10</v>
      </c>
      <c r="I100" s="5">
        <f t="shared" si="20"/>
        <v>27</v>
      </c>
    </row>
    <row r="101" spans="1:9" x14ac:dyDescent="0.35">
      <c r="A101" s="2" t="str">
        <f t="shared" si="0"/>
        <v>4V</v>
      </c>
      <c r="B101" s="74">
        <v>4</v>
      </c>
      <c r="C101" s="2" t="s">
        <v>21</v>
      </c>
      <c r="D101" s="2" t="s">
        <v>3</v>
      </c>
      <c r="E101" s="4">
        <f t="shared" si="16"/>
        <v>9</v>
      </c>
      <c r="F101" s="3">
        <f t="shared" si="17"/>
        <v>22</v>
      </c>
      <c r="G101" s="3">
        <f t="shared" si="18"/>
        <v>4</v>
      </c>
      <c r="H101" s="5">
        <f t="shared" si="19"/>
        <v>-18</v>
      </c>
      <c r="I101" s="5">
        <f t="shared" si="20"/>
        <v>27</v>
      </c>
    </row>
    <row r="102" spans="1:9" x14ac:dyDescent="0.35">
      <c r="A102" s="2" t="str">
        <f t="shared" si="0"/>
        <v>4W</v>
      </c>
      <c r="B102" s="74">
        <v>4</v>
      </c>
      <c r="C102" s="2" t="s">
        <v>22</v>
      </c>
      <c r="D102" s="2" t="s">
        <v>2</v>
      </c>
      <c r="E102" s="4">
        <f t="shared" si="16"/>
        <v>7</v>
      </c>
      <c r="F102" s="3">
        <f t="shared" si="17"/>
        <v>23</v>
      </c>
      <c r="G102" s="3">
        <f t="shared" si="18"/>
        <v>3</v>
      </c>
      <c r="H102" s="5">
        <f t="shared" si="19"/>
        <v>-20</v>
      </c>
      <c r="I102" s="5">
        <f t="shared" si="20"/>
        <v>27</v>
      </c>
    </row>
    <row r="103" spans="1:9" x14ac:dyDescent="0.35">
      <c r="A103" s="2" t="str">
        <f t="shared" si="0"/>
        <v>4X</v>
      </c>
      <c r="B103" s="74">
        <v>4</v>
      </c>
      <c r="C103" s="2" t="s">
        <v>23</v>
      </c>
      <c r="D103" s="2" t="s">
        <v>12</v>
      </c>
      <c r="E103" s="4">
        <f t="shared" si="16"/>
        <v>16</v>
      </c>
      <c r="F103" s="3">
        <f t="shared" si="17"/>
        <v>24</v>
      </c>
      <c r="G103" s="3">
        <f t="shared" si="18"/>
        <v>13</v>
      </c>
      <c r="H103" s="5">
        <f t="shared" si="19"/>
        <v>-11</v>
      </c>
      <c r="I103" s="5">
        <f t="shared" si="20"/>
        <v>27</v>
      </c>
    </row>
    <row r="104" spans="1:9" x14ac:dyDescent="0.35">
      <c r="A104" s="2" t="str">
        <f t="shared" si="0"/>
        <v>4Y</v>
      </c>
      <c r="B104" s="74">
        <v>4</v>
      </c>
      <c r="C104" s="2" t="s">
        <v>24</v>
      </c>
      <c r="D104" s="2" t="s">
        <v>22</v>
      </c>
      <c r="E104" s="4">
        <f t="shared" si="16"/>
        <v>25</v>
      </c>
      <c r="F104" s="3">
        <f t="shared" si="17"/>
        <v>25</v>
      </c>
      <c r="G104" s="3">
        <f t="shared" si="18"/>
        <v>23</v>
      </c>
      <c r="H104" s="5">
        <f t="shared" si="19"/>
        <v>-2</v>
      </c>
      <c r="I104" s="5">
        <f t="shared" si="20"/>
        <v>27</v>
      </c>
    </row>
    <row r="105" spans="1:9" x14ac:dyDescent="0.35">
      <c r="A105" s="2" t="str">
        <f t="shared" si="0"/>
        <v>4Z</v>
      </c>
      <c r="B105" s="74">
        <v>4</v>
      </c>
      <c r="C105" s="2" t="s">
        <v>25</v>
      </c>
      <c r="D105" s="2" t="s">
        <v>0</v>
      </c>
      <c r="E105" s="4">
        <f t="shared" si="16"/>
        <v>3</v>
      </c>
      <c r="F105" s="3">
        <f t="shared" si="17"/>
        <v>26</v>
      </c>
      <c r="G105" s="3">
        <f t="shared" si="18"/>
        <v>2</v>
      </c>
      <c r="H105" s="5">
        <f t="shared" si="19"/>
        <v>-24</v>
      </c>
      <c r="I105" s="5">
        <f t="shared" si="20"/>
        <v>27</v>
      </c>
    </row>
    <row r="106" spans="1:9" x14ac:dyDescent="0.35">
      <c r="A106" s="2" t="str">
        <f t="shared" si="0"/>
        <v>5A</v>
      </c>
      <c r="B106" s="74">
        <v>5</v>
      </c>
      <c r="C106" s="2" t="s">
        <v>1</v>
      </c>
      <c r="D106" s="2" t="s">
        <v>21</v>
      </c>
      <c r="E106" s="4">
        <f t="shared" ref="E106:E169" si="21">H106+I106</f>
        <v>22</v>
      </c>
      <c r="F106" s="3">
        <f t="shared" ref="F106:F169" si="22">VLOOKUP(C106,nLet2Num,2,FALSE)</f>
        <v>1</v>
      </c>
      <c r="G106" s="3">
        <f t="shared" ref="G106:G169" si="23">VLOOKUP(D106,nLet2Num,2,FALSE)</f>
        <v>22</v>
      </c>
      <c r="H106" s="5">
        <f t="shared" ref="H106:H169" si="24">G106-F106</f>
        <v>21</v>
      </c>
      <c r="I106" s="5">
        <f t="shared" ref="I106:I131" si="25">IF(H106&lt;0,27,1)</f>
        <v>1</v>
      </c>
    </row>
    <row r="107" spans="1:9" x14ac:dyDescent="0.35">
      <c r="A107" s="2" t="str">
        <f t="shared" si="0"/>
        <v>5B</v>
      </c>
      <c r="B107" s="74">
        <v>5</v>
      </c>
      <c r="C107" s="2" t="s">
        <v>0</v>
      </c>
      <c r="D107" s="2" t="s">
        <v>25</v>
      </c>
      <c r="E107" s="4">
        <f t="shared" si="21"/>
        <v>25</v>
      </c>
      <c r="F107" s="3">
        <f t="shared" si="22"/>
        <v>2</v>
      </c>
      <c r="G107" s="3">
        <f t="shared" si="23"/>
        <v>26</v>
      </c>
      <c r="H107" s="5">
        <f t="shared" si="24"/>
        <v>24</v>
      </c>
      <c r="I107" s="5">
        <f t="shared" si="25"/>
        <v>1</v>
      </c>
    </row>
    <row r="108" spans="1:9" x14ac:dyDescent="0.35">
      <c r="A108" s="2" t="str">
        <f t="shared" si="0"/>
        <v>5C</v>
      </c>
      <c r="B108" s="74">
        <v>5</v>
      </c>
      <c r="C108" s="2" t="s">
        <v>2</v>
      </c>
      <c r="D108" s="2" t="s">
        <v>0</v>
      </c>
      <c r="E108" s="4">
        <f t="shared" si="21"/>
        <v>26</v>
      </c>
      <c r="F108" s="3">
        <f t="shared" si="22"/>
        <v>3</v>
      </c>
      <c r="G108" s="3">
        <f t="shared" si="23"/>
        <v>2</v>
      </c>
      <c r="H108" s="5">
        <f t="shared" si="24"/>
        <v>-1</v>
      </c>
      <c r="I108" s="5">
        <f t="shared" si="25"/>
        <v>27</v>
      </c>
    </row>
    <row r="109" spans="1:9" x14ac:dyDescent="0.35">
      <c r="A109" s="2" t="str">
        <f t="shared" si="0"/>
        <v>5D</v>
      </c>
      <c r="B109" s="74">
        <v>5</v>
      </c>
      <c r="C109" s="2" t="s">
        <v>3</v>
      </c>
      <c r="D109" s="2" t="s">
        <v>17</v>
      </c>
      <c r="E109" s="4">
        <f t="shared" si="21"/>
        <v>15</v>
      </c>
      <c r="F109" s="3">
        <f t="shared" si="22"/>
        <v>4</v>
      </c>
      <c r="G109" s="3">
        <f t="shared" si="23"/>
        <v>18</v>
      </c>
      <c r="H109" s="5">
        <f t="shared" si="24"/>
        <v>14</v>
      </c>
      <c r="I109" s="5">
        <f t="shared" si="25"/>
        <v>1</v>
      </c>
    </row>
    <row r="110" spans="1:9" x14ac:dyDescent="0.35">
      <c r="A110" s="2" t="str">
        <f t="shared" si="0"/>
        <v>5E</v>
      </c>
      <c r="B110" s="74">
        <v>5</v>
      </c>
      <c r="C110" s="2" t="s">
        <v>4</v>
      </c>
      <c r="D110" s="2" t="s">
        <v>6</v>
      </c>
      <c r="E110" s="4">
        <f t="shared" si="21"/>
        <v>3</v>
      </c>
      <c r="F110" s="3">
        <f t="shared" si="22"/>
        <v>5</v>
      </c>
      <c r="G110" s="3">
        <f t="shared" si="23"/>
        <v>7</v>
      </c>
      <c r="H110" s="5">
        <f t="shared" si="24"/>
        <v>2</v>
      </c>
      <c r="I110" s="5">
        <f t="shared" si="25"/>
        <v>1</v>
      </c>
    </row>
    <row r="111" spans="1:9" x14ac:dyDescent="0.35">
      <c r="A111" s="2" t="str">
        <f t="shared" si="0"/>
        <v>5F</v>
      </c>
      <c r="B111" s="74">
        <v>5</v>
      </c>
      <c r="C111" s="2" t="s">
        <v>5</v>
      </c>
      <c r="D111" s="2" t="s">
        <v>8</v>
      </c>
      <c r="E111" s="4">
        <f t="shared" si="21"/>
        <v>4</v>
      </c>
      <c r="F111" s="3">
        <f t="shared" si="22"/>
        <v>6</v>
      </c>
      <c r="G111" s="3">
        <f t="shared" si="23"/>
        <v>9</v>
      </c>
      <c r="H111" s="5">
        <f t="shared" si="24"/>
        <v>3</v>
      </c>
      <c r="I111" s="5">
        <f t="shared" si="25"/>
        <v>1</v>
      </c>
    </row>
    <row r="112" spans="1:9" x14ac:dyDescent="0.35">
      <c r="A112" s="2" t="str">
        <f t="shared" si="0"/>
        <v>5G</v>
      </c>
      <c r="B112" s="74">
        <v>5</v>
      </c>
      <c r="C112" s="2" t="s">
        <v>6</v>
      </c>
      <c r="D112" s="2" t="s">
        <v>19</v>
      </c>
      <c r="E112" s="4">
        <f t="shared" si="21"/>
        <v>14</v>
      </c>
      <c r="F112" s="3">
        <f t="shared" si="22"/>
        <v>7</v>
      </c>
      <c r="G112" s="3">
        <f t="shared" si="23"/>
        <v>20</v>
      </c>
      <c r="H112" s="5">
        <f t="shared" si="24"/>
        <v>13</v>
      </c>
      <c r="I112" s="5">
        <f t="shared" si="25"/>
        <v>1</v>
      </c>
    </row>
    <row r="113" spans="1:9" x14ac:dyDescent="0.35">
      <c r="A113" s="2" t="str">
        <f t="shared" si="0"/>
        <v>5H</v>
      </c>
      <c r="B113" s="74">
        <v>5</v>
      </c>
      <c r="C113" s="2" t="s">
        <v>7</v>
      </c>
      <c r="D113" s="2" t="s">
        <v>24</v>
      </c>
      <c r="E113" s="4">
        <f t="shared" si="21"/>
        <v>18</v>
      </c>
      <c r="F113" s="3">
        <f t="shared" si="22"/>
        <v>8</v>
      </c>
      <c r="G113" s="3">
        <f t="shared" si="23"/>
        <v>25</v>
      </c>
      <c r="H113" s="5">
        <f t="shared" si="24"/>
        <v>17</v>
      </c>
      <c r="I113" s="5">
        <f t="shared" si="25"/>
        <v>1</v>
      </c>
    </row>
    <row r="114" spans="1:9" x14ac:dyDescent="0.35">
      <c r="A114" s="2" t="str">
        <f t="shared" si="0"/>
        <v>5I</v>
      </c>
      <c r="B114" s="74">
        <v>5</v>
      </c>
      <c r="C114" s="2" t="s">
        <v>8</v>
      </c>
      <c r="D114" s="2" t="s">
        <v>20</v>
      </c>
      <c r="E114" s="4">
        <f t="shared" si="21"/>
        <v>13</v>
      </c>
      <c r="F114" s="3">
        <f t="shared" si="22"/>
        <v>9</v>
      </c>
      <c r="G114" s="3">
        <f t="shared" si="23"/>
        <v>21</v>
      </c>
      <c r="H114" s="5">
        <f t="shared" si="24"/>
        <v>12</v>
      </c>
      <c r="I114" s="5">
        <f t="shared" si="25"/>
        <v>1</v>
      </c>
    </row>
    <row r="115" spans="1:9" x14ac:dyDescent="0.35">
      <c r="A115" s="2" t="str">
        <f t="shared" si="0"/>
        <v>5J</v>
      </c>
      <c r="B115" s="74">
        <v>5</v>
      </c>
      <c r="C115" s="2" t="s">
        <v>9</v>
      </c>
      <c r="D115" s="2" t="s">
        <v>15</v>
      </c>
      <c r="E115" s="4">
        <f t="shared" si="21"/>
        <v>7</v>
      </c>
      <c r="F115" s="3">
        <f t="shared" si="22"/>
        <v>10</v>
      </c>
      <c r="G115" s="3">
        <f t="shared" si="23"/>
        <v>16</v>
      </c>
      <c r="H115" s="5">
        <f t="shared" si="24"/>
        <v>6</v>
      </c>
      <c r="I115" s="5">
        <f t="shared" si="25"/>
        <v>1</v>
      </c>
    </row>
    <row r="116" spans="1:9" x14ac:dyDescent="0.35">
      <c r="A116" s="2" t="str">
        <f t="shared" si="0"/>
        <v>5K</v>
      </c>
      <c r="B116" s="74">
        <v>5</v>
      </c>
      <c r="C116" s="2" t="s">
        <v>10</v>
      </c>
      <c r="D116" s="2" t="s">
        <v>18</v>
      </c>
      <c r="E116" s="4">
        <f t="shared" si="21"/>
        <v>9</v>
      </c>
      <c r="F116" s="3">
        <f t="shared" si="22"/>
        <v>11</v>
      </c>
      <c r="G116" s="3">
        <f t="shared" si="23"/>
        <v>19</v>
      </c>
      <c r="H116" s="5">
        <f t="shared" si="24"/>
        <v>8</v>
      </c>
      <c r="I116" s="5">
        <f t="shared" si="25"/>
        <v>1</v>
      </c>
    </row>
    <row r="117" spans="1:9" x14ac:dyDescent="0.35">
      <c r="A117" s="2" t="str">
        <f t="shared" si="0"/>
        <v>5L</v>
      </c>
      <c r="B117" s="74">
        <v>5</v>
      </c>
      <c r="C117" s="2" t="s">
        <v>11</v>
      </c>
      <c r="D117" s="2" t="s">
        <v>3</v>
      </c>
      <c r="E117" s="4">
        <f t="shared" si="21"/>
        <v>19</v>
      </c>
      <c r="F117" s="3">
        <f t="shared" si="22"/>
        <v>12</v>
      </c>
      <c r="G117" s="3">
        <f t="shared" si="23"/>
        <v>4</v>
      </c>
      <c r="H117" s="5">
        <f t="shared" si="24"/>
        <v>-8</v>
      </c>
      <c r="I117" s="5">
        <f t="shared" si="25"/>
        <v>27</v>
      </c>
    </row>
    <row r="118" spans="1:9" x14ac:dyDescent="0.35">
      <c r="A118" s="2" t="str">
        <f t="shared" si="0"/>
        <v>5M</v>
      </c>
      <c r="B118" s="74">
        <v>5</v>
      </c>
      <c r="C118" s="2" t="s">
        <v>12</v>
      </c>
      <c r="D118" s="2" t="s">
        <v>13</v>
      </c>
      <c r="E118" s="4">
        <f t="shared" si="21"/>
        <v>2</v>
      </c>
      <c r="F118" s="3">
        <f t="shared" si="22"/>
        <v>13</v>
      </c>
      <c r="G118" s="3">
        <f t="shared" si="23"/>
        <v>14</v>
      </c>
      <c r="H118" s="5">
        <f t="shared" si="24"/>
        <v>1</v>
      </c>
      <c r="I118" s="5">
        <f t="shared" si="25"/>
        <v>1</v>
      </c>
    </row>
    <row r="119" spans="1:9" x14ac:dyDescent="0.35">
      <c r="A119" s="2" t="str">
        <f t="shared" si="0"/>
        <v>5N</v>
      </c>
      <c r="B119" s="74">
        <v>5</v>
      </c>
      <c r="C119" s="2" t="s">
        <v>13</v>
      </c>
      <c r="D119" s="2" t="s">
        <v>7</v>
      </c>
      <c r="E119" s="4">
        <f t="shared" si="21"/>
        <v>21</v>
      </c>
      <c r="F119" s="3">
        <f t="shared" si="22"/>
        <v>14</v>
      </c>
      <c r="G119" s="3">
        <f t="shared" si="23"/>
        <v>8</v>
      </c>
      <c r="H119" s="5">
        <f t="shared" si="24"/>
        <v>-6</v>
      </c>
      <c r="I119" s="5">
        <f t="shared" si="25"/>
        <v>27</v>
      </c>
    </row>
    <row r="120" spans="1:9" x14ac:dyDescent="0.35">
      <c r="A120" s="2" t="str">
        <f t="shared" si="0"/>
        <v>5O</v>
      </c>
      <c r="B120" s="74">
        <v>5</v>
      </c>
      <c r="C120" s="2" t="s">
        <v>14</v>
      </c>
      <c r="D120" s="2" t="s">
        <v>11</v>
      </c>
      <c r="E120" s="4">
        <f t="shared" si="21"/>
        <v>24</v>
      </c>
      <c r="F120" s="3">
        <f t="shared" si="22"/>
        <v>15</v>
      </c>
      <c r="G120" s="3">
        <f t="shared" si="23"/>
        <v>12</v>
      </c>
      <c r="H120" s="5">
        <f t="shared" si="24"/>
        <v>-3</v>
      </c>
      <c r="I120" s="5">
        <f t="shared" si="25"/>
        <v>27</v>
      </c>
    </row>
    <row r="121" spans="1:9" x14ac:dyDescent="0.35">
      <c r="A121" s="2" t="str">
        <f t="shared" si="0"/>
        <v>5P</v>
      </c>
      <c r="B121" s="74">
        <v>5</v>
      </c>
      <c r="C121" s="2" t="s">
        <v>15</v>
      </c>
      <c r="D121" s="2" t="s">
        <v>23</v>
      </c>
      <c r="E121" s="4">
        <f t="shared" si="21"/>
        <v>9</v>
      </c>
      <c r="F121" s="3">
        <f t="shared" si="22"/>
        <v>16</v>
      </c>
      <c r="G121" s="3">
        <f t="shared" si="23"/>
        <v>24</v>
      </c>
      <c r="H121" s="5">
        <f t="shared" si="24"/>
        <v>8</v>
      </c>
      <c r="I121" s="5">
        <f t="shared" si="25"/>
        <v>1</v>
      </c>
    </row>
    <row r="122" spans="1:9" x14ac:dyDescent="0.35">
      <c r="A122" s="2" t="str">
        <f t="shared" si="0"/>
        <v>5Q</v>
      </c>
      <c r="B122" s="74">
        <v>5</v>
      </c>
      <c r="C122" s="2" t="s">
        <v>16</v>
      </c>
      <c r="D122" s="2" t="s">
        <v>1</v>
      </c>
      <c r="E122" s="4">
        <f t="shared" si="21"/>
        <v>11</v>
      </c>
      <c r="F122" s="3">
        <f t="shared" si="22"/>
        <v>17</v>
      </c>
      <c r="G122" s="3">
        <f t="shared" si="23"/>
        <v>1</v>
      </c>
      <c r="H122" s="5">
        <f t="shared" si="24"/>
        <v>-16</v>
      </c>
      <c r="I122" s="5">
        <f t="shared" si="25"/>
        <v>27</v>
      </c>
    </row>
    <row r="123" spans="1:9" x14ac:dyDescent="0.35">
      <c r="A123" s="2" t="str">
        <f t="shared" si="0"/>
        <v>5R</v>
      </c>
      <c r="B123" s="74">
        <v>5</v>
      </c>
      <c r="C123" s="2" t="s">
        <v>17</v>
      </c>
      <c r="D123" s="2" t="s">
        <v>22</v>
      </c>
      <c r="E123" s="4">
        <f t="shared" si="21"/>
        <v>6</v>
      </c>
      <c r="F123" s="3">
        <f t="shared" si="22"/>
        <v>18</v>
      </c>
      <c r="G123" s="3">
        <f t="shared" si="23"/>
        <v>23</v>
      </c>
      <c r="H123" s="5">
        <f t="shared" si="24"/>
        <v>5</v>
      </c>
      <c r="I123" s="5">
        <f t="shared" si="25"/>
        <v>1</v>
      </c>
    </row>
    <row r="124" spans="1:9" x14ac:dyDescent="0.35">
      <c r="A124" s="2" t="str">
        <f t="shared" si="0"/>
        <v>5S</v>
      </c>
      <c r="B124" s="74">
        <v>5</v>
      </c>
      <c r="C124" s="2" t="s">
        <v>18</v>
      </c>
      <c r="D124" s="2" t="s">
        <v>12</v>
      </c>
      <c r="E124" s="4">
        <f t="shared" si="21"/>
        <v>21</v>
      </c>
      <c r="F124" s="3">
        <f t="shared" si="22"/>
        <v>19</v>
      </c>
      <c r="G124" s="3">
        <f t="shared" si="23"/>
        <v>13</v>
      </c>
      <c r="H124" s="5">
        <f t="shared" si="24"/>
        <v>-6</v>
      </c>
      <c r="I124" s="5">
        <f t="shared" si="25"/>
        <v>27</v>
      </c>
    </row>
    <row r="125" spans="1:9" x14ac:dyDescent="0.35">
      <c r="A125" s="2" t="str">
        <f t="shared" si="0"/>
        <v>5T</v>
      </c>
      <c r="B125" s="74">
        <v>5</v>
      </c>
      <c r="C125" s="2" t="s">
        <v>19</v>
      </c>
      <c r="D125" s="2" t="s">
        <v>9</v>
      </c>
      <c r="E125" s="4">
        <f t="shared" si="21"/>
        <v>17</v>
      </c>
      <c r="F125" s="3">
        <f t="shared" si="22"/>
        <v>20</v>
      </c>
      <c r="G125" s="3">
        <f t="shared" si="23"/>
        <v>10</v>
      </c>
      <c r="H125" s="5">
        <f t="shared" si="24"/>
        <v>-10</v>
      </c>
      <c r="I125" s="5">
        <f t="shared" si="25"/>
        <v>27</v>
      </c>
    </row>
    <row r="126" spans="1:9" x14ac:dyDescent="0.35">
      <c r="A126" s="2" t="str">
        <f t="shared" si="0"/>
        <v>5U</v>
      </c>
      <c r="B126" s="74">
        <v>5</v>
      </c>
      <c r="C126" s="2" t="s">
        <v>20</v>
      </c>
      <c r="D126" s="2" t="s">
        <v>16</v>
      </c>
      <c r="E126" s="4">
        <f t="shared" si="21"/>
        <v>23</v>
      </c>
      <c r="F126" s="3">
        <f t="shared" si="22"/>
        <v>21</v>
      </c>
      <c r="G126" s="3">
        <f t="shared" si="23"/>
        <v>17</v>
      </c>
      <c r="H126" s="5">
        <f t="shared" si="24"/>
        <v>-4</v>
      </c>
      <c r="I126" s="5">
        <f t="shared" si="25"/>
        <v>27</v>
      </c>
    </row>
    <row r="127" spans="1:9" x14ac:dyDescent="0.35">
      <c r="A127" s="2" t="str">
        <f t="shared" si="0"/>
        <v>5V</v>
      </c>
      <c r="B127" s="74">
        <v>5</v>
      </c>
      <c r="C127" s="2" t="s">
        <v>21</v>
      </c>
      <c r="D127" s="2" t="s">
        <v>14</v>
      </c>
      <c r="E127" s="4">
        <f t="shared" si="21"/>
        <v>20</v>
      </c>
      <c r="F127" s="3">
        <f t="shared" si="22"/>
        <v>22</v>
      </c>
      <c r="G127" s="3">
        <f t="shared" si="23"/>
        <v>15</v>
      </c>
      <c r="H127" s="5">
        <f t="shared" si="24"/>
        <v>-7</v>
      </c>
      <c r="I127" s="5">
        <f t="shared" si="25"/>
        <v>27</v>
      </c>
    </row>
    <row r="128" spans="1:9" x14ac:dyDescent="0.35">
      <c r="A128" s="2" t="str">
        <f t="shared" si="0"/>
        <v>5W</v>
      </c>
      <c r="B128" s="74">
        <v>5</v>
      </c>
      <c r="C128" s="2" t="s">
        <v>22</v>
      </c>
      <c r="D128" s="2" t="s">
        <v>5</v>
      </c>
      <c r="E128" s="4">
        <f t="shared" si="21"/>
        <v>10</v>
      </c>
      <c r="F128" s="3">
        <f t="shared" si="22"/>
        <v>23</v>
      </c>
      <c r="G128" s="3">
        <f t="shared" si="23"/>
        <v>6</v>
      </c>
      <c r="H128" s="5">
        <f t="shared" si="24"/>
        <v>-17</v>
      </c>
      <c r="I128" s="5">
        <f t="shared" si="25"/>
        <v>27</v>
      </c>
    </row>
    <row r="129" spans="1:9" x14ac:dyDescent="0.35">
      <c r="A129" s="2" t="str">
        <f t="shared" si="0"/>
        <v>5X</v>
      </c>
      <c r="B129" s="74">
        <v>5</v>
      </c>
      <c r="C129" s="2" t="s">
        <v>23</v>
      </c>
      <c r="D129" s="2" t="s">
        <v>4</v>
      </c>
      <c r="E129" s="4">
        <f t="shared" si="21"/>
        <v>8</v>
      </c>
      <c r="F129" s="3">
        <f t="shared" si="22"/>
        <v>24</v>
      </c>
      <c r="G129" s="3">
        <f t="shared" si="23"/>
        <v>5</v>
      </c>
      <c r="H129" s="5">
        <f t="shared" si="24"/>
        <v>-19</v>
      </c>
      <c r="I129" s="5">
        <f t="shared" si="25"/>
        <v>27</v>
      </c>
    </row>
    <row r="130" spans="1:9" x14ac:dyDescent="0.35">
      <c r="A130" s="2" t="str">
        <f t="shared" si="0"/>
        <v>5Y</v>
      </c>
      <c r="B130" s="74">
        <v>5</v>
      </c>
      <c r="C130" s="2" t="s">
        <v>24</v>
      </c>
      <c r="D130" s="2" t="s">
        <v>2</v>
      </c>
      <c r="E130" s="4">
        <f t="shared" si="21"/>
        <v>5</v>
      </c>
      <c r="F130" s="3">
        <f t="shared" si="22"/>
        <v>25</v>
      </c>
      <c r="G130" s="3">
        <f t="shared" si="23"/>
        <v>3</v>
      </c>
      <c r="H130" s="5">
        <f t="shared" si="24"/>
        <v>-22</v>
      </c>
      <c r="I130" s="5">
        <f t="shared" si="25"/>
        <v>27</v>
      </c>
    </row>
    <row r="131" spans="1:9" x14ac:dyDescent="0.35">
      <c r="A131" s="2" t="str">
        <f t="shared" si="0"/>
        <v>5Z</v>
      </c>
      <c r="B131" s="74">
        <v>5</v>
      </c>
      <c r="C131" s="2" t="s">
        <v>25</v>
      </c>
      <c r="D131" s="2" t="s">
        <v>10</v>
      </c>
      <c r="E131" s="4">
        <f t="shared" si="21"/>
        <v>12</v>
      </c>
      <c r="F131" s="3">
        <f t="shared" si="22"/>
        <v>26</v>
      </c>
      <c r="G131" s="3">
        <f t="shared" si="23"/>
        <v>11</v>
      </c>
      <c r="H131" s="5">
        <f t="shared" si="24"/>
        <v>-15</v>
      </c>
      <c r="I131" s="5">
        <f t="shared" si="25"/>
        <v>27</v>
      </c>
    </row>
    <row r="132" spans="1:9" x14ac:dyDescent="0.35">
      <c r="A132" s="2" t="str">
        <f t="shared" ref="A132:A209" si="26">B132&amp;C132</f>
        <v>6A</v>
      </c>
      <c r="B132" s="74">
        <v>6</v>
      </c>
      <c r="C132" s="2" t="s">
        <v>1</v>
      </c>
      <c r="D132" s="2" t="s">
        <v>9</v>
      </c>
      <c r="E132" s="4">
        <f t="shared" si="21"/>
        <v>10</v>
      </c>
      <c r="F132" s="3">
        <f t="shared" si="22"/>
        <v>1</v>
      </c>
      <c r="G132" s="3">
        <f t="shared" si="23"/>
        <v>10</v>
      </c>
      <c r="H132" s="5">
        <f t="shared" si="24"/>
        <v>9</v>
      </c>
      <c r="I132" s="5">
        <f>IF(H132&lt;0,27,1)</f>
        <v>1</v>
      </c>
    </row>
    <row r="133" spans="1:9" x14ac:dyDescent="0.35">
      <c r="A133" s="2" t="str">
        <f t="shared" si="26"/>
        <v>6B</v>
      </c>
      <c r="B133" s="74">
        <v>6</v>
      </c>
      <c r="C133" s="2" t="s">
        <v>0</v>
      </c>
      <c r="D133" s="2" t="s">
        <v>15</v>
      </c>
      <c r="E133" s="4">
        <f t="shared" si="21"/>
        <v>15</v>
      </c>
      <c r="F133" s="3">
        <f t="shared" si="22"/>
        <v>2</v>
      </c>
      <c r="G133" s="3">
        <f t="shared" si="23"/>
        <v>16</v>
      </c>
      <c r="H133" s="5">
        <f t="shared" si="24"/>
        <v>14</v>
      </c>
      <c r="I133" s="5">
        <f t="shared" ref="I133:I196" si="27">IF(H133&lt;0,27,1)</f>
        <v>1</v>
      </c>
    </row>
    <row r="134" spans="1:9" x14ac:dyDescent="0.35">
      <c r="A134" s="2" t="str">
        <f t="shared" si="26"/>
        <v>6C</v>
      </c>
      <c r="B134" s="74">
        <v>6</v>
      </c>
      <c r="C134" s="2" t="s">
        <v>2</v>
      </c>
      <c r="D134" s="2" t="s">
        <v>6</v>
      </c>
      <c r="E134" s="4">
        <f t="shared" si="21"/>
        <v>5</v>
      </c>
      <c r="F134" s="3">
        <f t="shared" si="22"/>
        <v>3</v>
      </c>
      <c r="G134" s="3">
        <f t="shared" si="23"/>
        <v>7</v>
      </c>
      <c r="H134" s="5">
        <f t="shared" si="24"/>
        <v>4</v>
      </c>
      <c r="I134" s="5">
        <f t="shared" si="27"/>
        <v>1</v>
      </c>
    </row>
    <row r="135" spans="1:9" x14ac:dyDescent="0.35">
      <c r="A135" s="2" t="str">
        <f t="shared" si="26"/>
        <v>6D</v>
      </c>
      <c r="B135" s="74">
        <v>6</v>
      </c>
      <c r="C135" s="2" t="s">
        <v>3</v>
      </c>
      <c r="D135" s="2" t="s">
        <v>21</v>
      </c>
      <c r="E135" s="4">
        <f t="shared" si="21"/>
        <v>19</v>
      </c>
      <c r="F135" s="3">
        <f t="shared" si="22"/>
        <v>4</v>
      </c>
      <c r="G135" s="3">
        <f t="shared" si="23"/>
        <v>22</v>
      </c>
      <c r="H135" s="5">
        <f t="shared" si="24"/>
        <v>18</v>
      </c>
      <c r="I135" s="5">
        <f t="shared" si="27"/>
        <v>1</v>
      </c>
    </row>
    <row r="136" spans="1:9" x14ac:dyDescent="0.35">
      <c r="A136" s="2" t="str">
        <f t="shared" si="26"/>
        <v>6E</v>
      </c>
      <c r="B136" s="74">
        <v>6</v>
      </c>
      <c r="C136" s="2" t="s">
        <v>4</v>
      </c>
      <c r="D136" s="2" t="s">
        <v>14</v>
      </c>
      <c r="E136" s="4">
        <f t="shared" si="21"/>
        <v>11</v>
      </c>
      <c r="F136" s="3">
        <f t="shared" si="22"/>
        <v>5</v>
      </c>
      <c r="G136" s="3">
        <f t="shared" si="23"/>
        <v>15</v>
      </c>
      <c r="H136" s="5">
        <f t="shared" si="24"/>
        <v>10</v>
      </c>
      <c r="I136" s="5">
        <f t="shared" si="27"/>
        <v>1</v>
      </c>
    </row>
    <row r="137" spans="1:9" x14ac:dyDescent="0.35">
      <c r="A137" s="2" t="str">
        <f t="shared" si="26"/>
        <v>6F</v>
      </c>
      <c r="B137" s="74">
        <v>6</v>
      </c>
      <c r="C137" s="2" t="s">
        <v>5</v>
      </c>
      <c r="D137" s="2" t="s">
        <v>20</v>
      </c>
      <c r="E137" s="4">
        <f t="shared" si="21"/>
        <v>16</v>
      </c>
      <c r="F137" s="3">
        <f t="shared" si="22"/>
        <v>6</v>
      </c>
      <c r="G137" s="3">
        <f t="shared" si="23"/>
        <v>21</v>
      </c>
      <c r="H137" s="5">
        <f t="shared" si="24"/>
        <v>15</v>
      </c>
      <c r="I137" s="5">
        <f t="shared" si="27"/>
        <v>1</v>
      </c>
    </row>
    <row r="138" spans="1:9" x14ac:dyDescent="0.35">
      <c r="A138" s="2" t="str">
        <f t="shared" si="26"/>
        <v>6G</v>
      </c>
      <c r="B138" s="74">
        <v>6</v>
      </c>
      <c r="C138" s="2" t="s">
        <v>6</v>
      </c>
      <c r="D138" s="2" t="s">
        <v>12</v>
      </c>
      <c r="E138" s="4">
        <f t="shared" si="21"/>
        <v>7</v>
      </c>
      <c r="F138" s="3">
        <f t="shared" si="22"/>
        <v>7</v>
      </c>
      <c r="G138" s="3">
        <f t="shared" si="23"/>
        <v>13</v>
      </c>
      <c r="H138" s="5">
        <f t="shared" si="24"/>
        <v>6</v>
      </c>
      <c r="I138" s="5">
        <f t="shared" si="27"/>
        <v>1</v>
      </c>
    </row>
    <row r="139" spans="1:9" x14ac:dyDescent="0.35">
      <c r="A139" s="2" t="str">
        <f t="shared" si="26"/>
        <v>6H</v>
      </c>
      <c r="B139" s="74">
        <v>6</v>
      </c>
      <c r="C139" s="2" t="s">
        <v>7</v>
      </c>
      <c r="D139" s="2" t="s">
        <v>5</v>
      </c>
      <c r="E139" s="4">
        <f t="shared" si="21"/>
        <v>25</v>
      </c>
      <c r="F139" s="3">
        <f t="shared" si="22"/>
        <v>8</v>
      </c>
      <c r="G139" s="3">
        <f t="shared" si="23"/>
        <v>6</v>
      </c>
      <c r="H139" s="5">
        <f t="shared" si="24"/>
        <v>-2</v>
      </c>
      <c r="I139" s="5">
        <f t="shared" si="27"/>
        <v>27</v>
      </c>
    </row>
    <row r="140" spans="1:9" x14ac:dyDescent="0.35">
      <c r="A140" s="2" t="str">
        <f t="shared" si="26"/>
        <v>6I</v>
      </c>
      <c r="B140" s="74">
        <v>6</v>
      </c>
      <c r="C140" s="2" t="s">
        <v>8</v>
      </c>
      <c r="D140" s="2" t="s">
        <v>24</v>
      </c>
      <c r="E140" s="4">
        <f t="shared" si="21"/>
        <v>17</v>
      </c>
      <c r="F140" s="3">
        <f t="shared" si="22"/>
        <v>9</v>
      </c>
      <c r="G140" s="3">
        <f t="shared" si="23"/>
        <v>25</v>
      </c>
      <c r="H140" s="5">
        <f t="shared" si="24"/>
        <v>16</v>
      </c>
      <c r="I140" s="5">
        <f t="shared" si="27"/>
        <v>1</v>
      </c>
    </row>
    <row r="141" spans="1:9" x14ac:dyDescent="0.35">
      <c r="A141" s="2" t="str">
        <f t="shared" si="26"/>
        <v>6J</v>
      </c>
      <c r="B141" s="74">
        <v>6</v>
      </c>
      <c r="C141" s="2" t="s">
        <v>9</v>
      </c>
      <c r="D141" s="2" t="s">
        <v>16</v>
      </c>
      <c r="E141" s="4">
        <f t="shared" si="21"/>
        <v>8</v>
      </c>
      <c r="F141" s="3">
        <f t="shared" si="22"/>
        <v>10</v>
      </c>
      <c r="G141" s="3">
        <f t="shared" si="23"/>
        <v>17</v>
      </c>
      <c r="H141" s="5">
        <f t="shared" si="24"/>
        <v>7</v>
      </c>
      <c r="I141" s="5">
        <f t="shared" si="27"/>
        <v>1</v>
      </c>
    </row>
    <row r="142" spans="1:9" x14ac:dyDescent="0.35">
      <c r="A142" s="2" t="str">
        <f t="shared" si="26"/>
        <v>6K</v>
      </c>
      <c r="B142" s="74">
        <v>6</v>
      </c>
      <c r="C142" s="2" t="s">
        <v>10</v>
      </c>
      <c r="D142" s="2" t="s">
        <v>0</v>
      </c>
      <c r="E142" s="4">
        <f t="shared" si="21"/>
        <v>18</v>
      </c>
      <c r="F142" s="3">
        <f t="shared" si="22"/>
        <v>11</v>
      </c>
      <c r="G142" s="3">
        <f t="shared" si="23"/>
        <v>2</v>
      </c>
      <c r="H142" s="5">
        <f t="shared" si="24"/>
        <v>-9</v>
      </c>
      <c r="I142" s="5">
        <f t="shared" si="27"/>
        <v>27</v>
      </c>
    </row>
    <row r="143" spans="1:9" x14ac:dyDescent="0.35">
      <c r="A143" s="2" t="str">
        <f t="shared" si="26"/>
        <v>6L</v>
      </c>
      <c r="B143" s="74">
        <v>6</v>
      </c>
      <c r="C143" s="2" t="s">
        <v>11</v>
      </c>
      <c r="D143" s="2" t="s">
        <v>4</v>
      </c>
      <c r="E143" s="4">
        <f t="shared" si="21"/>
        <v>20</v>
      </c>
      <c r="F143" s="3">
        <f t="shared" si="22"/>
        <v>12</v>
      </c>
      <c r="G143" s="3">
        <f t="shared" si="23"/>
        <v>5</v>
      </c>
      <c r="H143" s="5">
        <f t="shared" si="24"/>
        <v>-7</v>
      </c>
      <c r="I143" s="5">
        <f t="shared" si="27"/>
        <v>27</v>
      </c>
    </row>
    <row r="144" spans="1:9" x14ac:dyDescent="0.35">
      <c r="A144" s="2" t="str">
        <f t="shared" si="26"/>
        <v>6M</v>
      </c>
      <c r="B144" s="74">
        <v>6</v>
      </c>
      <c r="C144" s="2" t="s">
        <v>12</v>
      </c>
      <c r="D144" s="2" t="s">
        <v>13</v>
      </c>
      <c r="E144" s="4">
        <f t="shared" si="21"/>
        <v>2</v>
      </c>
      <c r="F144" s="3">
        <f t="shared" si="22"/>
        <v>13</v>
      </c>
      <c r="G144" s="3">
        <f t="shared" si="23"/>
        <v>14</v>
      </c>
      <c r="H144" s="5">
        <f t="shared" si="24"/>
        <v>1</v>
      </c>
      <c r="I144" s="5">
        <f t="shared" si="27"/>
        <v>1</v>
      </c>
    </row>
    <row r="145" spans="1:9" x14ac:dyDescent="0.35">
      <c r="A145" s="2" t="str">
        <f t="shared" si="26"/>
        <v>6N</v>
      </c>
      <c r="B145" s="74">
        <v>6</v>
      </c>
      <c r="C145" s="2" t="s">
        <v>13</v>
      </c>
      <c r="D145" s="2" t="s">
        <v>7</v>
      </c>
      <c r="E145" s="4">
        <f t="shared" si="21"/>
        <v>21</v>
      </c>
      <c r="F145" s="3">
        <f t="shared" si="22"/>
        <v>14</v>
      </c>
      <c r="G145" s="3">
        <f t="shared" si="23"/>
        <v>8</v>
      </c>
      <c r="H145" s="5">
        <f t="shared" si="24"/>
        <v>-6</v>
      </c>
      <c r="I145" s="5">
        <f t="shared" si="27"/>
        <v>27</v>
      </c>
    </row>
    <row r="146" spans="1:9" x14ac:dyDescent="0.35">
      <c r="A146" s="2" t="str">
        <f t="shared" si="26"/>
        <v>6O</v>
      </c>
      <c r="B146" s="74">
        <v>6</v>
      </c>
      <c r="C146" s="2" t="s">
        <v>14</v>
      </c>
      <c r="D146" s="2" t="s">
        <v>25</v>
      </c>
      <c r="E146" s="4">
        <f t="shared" si="21"/>
        <v>12</v>
      </c>
      <c r="F146" s="3">
        <f t="shared" si="22"/>
        <v>15</v>
      </c>
      <c r="G146" s="3">
        <f t="shared" si="23"/>
        <v>26</v>
      </c>
      <c r="H146" s="5">
        <f t="shared" si="24"/>
        <v>11</v>
      </c>
      <c r="I146" s="5">
        <f t="shared" si="27"/>
        <v>1</v>
      </c>
    </row>
    <row r="147" spans="1:9" x14ac:dyDescent="0.35">
      <c r="A147" s="2" t="str">
        <f t="shared" si="26"/>
        <v>6P</v>
      </c>
      <c r="B147" s="74">
        <v>6</v>
      </c>
      <c r="C147" s="2" t="s">
        <v>15</v>
      </c>
      <c r="D147" s="2" t="s">
        <v>17</v>
      </c>
      <c r="E147" s="4">
        <f t="shared" si="21"/>
        <v>3</v>
      </c>
      <c r="F147" s="3">
        <f t="shared" si="22"/>
        <v>16</v>
      </c>
      <c r="G147" s="3">
        <f t="shared" si="23"/>
        <v>18</v>
      </c>
      <c r="H147" s="5">
        <f t="shared" si="24"/>
        <v>2</v>
      </c>
      <c r="I147" s="5">
        <f t="shared" si="27"/>
        <v>1</v>
      </c>
    </row>
    <row r="148" spans="1:9" x14ac:dyDescent="0.35">
      <c r="A148" s="2" t="str">
        <f t="shared" si="26"/>
        <v>6Q</v>
      </c>
      <c r="B148" s="74">
        <v>6</v>
      </c>
      <c r="C148" s="2" t="s">
        <v>16</v>
      </c>
      <c r="D148" s="2" t="s">
        <v>3</v>
      </c>
      <c r="E148" s="4">
        <f t="shared" si="21"/>
        <v>14</v>
      </c>
      <c r="F148" s="3">
        <f t="shared" si="22"/>
        <v>17</v>
      </c>
      <c r="G148" s="3">
        <f t="shared" si="23"/>
        <v>4</v>
      </c>
      <c r="H148" s="5">
        <f t="shared" si="24"/>
        <v>-13</v>
      </c>
      <c r="I148" s="5">
        <f t="shared" si="27"/>
        <v>27</v>
      </c>
    </row>
    <row r="149" spans="1:9" x14ac:dyDescent="0.35">
      <c r="A149" s="2" t="str">
        <f t="shared" si="26"/>
        <v>6R</v>
      </c>
      <c r="B149" s="74">
        <v>6</v>
      </c>
      <c r="C149" s="2" t="s">
        <v>17</v>
      </c>
      <c r="D149" s="2" t="s">
        <v>10</v>
      </c>
      <c r="E149" s="4">
        <f t="shared" si="21"/>
        <v>20</v>
      </c>
      <c r="F149" s="3">
        <f t="shared" si="22"/>
        <v>18</v>
      </c>
      <c r="G149" s="3">
        <f t="shared" si="23"/>
        <v>11</v>
      </c>
      <c r="H149" s="5">
        <f t="shared" si="24"/>
        <v>-7</v>
      </c>
      <c r="I149" s="5">
        <f t="shared" si="27"/>
        <v>27</v>
      </c>
    </row>
    <row r="150" spans="1:9" x14ac:dyDescent="0.35">
      <c r="A150" s="2" t="str">
        <f t="shared" si="26"/>
        <v>6S</v>
      </c>
      <c r="B150" s="74">
        <v>6</v>
      </c>
      <c r="C150" s="2" t="s">
        <v>18</v>
      </c>
      <c r="D150" s="2" t="s">
        <v>1</v>
      </c>
      <c r="E150" s="4">
        <f t="shared" si="21"/>
        <v>9</v>
      </c>
      <c r="F150" s="3">
        <f t="shared" si="22"/>
        <v>19</v>
      </c>
      <c r="G150" s="3">
        <f t="shared" si="23"/>
        <v>1</v>
      </c>
      <c r="H150" s="5">
        <f t="shared" si="24"/>
        <v>-18</v>
      </c>
      <c r="I150" s="5">
        <f t="shared" si="27"/>
        <v>27</v>
      </c>
    </row>
    <row r="151" spans="1:9" x14ac:dyDescent="0.35">
      <c r="A151" s="2" t="str">
        <f t="shared" si="26"/>
        <v>6T</v>
      </c>
      <c r="B151" s="74">
        <v>6</v>
      </c>
      <c r="C151" s="2" t="s">
        <v>19</v>
      </c>
      <c r="D151" s="2" t="s">
        <v>18</v>
      </c>
      <c r="E151" s="4">
        <f t="shared" si="21"/>
        <v>26</v>
      </c>
      <c r="F151" s="3">
        <f t="shared" si="22"/>
        <v>20</v>
      </c>
      <c r="G151" s="3">
        <f t="shared" si="23"/>
        <v>19</v>
      </c>
      <c r="H151" s="5">
        <f t="shared" si="24"/>
        <v>-1</v>
      </c>
      <c r="I151" s="5">
        <f t="shared" si="27"/>
        <v>27</v>
      </c>
    </row>
    <row r="152" spans="1:9" x14ac:dyDescent="0.35">
      <c r="A152" s="2" t="str">
        <f t="shared" si="26"/>
        <v>6U</v>
      </c>
      <c r="B152" s="74">
        <v>6</v>
      </c>
      <c r="C152" s="2" t="s">
        <v>20</v>
      </c>
      <c r="D152" s="2" t="s">
        <v>23</v>
      </c>
      <c r="E152" s="4">
        <f t="shared" si="21"/>
        <v>4</v>
      </c>
      <c r="F152" s="3">
        <f t="shared" si="22"/>
        <v>21</v>
      </c>
      <c r="G152" s="3">
        <f t="shared" si="23"/>
        <v>24</v>
      </c>
      <c r="H152" s="5">
        <f t="shared" si="24"/>
        <v>3</v>
      </c>
      <c r="I152" s="5">
        <f t="shared" si="27"/>
        <v>1</v>
      </c>
    </row>
    <row r="153" spans="1:9" x14ac:dyDescent="0.35">
      <c r="A153" s="2" t="str">
        <f t="shared" si="26"/>
        <v>6V</v>
      </c>
      <c r="B153" s="74">
        <v>6</v>
      </c>
      <c r="C153" s="2" t="s">
        <v>21</v>
      </c>
      <c r="D153" s="2" t="s">
        <v>11</v>
      </c>
      <c r="E153" s="4">
        <f t="shared" si="21"/>
        <v>17</v>
      </c>
      <c r="F153" s="3">
        <f t="shared" si="22"/>
        <v>22</v>
      </c>
      <c r="G153" s="3">
        <f t="shared" si="23"/>
        <v>12</v>
      </c>
      <c r="H153" s="5">
        <f t="shared" si="24"/>
        <v>-10</v>
      </c>
      <c r="I153" s="5">
        <f t="shared" si="27"/>
        <v>27</v>
      </c>
    </row>
    <row r="154" spans="1:9" x14ac:dyDescent="0.35">
      <c r="A154" s="2" t="str">
        <f t="shared" si="26"/>
        <v>6W</v>
      </c>
      <c r="B154" s="74">
        <v>6</v>
      </c>
      <c r="C154" s="2" t="s">
        <v>22</v>
      </c>
      <c r="D154" s="2" t="s">
        <v>8</v>
      </c>
      <c r="E154" s="4">
        <f t="shared" si="21"/>
        <v>13</v>
      </c>
      <c r="F154" s="3">
        <f t="shared" si="22"/>
        <v>23</v>
      </c>
      <c r="G154" s="3">
        <f t="shared" si="23"/>
        <v>9</v>
      </c>
      <c r="H154" s="5">
        <f t="shared" si="24"/>
        <v>-14</v>
      </c>
      <c r="I154" s="5">
        <f t="shared" si="27"/>
        <v>27</v>
      </c>
    </row>
    <row r="155" spans="1:9" x14ac:dyDescent="0.35">
      <c r="A155" s="2" t="str">
        <f t="shared" si="26"/>
        <v>6X</v>
      </c>
      <c r="B155" s="74">
        <v>6</v>
      </c>
      <c r="C155" s="2" t="s">
        <v>23</v>
      </c>
      <c r="D155" s="2" t="s">
        <v>2</v>
      </c>
      <c r="E155" s="4">
        <f t="shared" si="21"/>
        <v>6</v>
      </c>
      <c r="F155" s="3">
        <f t="shared" si="22"/>
        <v>24</v>
      </c>
      <c r="G155" s="3">
        <f t="shared" si="23"/>
        <v>3</v>
      </c>
      <c r="H155" s="5">
        <f t="shared" si="24"/>
        <v>-21</v>
      </c>
      <c r="I155" s="5">
        <f t="shared" si="27"/>
        <v>27</v>
      </c>
    </row>
    <row r="156" spans="1:9" x14ac:dyDescent="0.35">
      <c r="A156" s="2" t="str">
        <f t="shared" si="26"/>
        <v>6Y</v>
      </c>
      <c r="B156" s="74">
        <v>6</v>
      </c>
      <c r="C156" s="2" t="s">
        <v>24</v>
      </c>
      <c r="D156" s="2" t="s">
        <v>19</v>
      </c>
      <c r="E156" s="4">
        <f t="shared" si="21"/>
        <v>22</v>
      </c>
      <c r="F156" s="3">
        <f t="shared" si="22"/>
        <v>25</v>
      </c>
      <c r="G156" s="3">
        <f t="shared" si="23"/>
        <v>20</v>
      </c>
      <c r="H156" s="5">
        <f t="shared" si="24"/>
        <v>-5</v>
      </c>
      <c r="I156" s="5">
        <f t="shared" si="27"/>
        <v>27</v>
      </c>
    </row>
    <row r="157" spans="1:9" x14ac:dyDescent="0.35">
      <c r="A157" s="2" t="str">
        <f t="shared" si="26"/>
        <v>6Z</v>
      </c>
      <c r="B157" s="74">
        <v>6</v>
      </c>
      <c r="C157" s="2" t="s">
        <v>25</v>
      </c>
      <c r="D157" s="2" t="s">
        <v>22</v>
      </c>
      <c r="E157" s="4">
        <f t="shared" si="21"/>
        <v>24</v>
      </c>
      <c r="F157" s="3">
        <f t="shared" si="22"/>
        <v>26</v>
      </c>
      <c r="G157" s="3">
        <f t="shared" si="23"/>
        <v>23</v>
      </c>
      <c r="H157" s="5">
        <f t="shared" si="24"/>
        <v>-3</v>
      </c>
      <c r="I157" s="5">
        <f t="shared" si="27"/>
        <v>27</v>
      </c>
    </row>
    <row r="158" spans="1:9" x14ac:dyDescent="0.35">
      <c r="A158" s="2" t="str">
        <f t="shared" si="26"/>
        <v>7A</v>
      </c>
      <c r="B158" s="74">
        <v>7</v>
      </c>
      <c r="C158" s="2" t="s">
        <v>1</v>
      </c>
      <c r="D158" s="2" t="s">
        <v>13</v>
      </c>
      <c r="E158" s="4">
        <f t="shared" si="21"/>
        <v>14</v>
      </c>
      <c r="F158" s="3">
        <f t="shared" si="22"/>
        <v>1</v>
      </c>
      <c r="G158" s="3">
        <f t="shared" si="23"/>
        <v>14</v>
      </c>
      <c r="H158" s="5">
        <f t="shared" si="24"/>
        <v>13</v>
      </c>
      <c r="I158" s="5">
        <f t="shared" si="27"/>
        <v>1</v>
      </c>
    </row>
    <row r="159" spans="1:9" x14ac:dyDescent="0.35">
      <c r="A159" s="2" t="str">
        <f t="shared" si="26"/>
        <v>7B</v>
      </c>
      <c r="B159" s="74">
        <v>7</v>
      </c>
      <c r="C159" s="2" t="s">
        <v>0</v>
      </c>
      <c r="D159" s="2" t="s">
        <v>25</v>
      </c>
      <c r="E159" s="4">
        <f t="shared" si="21"/>
        <v>25</v>
      </c>
      <c r="F159" s="3">
        <f t="shared" si="22"/>
        <v>2</v>
      </c>
      <c r="G159" s="3">
        <f t="shared" si="23"/>
        <v>26</v>
      </c>
      <c r="H159" s="5">
        <f t="shared" si="24"/>
        <v>24</v>
      </c>
      <c r="I159" s="5">
        <f t="shared" si="27"/>
        <v>1</v>
      </c>
    </row>
    <row r="160" spans="1:9" x14ac:dyDescent="0.35">
      <c r="A160" s="2" t="str">
        <f t="shared" si="26"/>
        <v>7C</v>
      </c>
      <c r="B160" s="74">
        <v>7</v>
      </c>
      <c r="C160" s="2" t="s">
        <v>2</v>
      </c>
      <c r="D160" s="2" t="s">
        <v>9</v>
      </c>
      <c r="E160" s="4">
        <f t="shared" si="21"/>
        <v>8</v>
      </c>
      <c r="F160" s="3">
        <f t="shared" si="22"/>
        <v>3</v>
      </c>
      <c r="G160" s="3">
        <f t="shared" si="23"/>
        <v>10</v>
      </c>
      <c r="H160" s="5">
        <f t="shared" si="24"/>
        <v>7</v>
      </c>
      <c r="I160" s="5">
        <f t="shared" si="27"/>
        <v>1</v>
      </c>
    </row>
    <row r="161" spans="1:9" x14ac:dyDescent="0.35">
      <c r="A161" s="2" t="str">
        <f t="shared" si="26"/>
        <v>7D</v>
      </c>
      <c r="B161" s="74">
        <v>7</v>
      </c>
      <c r="C161" s="2" t="s">
        <v>3</v>
      </c>
      <c r="D161" s="2" t="s">
        <v>7</v>
      </c>
      <c r="E161" s="4">
        <f t="shared" si="21"/>
        <v>5</v>
      </c>
      <c r="F161" s="3">
        <f t="shared" si="22"/>
        <v>4</v>
      </c>
      <c r="G161" s="3">
        <f t="shared" si="23"/>
        <v>8</v>
      </c>
      <c r="H161" s="5">
        <f t="shared" si="24"/>
        <v>4</v>
      </c>
      <c r="I161" s="5">
        <f t="shared" si="27"/>
        <v>1</v>
      </c>
    </row>
    <row r="162" spans="1:9" x14ac:dyDescent="0.35">
      <c r="A162" s="2" t="str">
        <f t="shared" si="26"/>
        <v>7E</v>
      </c>
      <c r="B162" s="74">
        <v>7</v>
      </c>
      <c r="C162" s="2" t="s">
        <v>4</v>
      </c>
      <c r="D162" s="2" t="s">
        <v>6</v>
      </c>
      <c r="E162" s="4">
        <f t="shared" si="21"/>
        <v>3</v>
      </c>
      <c r="F162" s="3">
        <f t="shared" si="22"/>
        <v>5</v>
      </c>
      <c r="G162" s="3">
        <f t="shared" si="23"/>
        <v>7</v>
      </c>
      <c r="H162" s="5">
        <f t="shared" si="24"/>
        <v>2</v>
      </c>
      <c r="I162" s="5">
        <f t="shared" si="27"/>
        <v>1</v>
      </c>
    </row>
    <row r="163" spans="1:9" x14ac:dyDescent="0.35">
      <c r="A163" s="2" t="str">
        <f t="shared" si="26"/>
        <v>7F</v>
      </c>
      <c r="B163" s="74">
        <v>7</v>
      </c>
      <c r="C163" s="2" t="s">
        <v>5</v>
      </c>
      <c r="D163" s="2" t="s">
        <v>17</v>
      </c>
      <c r="E163" s="4">
        <f t="shared" si="21"/>
        <v>13</v>
      </c>
      <c r="F163" s="3">
        <f t="shared" si="22"/>
        <v>6</v>
      </c>
      <c r="G163" s="3">
        <f t="shared" si="23"/>
        <v>18</v>
      </c>
      <c r="H163" s="5">
        <f t="shared" si="24"/>
        <v>12</v>
      </c>
      <c r="I163" s="5">
        <f t="shared" si="27"/>
        <v>1</v>
      </c>
    </row>
    <row r="164" spans="1:9" x14ac:dyDescent="0.35">
      <c r="A164" s="2" t="str">
        <f t="shared" si="26"/>
        <v>7G</v>
      </c>
      <c r="B164" s="74">
        <v>7</v>
      </c>
      <c r="C164" s="2" t="s">
        <v>6</v>
      </c>
      <c r="D164" s="2" t="s">
        <v>2</v>
      </c>
      <c r="E164" s="4">
        <f t="shared" si="21"/>
        <v>23</v>
      </c>
      <c r="F164" s="3">
        <f t="shared" si="22"/>
        <v>7</v>
      </c>
      <c r="G164" s="3">
        <f t="shared" si="23"/>
        <v>3</v>
      </c>
      <c r="H164" s="5">
        <f t="shared" si="24"/>
        <v>-4</v>
      </c>
      <c r="I164" s="5">
        <f t="shared" si="27"/>
        <v>27</v>
      </c>
    </row>
    <row r="165" spans="1:9" x14ac:dyDescent="0.35">
      <c r="A165" s="2" t="str">
        <f t="shared" si="26"/>
        <v>7H</v>
      </c>
      <c r="B165" s="74">
        <v>7</v>
      </c>
      <c r="C165" s="2" t="s">
        <v>7</v>
      </c>
      <c r="D165" s="2" t="s">
        <v>23</v>
      </c>
      <c r="E165" s="4">
        <f t="shared" si="21"/>
        <v>17</v>
      </c>
      <c r="F165" s="3">
        <f t="shared" si="22"/>
        <v>8</v>
      </c>
      <c r="G165" s="3">
        <f t="shared" si="23"/>
        <v>24</v>
      </c>
      <c r="H165" s="5">
        <f t="shared" si="24"/>
        <v>16</v>
      </c>
      <c r="I165" s="5">
        <f t="shared" si="27"/>
        <v>1</v>
      </c>
    </row>
    <row r="166" spans="1:9" x14ac:dyDescent="0.35">
      <c r="A166" s="2" t="str">
        <f t="shared" si="26"/>
        <v>7I</v>
      </c>
      <c r="B166" s="74">
        <v>7</v>
      </c>
      <c r="C166" s="2" t="s">
        <v>8</v>
      </c>
      <c r="D166" s="2" t="s">
        <v>12</v>
      </c>
      <c r="E166" s="4">
        <f t="shared" si="21"/>
        <v>5</v>
      </c>
      <c r="F166" s="3">
        <f t="shared" si="22"/>
        <v>9</v>
      </c>
      <c r="G166" s="3">
        <f t="shared" si="23"/>
        <v>13</v>
      </c>
      <c r="H166" s="5">
        <f t="shared" si="24"/>
        <v>4</v>
      </c>
      <c r="I166" s="5">
        <f t="shared" si="27"/>
        <v>1</v>
      </c>
    </row>
    <row r="167" spans="1:9" x14ac:dyDescent="0.35">
      <c r="A167" s="2" t="str">
        <f t="shared" si="26"/>
        <v>7J</v>
      </c>
      <c r="B167" s="74">
        <v>7</v>
      </c>
      <c r="C167" s="2" t="s">
        <v>9</v>
      </c>
      <c r="D167" s="2" t="s">
        <v>24</v>
      </c>
      <c r="E167" s="4">
        <f t="shared" si="21"/>
        <v>16</v>
      </c>
      <c r="F167" s="3">
        <f t="shared" si="22"/>
        <v>10</v>
      </c>
      <c r="G167" s="3">
        <f t="shared" si="23"/>
        <v>25</v>
      </c>
      <c r="H167" s="5">
        <f t="shared" si="24"/>
        <v>15</v>
      </c>
      <c r="I167" s="5">
        <f t="shared" si="27"/>
        <v>1</v>
      </c>
    </row>
    <row r="168" spans="1:9" x14ac:dyDescent="0.35">
      <c r="A168" s="2" t="str">
        <f t="shared" si="26"/>
        <v>7K</v>
      </c>
      <c r="B168" s="74">
        <v>7</v>
      </c>
      <c r="C168" s="2" t="s">
        <v>10</v>
      </c>
      <c r="D168" s="2" t="s">
        <v>18</v>
      </c>
      <c r="E168" s="4">
        <f t="shared" si="21"/>
        <v>9</v>
      </c>
      <c r="F168" s="3">
        <f t="shared" si="22"/>
        <v>11</v>
      </c>
      <c r="G168" s="3">
        <f t="shared" si="23"/>
        <v>19</v>
      </c>
      <c r="H168" s="5">
        <f t="shared" si="24"/>
        <v>8</v>
      </c>
      <c r="I168" s="5">
        <f t="shared" si="27"/>
        <v>1</v>
      </c>
    </row>
    <row r="169" spans="1:9" x14ac:dyDescent="0.35">
      <c r="A169" s="2" t="str">
        <f t="shared" si="26"/>
        <v>7L</v>
      </c>
      <c r="B169" s="74">
        <v>7</v>
      </c>
      <c r="C169" s="2" t="s">
        <v>11</v>
      </c>
      <c r="D169" s="2" t="s">
        <v>22</v>
      </c>
      <c r="E169" s="4">
        <f t="shared" si="21"/>
        <v>12</v>
      </c>
      <c r="F169" s="3">
        <f t="shared" si="22"/>
        <v>12</v>
      </c>
      <c r="G169" s="3">
        <f t="shared" si="23"/>
        <v>23</v>
      </c>
      <c r="H169" s="5">
        <f t="shared" si="24"/>
        <v>11</v>
      </c>
      <c r="I169" s="5">
        <f t="shared" si="27"/>
        <v>1</v>
      </c>
    </row>
    <row r="170" spans="1:9" x14ac:dyDescent="0.35">
      <c r="A170" s="2" t="str">
        <f t="shared" si="26"/>
        <v>7M</v>
      </c>
      <c r="B170" s="74">
        <v>7</v>
      </c>
      <c r="C170" s="2" t="s">
        <v>12</v>
      </c>
      <c r="D170" s="2" t="s">
        <v>0</v>
      </c>
      <c r="E170" s="4">
        <f t="shared" ref="E170:E233" si="28">H170+I170</f>
        <v>16</v>
      </c>
      <c r="F170" s="3">
        <f t="shared" ref="F170:F233" si="29">VLOOKUP(C170,nLet2Num,2,FALSE)</f>
        <v>13</v>
      </c>
      <c r="G170" s="3">
        <f t="shared" ref="G170:G233" si="30">VLOOKUP(D170,nLet2Num,2,FALSE)</f>
        <v>2</v>
      </c>
      <c r="H170" s="5">
        <f t="shared" ref="H170:H233" si="31">G170-F170</f>
        <v>-11</v>
      </c>
      <c r="I170" s="5">
        <f t="shared" si="27"/>
        <v>27</v>
      </c>
    </row>
    <row r="171" spans="1:9" x14ac:dyDescent="0.35">
      <c r="A171" s="2" t="str">
        <f t="shared" si="26"/>
        <v>7N</v>
      </c>
      <c r="B171" s="74">
        <v>7</v>
      </c>
      <c r="C171" s="2" t="s">
        <v>13</v>
      </c>
      <c r="D171" s="2" t="s">
        <v>14</v>
      </c>
      <c r="E171" s="4">
        <f t="shared" si="28"/>
        <v>2</v>
      </c>
      <c r="F171" s="3">
        <f t="shared" si="29"/>
        <v>14</v>
      </c>
      <c r="G171" s="3">
        <f t="shared" si="30"/>
        <v>15</v>
      </c>
      <c r="H171" s="5">
        <f t="shared" si="31"/>
        <v>1</v>
      </c>
      <c r="I171" s="5">
        <f t="shared" si="27"/>
        <v>1</v>
      </c>
    </row>
    <row r="172" spans="1:9" x14ac:dyDescent="0.35">
      <c r="A172" s="2" t="str">
        <f t="shared" si="26"/>
        <v>7O</v>
      </c>
      <c r="B172" s="74">
        <v>7</v>
      </c>
      <c r="C172" s="2" t="s">
        <v>14</v>
      </c>
      <c r="D172" s="2" t="s">
        <v>20</v>
      </c>
      <c r="E172" s="4">
        <f t="shared" si="28"/>
        <v>7</v>
      </c>
      <c r="F172" s="3">
        <f t="shared" si="29"/>
        <v>15</v>
      </c>
      <c r="G172" s="3">
        <f t="shared" si="30"/>
        <v>21</v>
      </c>
      <c r="H172" s="5">
        <f t="shared" si="31"/>
        <v>6</v>
      </c>
      <c r="I172" s="5">
        <f t="shared" si="27"/>
        <v>1</v>
      </c>
    </row>
    <row r="173" spans="1:9" x14ac:dyDescent="0.35">
      <c r="A173" s="2" t="str">
        <f t="shared" si="26"/>
        <v>7P</v>
      </c>
      <c r="B173" s="74">
        <v>7</v>
      </c>
      <c r="C173" s="2" t="s">
        <v>15</v>
      </c>
      <c r="D173" s="2" t="s">
        <v>5</v>
      </c>
      <c r="E173" s="4">
        <f t="shared" si="28"/>
        <v>17</v>
      </c>
      <c r="F173" s="3">
        <f t="shared" si="29"/>
        <v>16</v>
      </c>
      <c r="G173" s="3">
        <f t="shared" si="30"/>
        <v>6</v>
      </c>
      <c r="H173" s="5">
        <f t="shared" si="31"/>
        <v>-10</v>
      </c>
      <c r="I173" s="5">
        <f t="shared" si="27"/>
        <v>27</v>
      </c>
    </row>
    <row r="174" spans="1:9" x14ac:dyDescent="0.35">
      <c r="A174" s="2" t="str">
        <f t="shared" si="26"/>
        <v>7Q</v>
      </c>
      <c r="B174" s="74">
        <v>7</v>
      </c>
      <c r="C174" s="2" t="s">
        <v>16</v>
      </c>
      <c r="D174" s="2" t="s">
        <v>1</v>
      </c>
      <c r="E174" s="4">
        <f t="shared" si="28"/>
        <v>11</v>
      </c>
      <c r="F174" s="3">
        <f t="shared" si="29"/>
        <v>17</v>
      </c>
      <c r="G174" s="3">
        <f t="shared" si="30"/>
        <v>1</v>
      </c>
      <c r="H174" s="5">
        <f t="shared" si="31"/>
        <v>-16</v>
      </c>
      <c r="I174" s="5">
        <f t="shared" si="27"/>
        <v>27</v>
      </c>
    </row>
    <row r="175" spans="1:9" x14ac:dyDescent="0.35">
      <c r="A175" s="2" t="str">
        <f t="shared" si="26"/>
        <v>7R</v>
      </c>
      <c r="B175" s="74">
        <v>7</v>
      </c>
      <c r="C175" s="2" t="s">
        <v>17</v>
      </c>
      <c r="D175" s="2" t="s">
        <v>8</v>
      </c>
      <c r="E175" s="4">
        <f t="shared" si="28"/>
        <v>18</v>
      </c>
      <c r="F175" s="3">
        <f t="shared" si="29"/>
        <v>18</v>
      </c>
      <c r="G175" s="3">
        <f t="shared" si="30"/>
        <v>9</v>
      </c>
      <c r="H175" s="5">
        <f t="shared" si="31"/>
        <v>-9</v>
      </c>
      <c r="I175" s="5">
        <f t="shared" si="27"/>
        <v>27</v>
      </c>
    </row>
    <row r="176" spans="1:9" x14ac:dyDescent="0.35">
      <c r="A176" s="2" t="str">
        <f t="shared" si="26"/>
        <v>7S</v>
      </c>
      <c r="B176" s="74">
        <v>7</v>
      </c>
      <c r="C176" s="2" t="s">
        <v>18</v>
      </c>
      <c r="D176" s="2" t="s">
        <v>21</v>
      </c>
      <c r="E176" s="4">
        <f t="shared" si="28"/>
        <v>4</v>
      </c>
      <c r="F176" s="3">
        <f t="shared" si="29"/>
        <v>19</v>
      </c>
      <c r="G176" s="3">
        <f t="shared" si="30"/>
        <v>22</v>
      </c>
      <c r="H176" s="5">
        <f t="shared" si="31"/>
        <v>3</v>
      </c>
      <c r="I176" s="5">
        <f t="shared" si="27"/>
        <v>1</v>
      </c>
    </row>
    <row r="177" spans="1:9" x14ac:dyDescent="0.35">
      <c r="A177" s="2" t="str">
        <f t="shared" si="26"/>
        <v>7T</v>
      </c>
      <c r="B177" s="74">
        <v>7</v>
      </c>
      <c r="C177" s="2" t="s">
        <v>19</v>
      </c>
      <c r="D177" s="2" t="s">
        <v>11</v>
      </c>
      <c r="E177" s="4">
        <f t="shared" si="28"/>
        <v>19</v>
      </c>
      <c r="F177" s="3">
        <f t="shared" si="29"/>
        <v>20</v>
      </c>
      <c r="G177" s="3">
        <f t="shared" si="30"/>
        <v>12</v>
      </c>
      <c r="H177" s="5">
        <f t="shared" si="31"/>
        <v>-8</v>
      </c>
      <c r="I177" s="5">
        <f t="shared" si="27"/>
        <v>27</v>
      </c>
    </row>
    <row r="178" spans="1:9" x14ac:dyDescent="0.35">
      <c r="A178" s="2" t="str">
        <f t="shared" si="26"/>
        <v>7U</v>
      </c>
      <c r="B178" s="74">
        <v>7</v>
      </c>
      <c r="C178" s="2" t="s">
        <v>20</v>
      </c>
      <c r="D178" s="2" t="s">
        <v>15</v>
      </c>
      <c r="E178" s="4">
        <f t="shared" si="28"/>
        <v>22</v>
      </c>
      <c r="F178" s="3">
        <f t="shared" si="29"/>
        <v>21</v>
      </c>
      <c r="G178" s="3">
        <f t="shared" si="30"/>
        <v>16</v>
      </c>
      <c r="H178" s="5">
        <f t="shared" si="31"/>
        <v>-5</v>
      </c>
      <c r="I178" s="5">
        <f t="shared" si="27"/>
        <v>27</v>
      </c>
    </row>
    <row r="179" spans="1:9" x14ac:dyDescent="0.35">
      <c r="A179" s="2" t="str">
        <f t="shared" si="26"/>
        <v>7V</v>
      </c>
      <c r="B179" s="74">
        <v>7</v>
      </c>
      <c r="C179" s="2" t="s">
        <v>21</v>
      </c>
      <c r="D179" s="2" t="s">
        <v>4</v>
      </c>
      <c r="E179" s="4">
        <f t="shared" si="28"/>
        <v>10</v>
      </c>
      <c r="F179" s="3">
        <f t="shared" si="29"/>
        <v>22</v>
      </c>
      <c r="G179" s="3">
        <f t="shared" si="30"/>
        <v>5</v>
      </c>
      <c r="H179" s="5">
        <f t="shared" si="31"/>
        <v>-17</v>
      </c>
      <c r="I179" s="5">
        <f t="shared" si="27"/>
        <v>27</v>
      </c>
    </row>
    <row r="180" spans="1:9" x14ac:dyDescent="0.35">
      <c r="A180" s="2" t="str">
        <f t="shared" si="26"/>
        <v>7W</v>
      </c>
      <c r="B180" s="74">
        <v>7</v>
      </c>
      <c r="C180" s="2" t="s">
        <v>22</v>
      </c>
      <c r="D180" s="2" t="s">
        <v>10</v>
      </c>
      <c r="E180" s="4">
        <f t="shared" si="28"/>
        <v>15</v>
      </c>
      <c r="F180" s="3">
        <f t="shared" si="29"/>
        <v>23</v>
      </c>
      <c r="G180" s="3">
        <f t="shared" si="30"/>
        <v>11</v>
      </c>
      <c r="H180" s="5">
        <f t="shared" si="31"/>
        <v>-12</v>
      </c>
      <c r="I180" s="5">
        <f t="shared" si="27"/>
        <v>27</v>
      </c>
    </row>
    <row r="181" spans="1:9" x14ac:dyDescent="0.35">
      <c r="A181" s="2" t="str">
        <f t="shared" si="26"/>
        <v>7X</v>
      </c>
      <c r="B181" s="74">
        <v>7</v>
      </c>
      <c r="C181" s="2" t="s">
        <v>23</v>
      </c>
      <c r="D181" s="2" t="s">
        <v>16</v>
      </c>
      <c r="E181" s="4">
        <f t="shared" si="28"/>
        <v>20</v>
      </c>
      <c r="F181" s="3">
        <f t="shared" si="29"/>
        <v>24</v>
      </c>
      <c r="G181" s="3">
        <f t="shared" si="30"/>
        <v>17</v>
      </c>
      <c r="H181" s="5">
        <f t="shared" si="31"/>
        <v>-7</v>
      </c>
      <c r="I181" s="5">
        <f t="shared" si="27"/>
        <v>27</v>
      </c>
    </row>
    <row r="182" spans="1:9" x14ac:dyDescent="0.35">
      <c r="A182" s="2" t="str">
        <f t="shared" si="26"/>
        <v>7Y</v>
      </c>
      <c r="B182" s="74">
        <v>7</v>
      </c>
      <c r="C182" s="2" t="s">
        <v>24</v>
      </c>
      <c r="D182" s="2" t="s">
        <v>3</v>
      </c>
      <c r="E182" s="4">
        <f t="shared" si="28"/>
        <v>6</v>
      </c>
      <c r="F182" s="3">
        <f t="shared" si="29"/>
        <v>25</v>
      </c>
      <c r="G182" s="3">
        <f t="shared" si="30"/>
        <v>4</v>
      </c>
      <c r="H182" s="5">
        <f t="shared" si="31"/>
        <v>-21</v>
      </c>
      <c r="I182" s="5">
        <f t="shared" si="27"/>
        <v>27</v>
      </c>
    </row>
    <row r="183" spans="1:9" x14ac:dyDescent="0.35">
      <c r="A183" s="2" t="str">
        <f t="shared" si="26"/>
        <v>7Z</v>
      </c>
      <c r="B183" s="74">
        <v>7</v>
      </c>
      <c r="C183" s="2" t="s">
        <v>25</v>
      </c>
      <c r="D183" s="2" t="s">
        <v>19</v>
      </c>
      <c r="E183" s="4">
        <f t="shared" si="28"/>
        <v>21</v>
      </c>
      <c r="F183" s="3">
        <f t="shared" si="29"/>
        <v>26</v>
      </c>
      <c r="G183" s="3">
        <f t="shared" si="30"/>
        <v>20</v>
      </c>
      <c r="H183" s="5">
        <f t="shared" si="31"/>
        <v>-6</v>
      </c>
      <c r="I183" s="5">
        <f t="shared" si="27"/>
        <v>27</v>
      </c>
    </row>
    <row r="184" spans="1:9" x14ac:dyDescent="0.35">
      <c r="A184" s="2" t="str">
        <f t="shared" si="26"/>
        <v>8A</v>
      </c>
      <c r="B184" s="74">
        <v>8</v>
      </c>
      <c r="C184" s="2" t="s">
        <v>1</v>
      </c>
      <c r="D184" s="2" t="s">
        <v>5</v>
      </c>
      <c r="E184" s="4">
        <f t="shared" si="28"/>
        <v>6</v>
      </c>
      <c r="F184" s="3">
        <f t="shared" si="29"/>
        <v>1</v>
      </c>
      <c r="G184" s="3">
        <f t="shared" si="30"/>
        <v>6</v>
      </c>
      <c r="H184" s="5">
        <f t="shared" si="31"/>
        <v>5</v>
      </c>
      <c r="I184" s="5">
        <f t="shared" si="27"/>
        <v>1</v>
      </c>
    </row>
    <row r="185" spans="1:9" x14ac:dyDescent="0.35">
      <c r="A185" s="2" t="str">
        <f t="shared" si="26"/>
        <v>8B</v>
      </c>
      <c r="B185" s="74">
        <v>8</v>
      </c>
      <c r="C185" s="2" t="s">
        <v>0</v>
      </c>
      <c r="D185" s="2" t="s">
        <v>10</v>
      </c>
      <c r="E185" s="4">
        <f t="shared" si="28"/>
        <v>10</v>
      </c>
      <c r="F185" s="3">
        <f t="shared" si="29"/>
        <v>2</v>
      </c>
      <c r="G185" s="3">
        <f t="shared" si="30"/>
        <v>11</v>
      </c>
      <c r="H185" s="5">
        <f t="shared" si="31"/>
        <v>9</v>
      </c>
      <c r="I185" s="5">
        <f t="shared" si="27"/>
        <v>1</v>
      </c>
    </row>
    <row r="186" spans="1:9" x14ac:dyDescent="0.35">
      <c r="A186" s="2" t="str">
        <f t="shared" si="26"/>
        <v>8C</v>
      </c>
      <c r="B186" s="74">
        <v>8</v>
      </c>
      <c r="C186" s="2" t="s">
        <v>2</v>
      </c>
      <c r="D186" s="2" t="s">
        <v>16</v>
      </c>
      <c r="E186" s="4">
        <f t="shared" si="28"/>
        <v>15</v>
      </c>
      <c r="F186" s="3">
        <f t="shared" si="29"/>
        <v>3</v>
      </c>
      <c r="G186" s="3">
        <f t="shared" si="30"/>
        <v>17</v>
      </c>
      <c r="H186" s="5">
        <f t="shared" si="31"/>
        <v>14</v>
      </c>
      <c r="I186" s="5">
        <f t="shared" si="27"/>
        <v>1</v>
      </c>
    </row>
    <row r="187" spans="1:9" x14ac:dyDescent="0.35">
      <c r="A187" s="2" t="str">
        <f t="shared" si="26"/>
        <v>8D</v>
      </c>
      <c r="B187" s="74">
        <v>8</v>
      </c>
      <c r="C187" s="2" t="s">
        <v>3</v>
      </c>
      <c r="D187" s="2" t="s">
        <v>7</v>
      </c>
      <c r="E187" s="4">
        <f t="shared" si="28"/>
        <v>5</v>
      </c>
      <c r="F187" s="3">
        <f t="shared" si="29"/>
        <v>4</v>
      </c>
      <c r="G187" s="3">
        <f t="shared" si="30"/>
        <v>8</v>
      </c>
      <c r="H187" s="5">
        <f t="shared" si="31"/>
        <v>4</v>
      </c>
      <c r="I187" s="5">
        <f t="shared" si="27"/>
        <v>1</v>
      </c>
    </row>
    <row r="188" spans="1:9" x14ac:dyDescent="0.35">
      <c r="A188" s="2" t="str">
        <f t="shared" si="26"/>
        <v>8E</v>
      </c>
      <c r="B188" s="74">
        <v>8</v>
      </c>
      <c r="C188" s="2" t="s">
        <v>4</v>
      </c>
      <c r="D188" s="2" t="s">
        <v>19</v>
      </c>
      <c r="E188" s="4">
        <f t="shared" si="28"/>
        <v>16</v>
      </c>
      <c r="F188" s="3">
        <f t="shared" si="29"/>
        <v>5</v>
      </c>
      <c r="G188" s="3">
        <f t="shared" si="30"/>
        <v>20</v>
      </c>
      <c r="H188" s="5">
        <f t="shared" si="31"/>
        <v>15</v>
      </c>
      <c r="I188" s="5">
        <f t="shared" si="27"/>
        <v>1</v>
      </c>
    </row>
    <row r="189" spans="1:9" x14ac:dyDescent="0.35">
      <c r="A189" s="2" t="str">
        <f t="shared" si="26"/>
        <v>8F</v>
      </c>
      <c r="B189" s="74">
        <v>8</v>
      </c>
      <c r="C189" s="2" t="s">
        <v>5</v>
      </c>
      <c r="D189" s="2" t="s">
        <v>11</v>
      </c>
      <c r="E189" s="4">
        <f t="shared" si="28"/>
        <v>7</v>
      </c>
      <c r="F189" s="3">
        <f t="shared" si="29"/>
        <v>6</v>
      </c>
      <c r="G189" s="3">
        <f t="shared" si="30"/>
        <v>12</v>
      </c>
      <c r="H189" s="5">
        <f t="shared" si="31"/>
        <v>6</v>
      </c>
      <c r="I189" s="5">
        <f t="shared" si="27"/>
        <v>1</v>
      </c>
    </row>
    <row r="190" spans="1:9" x14ac:dyDescent="0.35">
      <c r="A190" s="2" t="str">
        <f t="shared" si="26"/>
        <v>8G</v>
      </c>
      <c r="B190" s="74">
        <v>8</v>
      </c>
      <c r="C190" s="2" t="s">
        <v>6</v>
      </c>
      <c r="D190" s="2" t="s">
        <v>23</v>
      </c>
      <c r="E190" s="4">
        <f t="shared" si="28"/>
        <v>18</v>
      </c>
      <c r="F190" s="3">
        <f t="shared" si="29"/>
        <v>7</v>
      </c>
      <c r="G190" s="3">
        <f t="shared" si="30"/>
        <v>24</v>
      </c>
      <c r="H190" s="5">
        <f t="shared" si="31"/>
        <v>17</v>
      </c>
      <c r="I190" s="5">
        <f t="shared" si="27"/>
        <v>1</v>
      </c>
    </row>
    <row r="191" spans="1:9" x14ac:dyDescent="0.35">
      <c r="A191" s="2" t="str">
        <f t="shared" si="26"/>
        <v>8H</v>
      </c>
      <c r="B191" s="74">
        <v>8</v>
      </c>
      <c r="C191" s="2" t="s">
        <v>7</v>
      </c>
      <c r="D191" s="2" t="s">
        <v>14</v>
      </c>
      <c r="E191" s="4">
        <f t="shared" si="28"/>
        <v>8</v>
      </c>
      <c r="F191" s="3">
        <f t="shared" si="29"/>
        <v>8</v>
      </c>
      <c r="G191" s="3">
        <f t="shared" si="30"/>
        <v>15</v>
      </c>
      <c r="H191" s="5">
        <f t="shared" si="31"/>
        <v>7</v>
      </c>
      <c r="I191" s="5">
        <f t="shared" si="27"/>
        <v>1</v>
      </c>
    </row>
    <row r="192" spans="1:9" x14ac:dyDescent="0.35">
      <c r="A192" s="2" t="str">
        <f t="shared" si="26"/>
        <v>8I</v>
      </c>
      <c r="B192" s="74">
        <v>8</v>
      </c>
      <c r="C192" s="2" t="s">
        <v>8</v>
      </c>
      <c r="D192" s="2" t="s">
        <v>2</v>
      </c>
      <c r="E192" s="4">
        <f t="shared" si="28"/>
        <v>21</v>
      </c>
      <c r="F192" s="3">
        <f t="shared" si="29"/>
        <v>9</v>
      </c>
      <c r="G192" s="3">
        <f t="shared" si="30"/>
        <v>3</v>
      </c>
      <c r="H192" s="5">
        <f t="shared" si="31"/>
        <v>-6</v>
      </c>
      <c r="I192" s="5">
        <f t="shared" si="27"/>
        <v>27</v>
      </c>
    </row>
    <row r="193" spans="1:9" x14ac:dyDescent="0.35">
      <c r="A193" s="2" t="str">
        <f t="shared" si="26"/>
        <v>8J</v>
      </c>
      <c r="B193" s="74">
        <v>8</v>
      </c>
      <c r="C193" s="2" t="s">
        <v>9</v>
      </c>
      <c r="D193" s="2" t="s">
        <v>0</v>
      </c>
      <c r="E193" s="4">
        <f t="shared" si="28"/>
        <v>19</v>
      </c>
      <c r="F193" s="3">
        <f t="shared" si="29"/>
        <v>10</v>
      </c>
      <c r="G193" s="3">
        <f t="shared" si="30"/>
        <v>2</v>
      </c>
      <c r="H193" s="5">
        <f t="shared" si="31"/>
        <v>-8</v>
      </c>
      <c r="I193" s="5">
        <f t="shared" si="27"/>
        <v>27</v>
      </c>
    </row>
    <row r="194" spans="1:9" x14ac:dyDescent="0.35">
      <c r="A194" s="2" t="str">
        <f t="shared" si="26"/>
        <v>8K</v>
      </c>
      <c r="B194" s="74">
        <v>8</v>
      </c>
      <c r="C194" s="2" t="s">
        <v>10</v>
      </c>
      <c r="D194" s="2" t="s">
        <v>9</v>
      </c>
      <c r="E194" s="4">
        <f t="shared" si="28"/>
        <v>26</v>
      </c>
      <c r="F194" s="3">
        <f t="shared" si="29"/>
        <v>11</v>
      </c>
      <c r="G194" s="3">
        <f t="shared" si="30"/>
        <v>10</v>
      </c>
      <c r="H194" s="5">
        <f t="shared" si="31"/>
        <v>-1</v>
      </c>
      <c r="I194" s="5">
        <f t="shared" si="27"/>
        <v>27</v>
      </c>
    </row>
    <row r="195" spans="1:9" x14ac:dyDescent="0.35">
      <c r="A195" s="2" t="str">
        <f t="shared" si="26"/>
        <v>8L</v>
      </c>
      <c r="B195" s="74">
        <v>8</v>
      </c>
      <c r="C195" s="2" t="s">
        <v>11</v>
      </c>
      <c r="D195" s="2" t="s">
        <v>18</v>
      </c>
      <c r="E195" s="4">
        <f t="shared" si="28"/>
        <v>8</v>
      </c>
      <c r="F195" s="3">
        <f t="shared" si="29"/>
        <v>12</v>
      </c>
      <c r="G195" s="3">
        <f t="shared" si="30"/>
        <v>19</v>
      </c>
      <c r="H195" s="5">
        <f t="shared" si="31"/>
        <v>7</v>
      </c>
      <c r="I195" s="5">
        <f t="shared" si="27"/>
        <v>1</v>
      </c>
    </row>
    <row r="196" spans="1:9" x14ac:dyDescent="0.35">
      <c r="A196" s="2" t="str">
        <f t="shared" si="26"/>
        <v>8M</v>
      </c>
      <c r="B196" s="74">
        <v>8</v>
      </c>
      <c r="C196" s="2" t="s">
        <v>12</v>
      </c>
      <c r="D196" s="2" t="s">
        <v>15</v>
      </c>
      <c r="E196" s="4">
        <f t="shared" si="28"/>
        <v>4</v>
      </c>
      <c r="F196" s="3">
        <f t="shared" si="29"/>
        <v>13</v>
      </c>
      <c r="G196" s="3">
        <f t="shared" si="30"/>
        <v>16</v>
      </c>
      <c r="H196" s="5">
        <f t="shared" si="31"/>
        <v>3</v>
      </c>
      <c r="I196" s="5">
        <f t="shared" si="27"/>
        <v>1</v>
      </c>
    </row>
    <row r="197" spans="1:9" x14ac:dyDescent="0.35">
      <c r="A197" s="2" t="str">
        <f t="shared" si="26"/>
        <v>8N</v>
      </c>
      <c r="B197" s="74">
        <v>8</v>
      </c>
      <c r="C197" s="2" t="s">
        <v>13</v>
      </c>
      <c r="D197" s="2" t="s">
        <v>3</v>
      </c>
      <c r="E197" s="4">
        <f t="shared" si="28"/>
        <v>17</v>
      </c>
      <c r="F197" s="3">
        <f t="shared" si="29"/>
        <v>14</v>
      </c>
      <c r="G197" s="3">
        <f t="shared" si="30"/>
        <v>4</v>
      </c>
      <c r="H197" s="5">
        <f t="shared" si="31"/>
        <v>-10</v>
      </c>
      <c r="I197" s="5">
        <f t="shared" ref="I197:I209" si="32">IF(H197&lt;0,27,1)</f>
        <v>27</v>
      </c>
    </row>
    <row r="198" spans="1:9" x14ac:dyDescent="0.35">
      <c r="A198" s="2" t="str">
        <f t="shared" si="26"/>
        <v>8O</v>
      </c>
      <c r="B198" s="74">
        <v>8</v>
      </c>
      <c r="C198" s="2" t="s">
        <v>14</v>
      </c>
      <c r="D198" s="2" t="s">
        <v>25</v>
      </c>
      <c r="E198" s="4">
        <f t="shared" si="28"/>
        <v>12</v>
      </c>
      <c r="F198" s="3">
        <f t="shared" si="29"/>
        <v>15</v>
      </c>
      <c r="G198" s="3">
        <f t="shared" si="30"/>
        <v>26</v>
      </c>
      <c r="H198" s="5">
        <f t="shared" si="31"/>
        <v>11</v>
      </c>
      <c r="I198" s="5">
        <f t="shared" si="32"/>
        <v>1</v>
      </c>
    </row>
    <row r="199" spans="1:9" x14ac:dyDescent="0.35">
      <c r="A199" s="2" t="str">
        <f t="shared" si="26"/>
        <v>8P</v>
      </c>
      <c r="B199" s="74">
        <v>8</v>
      </c>
      <c r="C199" s="2" t="s">
        <v>15</v>
      </c>
      <c r="D199" s="2" t="s">
        <v>17</v>
      </c>
      <c r="E199" s="4">
        <f t="shared" si="28"/>
        <v>3</v>
      </c>
      <c r="F199" s="3">
        <f t="shared" si="29"/>
        <v>16</v>
      </c>
      <c r="G199" s="3">
        <f t="shared" si="30"/>
        <v>18</v>
      </c>
      <c r="H199" s="5">
        <f t="shared" si="31"/>
        <v>2</v>
      </c>
      <c r="I199" s="5">
        <f t="shared" si="32"/>
        <v>1</v>
      </c>
    </row>
    <row r="200" spans="1:9" x14ac:dyDescent="0.35">
      <c r="A200" s="2" t="str">
        <f t="shared" si="26"/>
        <v>8Q</v>
      </c>
      <c r="B200" s="74">
        <v>8</v>
      </c>
      <c r="C200" s="2" t="s">
        <v>16</v>
      </c>
      <c r="D200" s="2" t="s">
        <v>1</v>
      </c>
      <c r="E200" s="4">
        <f t="shared" si="28"/>
        <v>11</v>
      </c>
      <c r="F200" s="3">
        <f t="shared" si="29"/>
        <v>17</v>
      </c>
      <c r="G200" s="3">
        <f t="shared" si="30"/>
        <v>1</v>
      </c>
      <c r="H200" s="5">
        <f t="shared" si="31"/>
        <v>-16</v>
      </c>
      <c r="I200" s="5">
        <f t="shared" si="32"/>
        <v>27</v>
      </c>
    </row>
    <row r="201" spans="1:9" x14ac:dyDescent="0.35">
      <c r="A201" s="2" t="str">
        <f t="shared" si="26"/>
        <v>8R</v>
      </c>
      <c r="B201" s="74">
        <v>8</v>
      </c>
      <c r="C201" s="2" t="s">
        <v>17</v>
      </c>
      <c r="D201" s="2" t="s">
        <v>12</v>
      </c>
      <c r="E201" s="4">
        <f t="shared" si="28"/>
        <v>22</v>
      </c>
      <c r="F201" s="3">
        <f t="shared" si="29"/>
        <v>18</v>
      </c>
      <c r="G201" s="3">
        <f t="shared" si="30"/>
        <v>13</v>
      </c>
      <c r="H201" s="5">
        <f t="shared" si="31"/>
        <v>-5</v>
      </c>
      <c r="I201" s="5">
        <f t="shared" si="32"/>
        <v>27</v>
      </c>
    </row>
    <row r="202" spans="1:9" x14ac:dyDescent="0.35">
      <c r="A202" s="2" t="str">
        <f t="shared" si="26"/>
        <v>8S</v>
      </c>
      <c r="B202" s="74">
        <v>8</v>
      </c>
      <c r="C202" s="2" t="s">
        <v>18</v>
      </c>
      <c r="D202" s="2" t="s">
        <v>4</v>
      </c>
      <c r="E202" s="4">
        <f t="shared" si="28"/>
        <v>13</v>
      </c>
      <c r="F202" s="3">
        <f t="shared" si="29"/>
        <v>19</v>
      </c>
      <c r="G202" s="3">
        <f t="shared" si="30"/>
        <v>5</v>
      </c>
      <c r="H202" s="5">
        <f t="shared" si="31"/>
        <v>-14</v>
      </c>
      <c r="I202" s="5">
        <f t="shared" si="32"/>
        <v>27</v>
      </c>
    </row>
    <row r="203" spans="1:9" x14ac:dyDescent="0.35">
      <c r="A203" s="2" t="str">
        <f t="shared" si="26"/>
        <v>8T</v>
      </c>
      <c r="B203" s="74">
        <v>8</v>
      </c>
      <c r="C203" s="2" t="s">
        <v>19</v>
      </c>
      <c r="D203" s="2" t="s">
        <v>22</v>
      </c>
      <c r="E203" s="4">
        <f t="shared" si="28"/>
        <v>4</v>
      </c>
      <c r="F203" s="3">
        <f t="shared" si="29"/>
        <v>20</v>
      </c>
      <c r="G203" s="3">
        <f t="shared" si="30"/>
        <v>23</v>
      </c>
      <c r="H203" s="5">
        <f t="shared" si="31"/>
        <v>3</v>
      </c>
      <c r="I203" s="5">
        <f t="shared" si="32"/>
        <v>1</v>
      </c>
    </row>
    <row r="204" spans="1:9" x14ac:dyDescent="0.35">
      <c r="A204" s="2" t="str">
        <f t="shared" si="26"/>
        <v>8U</v>
      </c>
      <c r="B204" s="74">
        <v>8</v>
      </c>
      <c r="C204" s="2" t="s">
        <v>20</v>
      </c>
      <c r="D204" s="2" t="s">
        <v>13</v>
      </c>
      <c r="E204" s="4">
        <f t="shared" si="28"/>
        <v>20</v>
      </c>
      <c r="F204" s="3">
        <f t="shared" si="29"/>
        <v>21</v>
      </c>
      <c r="G204" s="3">
        <f t="shared" si="30"/>
        <v>14</v>
      </c>
      <c r="H204" s="5">
        <f t="shared" si="31"/>
        <v>-7</v>
      </c>
      <c r="I204" s="5">
        <f t="shared" si="32"/>
        <v>27</v>
      </c>
    </row>
    <row r="205" spans="1:9" x14ac:dyDescent="0.35">
      <c r="A205" s="2" t="str">
        <f t="shared" si="26"/>
        <v>8V</v>
      </c>
      <c r="B205" s="74">
        <v>8</v>
      </c>
      <c r="C205" s="2" t="s">
        <v>21</v>
      </c>
      <c r="D205" s="2" t="s">
        <v>8</v>
      </c>
      <c r="E205" s="4">
        <f t="shared" si="28"/>
        <v>14</v>
      </c>
      <c r="F205" s="3">
        <f t="shared" si="29"/>
        <v>22</v>
      </c>
      <c r="G205" s="3">
        <f t="shared" si="30"/>
        <v>9</v>
      </c>
      <c r="H205" s="5">
        <f t="shared" si="31"/>
        <v>-13</v>
      </c>
      <c r="I205" s="5">
        <f t="shared" si="32"/>
        <v>27</v>
      </c>
    </row>
    <row r="206" spans="1:9" x14ac:dyDescent="0.35">
      <c r="A206" s="2" t="str">
        <f t="shared" si="26"/>
        <v>8W</v>
      </c>
      <c r="B206" s="74">
        <v>8</v>
      </c>
      <c r="C206" s="2" t="s">
        <v>22</v>
      </c>
      <c r="D206" s="2" t="s">
        <v>20</v>
      </c>
      <c r="E206" s="4">
        <f t="shared" si="28"/>
        <v>25</v>
      </c>
      <c r="F206" s="3">
        <f t="shared" si="29"/>
        <v>23</v>
      </c>
      <c r="G206" s="3">
        <f t="shared" si="30"/>
        <v>21</v>
      </c>
      <c r="H206" s="5">
        <f t="shared" si="31"/>
        <v>-2</v>
      </c>
      <c r="I206" s="5">
        <f t="shared" si="32"/>
        <v>27</v>
      </c>
    </row>
    <row r="207" spans="1:9" x14ac:dyDescent="0.35">
      <c r="A207" s="2" t="str">
        <f t="shared" si="26"/>
        <v>8X</v>
      </c>
      <c r="B207" s="74">
        <v>8</v>
      </c>
      <c r="C207" s="2" t="s">
        <v>23</v>
      </c>
      <c r="D207" s="2" t="s">
        <v>24</v>
      </c>
      <c r="E207" s="4">
        <f t="shared" si="28"/>
        <v>2</v>
      </c>
      <c r="F207" s="3">
        <f t="shared" si="29"/>
        <v>24</v>
      </c>
      <c r="G207" s="3">
        <f t="shared" si="30"/>
        <v>25</v>
      </c>
      <c r="H207" s="5">
        <f t="shared" si="31"/>
        <v>1</v>
      </c>
      <c r="I207" s="5">
        <f t="shared" si="32"/>
        <v>1</v>
      </c>
    </row>
    <row r="208" spans="1:9" x14ac:dyDescent="0.35">
      <c r="A208" s="2" t="str">
        <f t="shared" si="26"/>
        <v>8Y</v>
      </c>
      <c r="B208" s="74">
        <v>8</v>
      </c>
      <c r="C208" s="2" t="s">
        <v>24</v>
      </c>
      <c r="D208" s="2" t="s">
        <v>6</v>
      </c>
      <c r="E208" s="4">
        <f t="shared" si="28"/>
        <v>9</v>
      </c>
      <c r="F208" s="3">
        <f t="shared" si="29"/>
        <v>25</v>
      </c>
      <c r="G208" s="3">
        <f t="shared" si="30"/>
        <v>7</v>
      </c>
      <c r="H208" s="5">
        <f t="shared" si="31"/>
        <v>-18</v>
      </c>
      <c r="I208" s="5">
        <f t="shared" si="32"/>
        <v>27</v>
      </c>
    </row>
    <row r="209" spans="1:9" x14ac:dyDescent="0.35">
      <c r="A209" s="2" t="str">
        <f t="shared" si="26"/>
        <v>8Z</v>
      </c>
      <c r="B209" s="74">
        <v>8</v>
      </c>
      <c r="C209" s="2" t="s">
        <v>25</v>
      </c>
      <c r="D209" s="2" t="s">
        <v>21</v>
      </c>
      <c r="E209" s="4">
        <f t="shared" si="28"/>
        <v>23</v>
      </c>
      <c r="F209" s="3">
        <f t="shared" si="29"/>
        <v>26</v>
      </c>
      <c r="G209" s="3">
        <f t="shared" si="30"/>
        <v>22</v>
      </c>
      <c r="H209" s="5">
        <f t="shared" si="31"/>
        <v>-4</v>
      </c>
      <c r="I209" s="5">
        <f t="shared" si="32"/>
        <v>27</v>
      </c>
    </row>
    <row r="210" spans="1:9" x14ac:dyDescent="0.35">
      <c r="A210" s="2" t="str">
        <f t="shared" ref="A210:A261" si="33">B210&amp;C210</f>
        <v>BA</v>
      </c>
      <c r="B210" s="74" t="s">
        <v>0</v>
      </c>
      <c r="C210" s="2" t="s">
        <v>1</v>
      </c>
      <c r="D210" s="2" t="s">
        <v>11</v>
      </c>
      <c r="E210" s="4">
        <f t="shared" si="28"/>
        <v>12</v>
      </c>
      <c r="F210" s="3">
        <f t="shared" si="29"/>
        <v>1</v>
      </c>
      <c r="G210" s="3">
        <f t="shared" si="30"/>
        <v>12</v>
      </c>
      <c r="H210" s="5">
        <f t="shared" si="31"/>
        <v>11</v>
      </c>
      <c r="I210" s="5">
        <f>IF(H210&lt;0,27,1)</f>
        <v>1</v>
      </c>
    </row>
    <row r="211" spans="1:9" x14ac:dyDescent="0.35">
      <c r="A211" s="2" t="str">
        <f t="shared" si="33"/>
        <v>BB</v>
      </c>
      <c r="B211" s="74" t="s">
        <v>0</v>
      </c>
      <c r="C211" s="2" t="s">
        <v>0</v>
      </c>
      <c r="D211" s="2" t="s">
        <v>4</v>
      </c>
      <c r="E211" s="4">
        <f t="shared" si="28"/>
        <v>4</v>
      </c>
      <c r="F211" s="3">
        <f t="shared" si="29"/>
        <v>2</v>
      </c>
      <c r="G211" s="3">
        <f t="shared" si="30"/>
        <v>5</v>
      </c>
      <c r="H211" s="5">
        <f t="shared" si="31"/>
        <v>3</v>
      </c>
      <c r="I211" s="5">
        <f t="shared" ref="I211:I261" si="34">IF(H211&lt;0,27,1)</f>
        <v>1</v>
      </c>
    </row>
    <row r="212" spans="1:9" x14ac:dyDescent="0.35">
      <c r="A212" s="2" t="str">
        <f t="shared" si="33"/>
        <v>BC</v>
      </c>
      <c r="B212" s="74" t="s">
        <v>0</v>
      </c>
      <c r="C212" s="2" t="s">
        <v>2</v>
      </c>
      <c r="D212" s="2" t="s">
        <v>24</v>
      </c>
      <c r="E212" s="4">
        <f t="shared" si="28"/>
        <v>23</v>
      </c>
      <c r="F212" s="3">
        <f t="shared" si="29"/>
        <v>3</v>
      </c>
      <c r="G212" s="3">
        <f t="shared" si="30"/>
        <v>25</v>
      </c>
      <c r="H212" s="5">
        <f t="shared" si="31"/>
        <v>22</v>
      </c>
      <c r="I212" s="5">
        <f t="shared" si="34"/>
        <v>1</v>
      </c>
    </row>
    <row r="213" spans="1:9" x14ac:dyDescent="0.35">
      <c r="A213" s="2" t="str">
        <f t="shared" si="33"/>
        <v>BD</v>
      </c>
      <c r="B213" s="74" t="s">
        <v>0</v>
      </c>
      <c r="C213" s="2" t="s">
        <v>3</v>
      </c>
      <c r="D213" s="2" t="s">
        <v>9</v>
      </c>
      <c r="E213" s="4">
        <f t="shared" si="28"/>
        <v>7</v>
      </c>
      <c r="F213" s="3">
        <f t="shared" si="29"/>
        <v>4</v>
      </c>
      <c r="G213" s="3">
        <f t="shared" si="30"/>
        <v>10</v>
      </c>
      <c r="H213" s="5">
        <f t="shared" si="31"/>
        <v>6</v>
      </c>
      <c r="I213" s="5">
        <f t="shared" si="34"/>
        <v>1</v>
      </c>
    </row>
    <row r="214" spans="1:9" x14ac:dyDescent="0.35">
      <c r="A214" s="2" t="str">
        <f t="shared" si="33"/>
        <v>BE</v>
      </c>
      <c r="B214" s="74" t="s">
        <v>0</v>
      </c>
      <c r="C214" s="2" t="s">
        <v>4</v>
      </c>
      <c r="D214" s="2" t="s">
        <v>21</v>
      </c>
      <c r="E214" s="4">
        <f t="shared" si="28"/>
        <v>18</v>
      </c>
      <c r="F214" s="3">
        <f t="shared" si="29"/>
        <v>5</v>
      </c>
      <c r="G214" s="3">
        <f t="shared" si="30"/>
        <v>22</v>
      </c>
      <c r="H214" s="5">
        <f t="shared" si="31"/>
        <v>17</v>
      </c>
      <c r="I214" s="5">
        <f t="shared" si="34"/>
        <v>1</v>
      </c>
    </row>
    <row r="215" spans="1:9" x14ac:dyDescent="0.35">
      <c r="A215" s="2" t="str">
        <f t="shared" si="33"/>
        <v>BF</v>
      </c>
      <c r="B215" s="74" t="s">
        <v>0</v>
      </c>
      <c r="C215" s="2" t="s">
        <v>5</v>
      </c>
      <c r="D215" s="2" t="s">
        <v>2</v>
      </c>
      <c r="E215" s="4">
        <f t="shared" si="28"/>
        <v>24</v>
      </c>
      <c r="F215" s="3">
        <f t="shared" si="29"/>
        <v>6</v>
      </c>
      <c r="G215" s="3">
        <f t="shared" si="30"/>
        <v>3</v>
      </c>
      <c r="H215" s="5">
        <f t="shared" si="31"/>
        <v>-3</v>
      </c>
      <c r="I215" s="5">
        <f t="shared" si="34"/>
        <v>27</v>
      </c>
    </row>
    <row r="216" spans="1:9" x14ac:dyDescent="0.35">
      <c r="A216" s="2" t="str">
        <f t="shared" si="33"/>
        <v>BG</v>
      </c>
      <c r="B216" s="74" t="s">
        <v>0</v>
      </c>
      <c r="C216" s="2" t="s">
        <v>6</v>
      </c>
      <c r="D216" s="2" t="s">
        <v>13</v>
      </c>
      <c r="E216" s="4">
        <f t="shared" si="28"/>
        <v>8</v>
      </c>
      <c r="F216" s="3">
        <f t="shared" si="29"/>
        <v>7</v>
      </c>
      <c r="G216" s="3">
        <f t="shared" si="30"/>
        <v>14</v>
      </c>
      <c r="H216" s="5">
        <f t="shared" si="31"/>
        <v>7</v>
      </c>
      <c r="I216" s="5">
        <f t="shared" si="34"/>
        <v>1</v>
      </c>
    </row>
    <row r="217" spans="1:9" x14ac:dyDescent="0.35">
      <c r="A217" s="2" t="str">
        <f t="shared" si="33"/>
        <v>BH</v>
      </c>
      <c r="B217" s="74" t="s">
        <v>0</v>
      </c>
      <c r="C217" s="2" t="s">
        <v>7</v>
      </c>
      <c r="D217" s="2" t="s">
        <v>8</v>
      </c>
      <c r="E217" s="4">
        <f t="shared" si="28"/>
        <v>2</v>
      </c>
      <c r="F217" s="3">
        <f t="shared" si="29"/>
        <v>8</v>
      </c>
      <c r="G217" s="3">
        <f t="shared" si="30"/>
        <v>9</v>
      </c>
      <c r="H217" s="5">
        <f t="shared" si="31"/>
        <v>1</v>
      </c>
      <c r="I217" s="5">
        <f t="shared" si="34"/>
        <v>1</v>
      </c>
    </row>
    <row r="218" spans="1:9" x14ac:dyDescent="0.35">
      <c r="A218" s="2" t="str">
        <f t="shared" si="33"/>
        <v>BI</v>
      </c>
      <c r="B218" s="74" t="s">
        <v>0</v>
      </c>
      <c r="C218" s="2" t="s">
        <v>8</v>
      </c>
      <c r="D218" s="2" t="s">
        <v>23</v>
      </c>
      <c r="E218" s="4">
        <f t="shared" si="28"/>
        <v>16</v>
      </c>
      <c r="F218" s="3">
        <f t="shared" si="29"/>
        <v>9</v>
      </c>
      <c r="G218" s="3">
        <f t="shared" si="30"/>
        <v>24</v>
      </c>
      <c r="H218" s="5">
        <f t="shared" si="31"/>
        <v>15</v>
      </c>
      <c r="I218" s="5">
        <f t="shared" si="34"/>
        <v>1</v>
      </c>
    </row>
    <row r="219" spans="1:9" x14ac:dyDescent="0.35">
      <c r="A219" s="2" t="str">
        <f t="shared" si="33"/>
        <v>BJ</v>
      </c>
      <c r="B219" s="74" t="s">
        <v>0</v>
      </c>
      <c r="C219" s="2" t="s">
        <v>9</v>
      </c>
      <c r="D219" s="2" t="s">
        <v>22</v>
      </c>
      <c r="E219" s="4">
        <f t="shared" si="28"/>
        <v>14</v>
      </c>
      <c r="F219" s="3">
        <f t="shared" si="29"/>
        <v>10</v>
      </c>
      <c r="G219" s="3">
        <f t="shared" si="30"/>
        <v>23</v>
      </c>
      <c r="H219" s="5">
        <f t="shared" si="31"/>
        <v>13</v>
      </c>
      <c r="I219" s="5">
        <f t="shared" si="34"/>
        <v>1</v>
      </c>
    </row>
    <row r="220" spans="1:9" x14ac:dyDescent="0.35">
      <c r="A220" s="2" t="str">
        <f t="shared" si="33"/>
        <v>BK</v>
      </c>
      <c r="B220" s="74" t="s">
        <v>0</v>
      </c>
      <c r="C220" s="2" t="s">
        <v>10</v>
      </c>
      <c r="D220" s="2" t="s">
        <v>15</v>
      </c>
      <c r="E220" s="4">
        <f t="shared" si="28"/>
        <v>6</v>
      </c>
      <c r="F220" s="3">
        <f t="shared" si="29"/>
        <v>11</v>
      </c>
      <c r="G220" s="3">
        <f t="shared" si="30"/>
        <v>16</v>
      </c>
      <c r="H220" s="5">
        <f t="shared" si="31"/>
        <v>5</v>
      </c>
      <c r="I220" s="5">
        <f t="shared" si="34"/>
        <v>1</v>
      </c>
    </row>
    <row r="221" spans="1:9" x14ac:dyDescent="0.35">
      <c r="A221" s="2" t="str">
        <f t="shared" si="33"/>
        <v>BL</v>
      </c>
      <c r="B221" s="74" t="s">
        <v>0</v>
      </c>
      <c r="C221" s="2" t="s">
        <v>11</v>
      </c>
      <c r="D221" s="2" t="s">
        <v>0</v>
      </c>
      <c r="E221" s="4">
        <f t="shared" si="28"/>
        <v>17</v>
      </c>
      <c r="F221" s="3">
        <f t="shared" si="29"/>
        <v>12</v>
      </c>
      <c r="G221" s="3">
        <f t="shared" si="30"/>
        <v>2</v>
      </c>
      <c r="H221" s="5">
        <f t="shared" si="31"/>
        <v>-10</v>
      </c>
      <c r="I221" s="5">
        <f t="shared" si="34"/>
        <v>27</v>
      </c>
    </row>
    <row r="222" spans="1:9" x14ac:dyDescent="0.35">
      <c r="A222" s="2" t="str">
        <f t="shared" si="33"/>
        <v>BM</v>
      </c>
      <c r="B222" s="74" t="s">
        <v>0</v>
      </c>
      <c r="C222" s="2" t="s">
        <v>12</v>
      </c>
      <c r="D222" s="2" t="s">
        <v>16</v>
      </c>
      <c r="E222" s="4">
        <f t="shared" si="28"/>
        <v>5</v>
      </c>
      <c r="F222" s="3">
        <f t="shared" si="29"/>
        <v>13</v>
      </c>
      <c r="G222" s="3">
        <f t="shared" si="30"/>
        <v>17</v>
      </c>
      <c r="H222" s="5">
        <f t="shared" si="31"/>
        <v>4</v>
      </c>
      <c r="I222" s="5">
        <f t="shared" si="34"/>
        <v>1</v>
      </c>
    </row>
    <row r="223" spans="1:9" x14ac:dyDescent="0.35">
      <c r="A223" s="2" t="str">
        <f t="shared" si="33"/>
        <v>BN</v>
      </c>
      <c r="B223" s="74" t="s">
        <v>0</v>
      </c>
      <c r="C223" s="2" t="s">
        <v>13</v>
      </c>
      <c r="D223" s="2" t="s">
        <v>12</v>
      </c>
      <c r="E223" s="4">
        <f t="shared" si="28"/>
        <v>26</v>
      </c>
      <c r="F223" s="3">
        <f t="shared" si="29"/>
        <v>14</v>
      </c>
      <c r="G223" s="3">
        <f t="shared" si="30"/>
        <v>13</v>
      </c>
      <c r="H223" s="5">
        <f t="shared" si="31"/>
        <v>-1</v>
      </c>
      <c r="I223" s="5">
        <f t="shared" si="34"/>
        <v>27</v>
      </c>
    </row>
    <row r="224" spans="1:9" x14ac:dyDescent="0.35">
      <c r="A224" s="2" t="str">
        <f t="shared" si="33"/>
        <v>BO</v>
      </c>
      <c r="B224" s="74" t="s">
        <v>0</v>
      </c>
      <c r="C224" s="2" t="s">
        <v>14</v>
      </c>
      <c r="D224" s="2" t="s">
        <v>3</v>
      </c>
      <c r="E224" s="4">
        <f t="shared" si="28"/>
        <v>16</v>
      </c>
      <c r="F224" s="3">
        <f t="shared" si="29"/>
        <v>15</v>
      </c>
      <c r="G224" s="3">
        <f t="shared" si="30"/>
        <v>4</v>
      </c>
      <c r="H224" s="5">
        <f t="shared" si="31"/>
        <v>-11</v>
      </c>
      <c r="I224" s="5">
        <f t="shared" si="34"/>
        <v>27</v>
      </c>
    </row>
    <row r="225" spans="1:9" x14ac:dyDescent="0.35">
      <c r="A225" s="2" t="str">
        <f t="shared" si="33"/>
        <v>BP</v>
      </c>
      <c r="B225" s="74" t="s">
        <v>0</v>
      </c>
      <c r="C225" s="2" t="s">
        <v>15</v>
      </c>
      <c r="D225" s="2" t="s">
        <v>17</v>
      </c>
      <c r="E225" s="4">
        <f t="shared" si="28"/>
        <v>3</v>
      </c>
      <c r="F225" s="3">
        <f t="shared" si="29"/>
        <v>16</v>
      </c>
      <c r="G225" s="3">
        <f t="shared" si="30"/>
        <v>18</v>
      </c>
      <c r="H225" s="5">
        <f t="shared" si="31"/>
        <v>2</v>
      </c>
      <c r="I225" s="5">
        <f t="shared" si="34"/>
        <v>1</v>
      </c>
    </row>
    <row r="226" spans="1:9" x14ac:dyDescent="0.35">
      <c r="A226" s="2" t="str">
        <f t="shared" si="33"/>
        <v>BQ</v>
      </c>
      <c r="B226" s="74" t="s">
        <v>0</v>
      </c>
      <c r="C226" s="2" t="s">
        <v>16</v>
      </c>
      <c r="D226" s="2" t="s">
        <v>19</v>
      </c>
      <c r="E226" s="4">
        <f t="shared" si="28"/>
        <v>4</v>
      </c>
      <c r="F226" s="3">
        <f t="shared" si="29"/>
        <v>17</v>
      </c>
      <c r="G226" s="3">
        <f t="shared" si="30"/>
        <v>20</v>
      </c>
      <c r="H226" s="5">
        <f t="shared" si="31"/>
        <v>3</v>
      </c>
      <c r="I226" s="5">
        <f t="shared" si="34"/>
        <v>1</v>
      </c>
    </row>
    <row r="227" spans="1:9" x14ac:dyDescent="0.35">
      <c r="A227" s="2" t="str">
        <f t="shared" si="33"/>
        <v>BR</v>
      </c>
      <c r="B227" s="74" t="s">
        <v>0</v>
      </c>
      <c r="C227" s="2" t="s">
        <v>17</v>
      </c>
      <c r="D227" s="2" t="s">
        <v>1</v>
      </c>
      <c r="E227" s="4">
        <f t="shared" si="28"/>
        <v>10</v>
      </c>
      <c r="F227" s="3">
        <f t="shared" si="29"/>
        <v>18</v>
      </c>
      <c r="G227" s="3">
        <f t="shared" si="30"/>
        <v>1</v>
      </c>
      <c r="H227" s="5">
        <f t="shared" si="31"/>
        <v>-17</v>
      </c>
      <c r="I227" s="5">
        <f t="shared" si="34"/>
        <v>27</v>
      </c>
    </row>
    <row r="228" spans="1:9" x14ac:dyDescent="0.35">
      <c r="A228" s="2" t="str">
        <f t="shared" si="33"/>
        <v>BS</v>
      </c>
      <c r="B228" s="74" t="s">
        <v>0</v>
      </c>
      <c r="C228" s="2" t="s">
        <v>18</v>
      </c>
      <c r="D228" s="2" t="s">
        <v>10</v>
      </c>
      <c r="E228" s="4">
        <f t="shared" si="28"/>
        <v>19</v>
      </c>
      <c r="F228" s="3">
        <f t="shared" si="29"/>
        <v>19</v>
      </c>
      <c r="G228" s="3">
        <f t="shared" si="30"/>
        <v>11</v>
      </c>
      <c r="H228" s="5">
        <f t="shared" si="31"/>
        <v>-8</v>
      </c>
      <c r="I228" s="5">
        <f t="shared" si="34"/>
        <v>27</v>
      </c>
    </row>
    <row r="229" spans="1:9" x14ac:dyDescent="0.35">
      <c r="A229" s="2" t="str">
        <f t="shared" si="33"/>
        <v>BT</v>
      </c>
      <c r="B229" s="74" t="s">
        <v>0</v>
      </c>
      <c r="C229" s="2" t="s">
        <v>19</v>
      </c>
      <c r="D229" s="2" t="s">
        <v>25</v>
      </c>
      <c r="E229" s="4">
        <f t="shared" si="28"/>
        <v>7</v>
      </c>
      <c r="F229" s="3">
        <f t="shared" si="29"/>
        <v>20</v>
      </c>
      <c r="G229" s="3">
        <f t="shared" si="30"/>
        <v>26</v>
      </c>
      <c r="H229" s="5">
        <f t="shared" si="31"/>
        <v>6</v>
      </c>
      <c r="I229" s="5">
        <f t="shared" si="34"/>
        <v>1</v>
      </c>
    </row>
    <row r="230" spans="1:9" x14ac:dyDescent="0.35">
      <c r="A230" s="2" t="str">
        <f t="shared" si="33"/>
        <v>BU</v>
      </c>
      <c r="B230" s="74" t="s">
        <v>0</v>
      </c>
      <c r="C230" s="2" t="s">
        <v>20</v>
      </c>
      <c r="D230" s="2" t="s">
        <v>6</v>
      </c>
      <c r="E230" s="4">
        <f t="shared" si="28"/>
        <v>13</v>
      </c>
      <c r="F230" s="3">
        <f t="shared" si="29"/>
        <v>21</v>
      </c>
      <c r="G230" s="3">
        <f t="shared" si="30"/>
        <v>7</v>
      </c>
      <c r="H230" s="5">
        <f t="shared" si="31"/>
        <v>-14</v>
      </c>
      <c r="I230" s="5">
        <f t="shared" si="34"/>
        <v>27</v>
      </c>
    </row>
    <row r="231" spans="1:9" x14ac:dyDescent="0.35">
      <c r="A231" s="2" t="str">
        <f t="shared" si="33"/>
        <v>BV</v>
      </c>
      <c r="B231" s="74" t="s">
        <v>0</v>
      </c>
      <c r="C231" s="2" t="s">
        <v>21</v>
      </c>
      <c r="D231" s="2" t="s">
        <v>5</v>
      </c>
      <c r="E231" s="4">
        <f t="shared" si="28"/>
        <v>11</v>
      </c>
      <c r="F231" s="3">
        <f t="shared" si="29"/>
        <v>22</v>
      </c>
      <c r="G231" s="3">
        <f t="shared" si="30"/>
        <v>6</v>
      </c>
      <c r="H231" s="5">
        <f t="shared" si="31"/>
        <v>-16</v>
      </c>
      <c r="I231" s="5">
        <f t="shared" si="34"/>
        <v>27</v>
      </c>
    </row>
    <row r="232" spans="1:9" x14ac:dyDescent="0.35">
      <c r="A232" s="2" t="str">
        <f t="shared" si="33"/>
        <v>BW</v>
      </c>
      <c r="B232" s="74" t="s">
        <v>0</v>
      </c>
      <c r="C232" s="2" t="s">
        <v>22</v>
      </c>
      <c r="D232" s="2" t="s">
        <v>20</v>
      </c>
      <c r="E232" s="4">
        <f t="shared" si="28"/>
        <v>25</v>
      </c>
      <c r="F232" s="3">
        <f t="shared" si="29"/>
        <v>23</v>
      </c>
      <c r="G232" s="3">
        <f t="shared" si="30"/>
        <v>21</v>
      </c>
      <c r="H232" s="5">
        <f t="shared" si="31"/>
        <v>-2</v>
      </c>
      <c r="I232" s="5">
        <f t="shared" si="34"/>
        <v>27</v>
      </c>
    </row>
    <row r="233" spans="1:9" x14ac:dyDescent="0.35">
      <c r="A233" s="2" t="str">
        <f t="shared" si="33"/>
        <v>BX</v>
      </c>
      <c r="B233" s="74" t="s">
        <v>0</v>
      </c>
      <c r="C233" s="2" t="s">
        <v>23</v>
      </c>
      <c r="D233" s="2" t="s">
        <v>7</v>
      </c>
      <c r="E233" s="4">
        <f t="shared" si="28"/>
        <v>11</v>
      </c>
      <c r="F233" s="3">
        <f t="shared" si="29"/>
        <v>24</v>
      </c>
      <c r="G233" s="3">
        <f t="shared" si="30"/>
        <v>8</v>
      </c>
      <c r="H233" s="5">
        <f t="shared" si="31"/>
        <v>-16</v>
      </c>
      <c r="I233" s="5">
        <f t="shared" si="34"/>
        <v>27</v>
      </c>
    </row>
    <row r="234" spans="1:9" x14ac:dyDescent="0.35">
      <c r="A234" s="2" t="str">
        <f t="shared" si="33"/>
        <v>BY</v>
      </c>
      <c r="B234" s="74" t="s">
        <v>0</v>
      </c>
      <c r="C234" s="2" t="s">
        <v>24</v>
      </c>
      <c r="D234" s="2" t="s">
        <v>14</v>
      </c>
      <c r="E234" s="4">
        <f t="shared" ref="E234:E261" si="35">H234+I234</f>
        <v>17</v>
      </c>
      <c r="F234" s="3">
        <f t="shared" ref="F234:F261" si="36">VLOOKUP(C234,nLet2Num,2,FALSE)</f>
        <v>25</v>
      </c>
      <c r="G234" s="3">
        <f t="shared" ref="G234:G261" si="37">VLOOKUP(D234,nLet2Num,2,FALSE)</f>
        <v>15</v>
      </c>
      <c r="H234" s="5">
        <f t="shared" ref="H234:H261" si="38">G234-F234</f>
        <v>-10</v>
      </c>
      <c r="I234" s="5">
        <f t="shared" si="34"/>
        <v>27</v>
      </c>
    </row>
    <row r="235" spans="1:9" x14ac:dyDescent="0.35">
      <c r="A235" s="2" t="str">
        <f t="shared" si="33"/>
        <v>BZ</v>
      </c>
      <c r="B235" s="74" t="s">
        <v>0</v>
      </c>
      <c r="C235" s="2" t="s">
        <v>25</v>
      </c>
      <c r="D235" s="2" t="s">
        <v>18</v>
      </c>
      <c r="E235" s="4">
        <f t="shared" si="35"/>
        <v>20</v>
      </c>
      <c r="F235" s="3">
        <f t="shared" si="36"/>
        <v>26</v>
      </c>
      <c r="G235" s="3">
        <f t="shared" si="37"/>
        <v>19</v>
      </c>
      <c r="H235" s="5">
        <f t="shared" si="38"/>
        <v>-7</v>
      </c>
      <c r="I235" s="5">
        <f t="shared" si="34"/>
        <v>27</v>
      </c>
    </row>
    <row r="236" spans="1:9" x14ac:dyDescent="0.35">
      <c r="A236" s="2" t="str">
        <f t="shared" si="33"/>
        <v>GA</v>
      </c>
      <c r="B236" s="74" t="s">
        <v>6</v>
      </c>
      <c r="C236" s="2" t="s">
        <v>1</v>
      </c>
      <c r="D236" s="2" t="s">
        <v>5</v>
      </c>
      <c r="E236" s="4">
        <f t="shared" si="35"/>
        <v>6</v>
      </c>
      <c r="F236" s="3">
        <f t="shared" si="36"/>
        <v>1</v>
      </c>
      <c r="G236" s="3">
        <f t="shared" si="37"/>
        <v>6</v>
      </c>
      <c r="H236" s="5">
        <f t="shared" si="38"/>
        <v>5</v>
      </c>
      <c r="I236" s="5">
        <f t="shared" si="34"/>
        <v>1</v>
      </c>
    </row>
    <row r="237" spans="1:9" x14ac:dyDescent="0.35">
      <c r="A237" s="2" t="str">
        <f t="shared" si="33"/>
        <v>GB</v>
      </c>
      <c r="B237" s="74" t="s">
        <v>6</v>
      </c>
      <c r="C237" s="2" t="s">
        <v>0</v>
      </c>
      <c r="D237" s="2" t="s">
        <v>18</v>
      </c>
      <c r="E237" s="4">
        <f t="shared" si="35"/>
        <v>18</v>
      </c>
      <c r="F237" s="3">
        <f t="shared" si="36"/>
        <v>2</v>
      </c>
      <c r="G237" s="3">
        <f t="shared" si="37"/>
        <v>19</v>
      </c>
      <c r="H237" s="5">
        <f t="shared" si="38"/>
        <v>17</v>
      </c>
      <c r="I237" s="5">
        <f t="shared" si="34"/>
        <v>1</v>
      </c>
    </row>
    <row r="238" spans="1:9" x14ac:dyDescent="0.35">
      <c r="A238" s="2" t="str">
        <f t="shared" si="33"/>
        <v>GC</v>
      </c>
      <c r="B238" s="74" t="s">
        <v>6</v>
      </c>
      <c r="C238" s="2" t="s">
        <v>2</v>
      </c>
      <c r="D238" s="2" t="s">
        <v>14</v>
      </c>
      <c r="E238" s="4">
        <f t="shared" si="35"/>
        <v>13</v>
      </c>
      <c r="F238" s="3">
        <f t="shared" si="36"/>
        <v>3</v>
      </c>
      <c r="G238" s="3">
        <f t="shared" si="37"/>
        <v>15</v>
      </c>
      <c r="H238" s="5">
        <f t="shared" si="38"/>
        <v>12</v>
      </c>
      <c r="I238" s="5">
        <f t="shared" si="34"/>
        <v>1</v>
      </c>
    </row>
    <row r="239" spans="1:9" x14ac:dyDescent="0.35">
      <c r="A239" s="2" t="str">
        <f t="shared" si="33"/>
        <v>GD</v>
      </c>
      <c r="B239" s="74" t="s">
        <v>6</v>
      </c>
      <c r="C239" s="2" t="s">
        <v>3</v>
      </c>
      <c r="D239" s="2" t="s">
        <v>10</v>
      </c>
      <c r="E239" s="4">
        <f t="shared" si="35"/>
        <v>8</v>
      </c>
      <c r="F239" s="3">
        <f t="shared" si="36"/>
        <v>4</v>
      </c>
      <c r="G239" s="3">
        <f t="shared" si="37"/>
        <v>11</v>
      </c>
      <c r="H239" s="5">
        <f t="shared" si="38"/>
        <v>7</v>
      </c>
      <c r="I239" s="5">
        <f t="shared" si="34"/>
        <v>1</v>
      </c>
    </row>
    <row r="240" spans="1:9" x14ac:dyDescent="0.35">
      <c r="A240" s="2" t="str">
        <f t="shared" si="33"/>
        <v>GE</v>
      </c>
      <c r="B240" s="74" t="s">
        <v>6</v>
      </c>
      <c r="C240" s="2" t="s">
        <v>4</v>
      </c>
      <c r="D240" s="2" t="s">
        <v>1</v>
      </c>
      <c r="E240" s="4">
        <f t="shared" si="35"/>
        <v>23</v>
      </c>
      <c r="F240" s="3">
        <f t="shared" si="36"/>
        <v>5</v>
      </c>
      <c r="G240" s="3">
        <f t="shared" si="37"/>
        <v>1</v>
      </c>
      <c r="H240" s="5">
        <f t="shared" si="38"/>
        <v>-4</v>
      </c>
      <c r="I240" s="5">
        <f t="shared" si="34"/>
        <v>27</v>
      </c>
    </row>
    <row r="241" spans="1:9" x14ac:dyDescent="0.35">
      <c r="A241" s="2" t="str">
        <f t="shared" si="33"/>
        <v>GF</v>
      </c>
      <c r="B241" s="74" t="s">
        <v>6</v>
      </c>
      <c r="C241" s="2" t="s">
        <v>5</v>
      </c>
      <c r="D241" s="2" t="s">
        <v>13</v>
      </c>
      <c r="E241" s="4">
        <f t="shared" si="35"/>
        <v>9</v>
      </c>
      <c r="F241" s="3">
        <f t="shared" si="36"/>
        <v>6</v>
      </c>
      <c r="G241" s="3">
        <f t="shared" si="37"/>
        <v>14</v>
      </c>
      <c r="H241" s="5">
        <f t="shared" si="38"/>
        <v>8</v>
      </c>
      <c r="I241" s="5">
        <f t="shared" si="34"/>
        <v>1</v>
      </c>
    </row>
    <row r="242" spans="1:9" x14ac:dyDescent="0.35">
      <c r="A242" s="2" t="str">
        <f t="shared" si="33"/>
        <v>GG</v>
      </c>
      <c r="B242" s="74" t="s">
        <v>6</v>
      </c>
      <c r="C242" s="2" t="s">
        <v>6</v>
      </c>
      <c r="D242" s="2" t="s">
        <v>20</v>
      </c>
      <c r="E242" s="4">
        <f t="shared" si="35"/>
        <v>15</v>
      </c>
      <c r="F242" s="3">
        <f t="shared" si="36"/>
        <v>7</v>
      </c>
      <c r="G242" s="3">
        <f t="shared" si="37"/>
        <v>21</v>
      </c>
      <c r="H242" s="5">
        <f t="shared" si="38"/>
        <v>14</v>
      </c>
      <c r="I242" s="5">
        <f t="shared" si="34"/>
        <v>1</v>
      </c>
    </row>
    <row r="243" spans="1:9" x14ac:dyDescent="0.35">
      <c r="A243" s="2" t="str">
        <f t="shared" si="33"/>
        <v>GH</v>
      </c>
      <c r="B243" s="74" t="s">
        <v>6</v>
      </c>
      <c r="C243" s="2" t="s">
        <v>7</v>
      </c>
      <c r="D243" s="2" t="s">
        <v>4</v>
      </c>
      <c r="E243" s="4">
        <f t="shared" si="35"/>
        <v>24</v>
      </c>
      <c r="F243" s="3">
        <f t="shared" si="36"/>
        <v>8</v>
      </c>
      <c r="G243" s="3">
        <f t="shared" si="37"/>
        <v>5</v>
      </c>
      <c r="H243" s="5">
        <f t="shared" si="38"/>
        <v>-3</v>
      </c>
      <c r="I243" s="5">
        <f t="shared" si="34"/>
        <v>27</v>
      </c>
    </row>
    <row r="244" spans="1:9" x14ac:dyDescent="0.35">
      <c r="A244" s="2" t="str">
        <f t="shared" si="33"/>
        <v>GI</v>
      </c>
      <c r="B244" s="74" t="s">
        <v>6</v>
      </c>
      <c r="C244" s="2" t="s">
        <v>8</v>
      </c>
      <c r="D244" s="2" t="s">
        <v>17</v>
      </c>
      <c r="E244" s="4">
        <f t="shared" si="35"/>
        <v>10</v>
      </c>
      <c r="F244" s="3">
        <f t="shared" si="36"/>
        <v>9</v>
      </c>
      <c r="G244" s="3">
        <f t="shared" si="37"/>
        <v>18</v>
      </c>
      <c r="H244" s="5">
        <f t="shared" si="38"/>
        <v>9</v>
      </c>
      <c r="I244" s="5">
        <f t="shared" si="34"/>
        <v>1</v>
      </c>
    </row>
    <row r="245" spans="1:9" x14ac:dyDescent="0.35">
      <c r="A245" s="2" t="str">
        <f t="shared" si="33"/>
        <v>GJ</v>
      </c>
      <c r="B245" s="74" t="s">
        <v>6</v>
      </c>
      <c r="C245" s="2" t="s">
        <v>9</v>
      </c>
      <c r="D245" s="2" t="s">
        <v>7</v>
      </c>
      <c r="E245" s="4">
        <f t="shared" si="35"/>
        <v>25</v>
      </c>
      <c r="F245" s="3">
        <f t="shared" si="36"/>
        <v>10</v>
      </c>
      <c r="G245" s="3">
        <f t="shared" si="37"/>
        <v>8</v>
      </c>
      <c r="H245" s="5">
        <f t="shared" si="38"/>
        <v>-2</v>
      </c>
      <c r="I245" s="5">
        <f t="shared" si="34"/>
        <v>27</v>
      </c>
    </row>
    <row r="246" spans="1:9" x14ac:dyDescent="0.35">
      <c r="A246" s="2" t="str">
        <f t="shared" si="33"/>
        <v>GK</v>
      </c>
      <c r="B246" s="74" t="s">
        <v>6</v>
      </c>
      <c r="C246" s="2" t="s">
        <v>10</v>
      </c>
      <c r="D246" s="2" t="s">
        <v>12</v>
      </c>
      <c r="E246" s="4">
        <f t="shared" si="35"/>
        <v>3</v>
      </c>
      <c r="F246" s="3">
        <f t="shared" si="36"/>
        <v>11</v>
      </c>
      <c r="G246" s="3">
        <f t="shared" si="37"/>
        <v>13</v>
      </c>
      <c r="H246" s="5">
        <f t="shared" si="38"/>
        <v>2</v>
      </c>
      <c r="I246" s="5">
        <f t="shared" si="34"/>
        <v>1</v>
      </c>
    </row>
    <row r="247" spans="1:9" x14ac:dyDescent="0.35">
      <c r="A247" s="2" t="str">
        <f t="shared" si="33"/>
        <v>GL</v>
      </c>
      <c r="B247" s="74" t="s">
        <v>6</v>
      </c>
      <c r="C247" s="2" t="s">
        <v>11</v>
      </c>
      <c r="D247" s="2" t="s">
        <v>0</v>
      </c>
      <c r="E247" s="4">
        <f t="shared" si="35"/>
        <v>17</v>
      </c>
      <c r="F247" s="3">
        <f t="shared" si="36"/>
        <v>12</v>
      </c>
      <c r="G247" s="3">
        <f t="shared" si="37"/>
        <v>2</v>
      </c>
      <c r="H247" s="5">
        <f t="shared" si="38"/>
        <v>-10</v>
      </c>
      <c r="I247" s="5">
        <f t="shared" si="34"/>
        <v>27</v>
      </c>
    </row>
    <row r="248" spans="1:9" x14ac:dyDescent="0.35">
      <c r="A248" s="2" t="str">
        <f t="shared" si="33"/>
        <v>GM</v>
      </c>
      <c r="B248" s="74" t="s">
        <v>6</v>
      </c>
      <c r="C248" s="2" t="s">
        <v>12</v>
      </c>
      <c r="D248" s="2" t="s">
        <v>19</v>
      </c>
      <c r="E248" s="4">
        <f t="shared" si="35"/>
        <v>8</v>
      </c>
      <c r="F248" s="3">
        <f t="shared" si="36"/>
        <v>13</v>
      </c>
      <c r="G248" s="3">
        <f t="shared" si="37"/>
        <v>20</v>
      </c>
      <c r="H248" s="5">
        <f t="shared" si="38"/>
        <v>7</v>
      </c>
      <c r="I248" s="5">
        <f t="shared" si="34"/>
        <v>1</v>
      </c>
    </row>
    <row r="249" spans="1:9" x14ac:dyDescent="0.35">
      <c r="A249" s="2" t="str">
        <f t="shared" si="33"/>
        <v>GN</v>
      </c>
      <c r="B249" s="74" t="s">
        <v>6</v>
      </c>
      <c r="C249" s="2" t="s">
        <v>13</v>
      </c>
      <c r="D249" s="2" t="s">
        <v>8</v>
      </c>
      <c r="E249" s="4">
        <f t="shared" si="35"/>
        <v>22</v>
      </c>
      <c r="F249" s="3">
        <f t="shared" si="36"/>
        <v>14</v>
      </c>
      <c r="G249" s="3">
        <f t="shared" si="37"/>
        <v>9</v>
      </c>
      <c r="H249" s="5">
        <f t="shared" si="38"/>
        <v>-5</v>
      </c>
      <c r="I249" s="5">
        <f t="shared" si="34"/>
        <v>27</v>
      </c>
    </row>
    <row r="250" spans="1:9" x14ac:dyDescent="0.35">
      <c r="A250" s="2" t="str">
        <f t="shared" si="33"/>
        <v>GO</v>
      </c>
      <c r="B250" s="74" t="s">
        <v>6</v>
      </c>
      <c r="C250" s="2" t="s">
        <v>14</v>
      </c>
      <c r="D250" s="2" t="s">
        <v>24</v>
      </c>
      <c r="E250" s="4">
        <f t="shared" si="35"/>
        <v>11</v>
      </c>
      <c r="F250" s="3">
        <f t="shared" si="36"/>
        <v>15</v>
      </c>
      <c r="G250" s="3">
        <f t="shared" si="37"/>
        <v>25</v>
      </c>
      <c r="H250" s="5">
        <f t="shared" si="38"/>
        <v>10</v>
      </c>
      <c r="I250" s="5">
        <f t="shared" si="34"/>
        <v>1</v>
      </c>
    </row>
    <row r="251" spans="1:9" x14ac:dyDescent="0.35">
      <c r="A251" s="2" t="str">
        <f t="shared" si="33"/>
        <v>GP</v>
      </c>
      <c r="B251" s="74" t="s">
        <v>6</v>
      </c>
      <c r="C251" s="2" t="s">
        <v>15</v>
      </c>
      <c r="D251" s="2" t="s">
        <v>2</v>
      </c>
      <c r="E251" s="4">
        <f t="shared" si="35"/>
        <v>14</v>
      </c>
      <c r="F251" s="3">
        <f t="shared" si="36"/>
        <v>16</v>
      </c>
      <c r="G251" s="3">
        <f t="shared" si="37"/>
        <v>3</v>
      </c>
      <c r="H251" s="5">
        <f t="shared" si="38"/>
        <v>-13</v>
      </c>
      <c r="I251" s="5">
        <f t="shared" si="34"/>
        <v>27</v>
      </c>
    </row>
    <row r="252" spans="1:9" x14ac:dyDescent="0.35">
      <c r="A252" s="2" t="str">
        <f t="shared" si="33"/>
        <v>GQ</v>
      </c>
      <c r="B252" s="74" t="s">
        <v>6</v>
      </c>
      <c r="C252" s="2" t="s">
        <v>16</v>
      </c>
      <c r="D252" s="2" t="s">
        <v>22</v>
      </c>
      <c r="E252" s="4">
        <f t="shared" si="35"/>
        <v>7</v>
      </c>
      <c r="F252" s="3">
        <f t="shared" si="36"/>
        <v>17</v>
      </c>
      <c r="G252" s="3">
        <f t="shared" si="37"/>
        <v>23</v>
      </c>
      <c r="H252" s="5">
        <f t="shared" si="38"/>
        <v>6</v>
      </c>
      <c r="I252" s="5">
        <f t="shared" si="34"/>
        <v>1</v>
      </c>
    </row>
    <row r="253" spans="1:9" x14ac:dyDescent="0.35">
      <c r="A253" s="2" t="str">
        <f t="shared" si="33"/>
        <v>GR</v>
      </c>
      <c r="B253" s="74" t="s">
        <v>6</v>
      </c>
      <c r="C253" s="2" t="s">
        <v>17</v>
      </c>
      <c r="D253" s="2" t="s">
        <v>11</v>
      </c>
      <c r="E253" s="4">
        <f t="shared" si="35"/>
        <v>21</v>
      </c>
      <c r="F253" s="3">
        <f t="shared" si="36"/>
        <v>18</v>
      </c>
      <c r="G253" s="3">
        <f t="shared" si="37"/>
        <v>12</v>
      </c>
      <c r="H253" s="5">
        <f t="shared" si="38"/>
        <v>-6</v>
      </c>
      <c r="I253" s="5">
        <f t="shared" si="34"/>
        <v>27</v>
      </c>
    </row>
    <row r="254" spans="1:9" x14ac:dyDescent="0.35">
      <c r="A254" s="2" t="str">
        <f t="shared" si="33"/>
        <v>GS</v>
      </c>
      <c r="B254" s="74" t="s">
        <v>6</v>
      </c>
      <c r="C254" s="2" t="s">
        <v>18</v>
      </c>
      <c r="D254" s="2" t="s">
        <v>16</v>
      </c>
      <c r="E254" s="4">
        <f t="shared" si="35"/>
        <v>25</v>
      </c>
      <c r="F254" s="3">
        <f t="shared" si="36"/>
        <v>19</v>
      </c>
      <c r="G254" s="3">
        <f t="shared" si="37"/>
        <v>17</v>
      </c>
      <c r="H254" s="5">
        <f t="shared" si="38"/>
        <v>-2</v>
      </c>
      <c r="I254" s="5">
        <f t="shared" si="34"/>
        <v>27</v>
      </c>
    </row>
    <row r="255" spans="1:9" x14ac:dyDescent="0.35">
      <c r="A255" s="2" t="str">
        <f t="shared" si="33"/>
        <v>GT</v>
      </c>
      <c r="B255" s="74" t="s">
        <v>6</v>
      </c>
      <c r="C255" s="2" t="s">
        <v>19</v>
      </c>
      <c r="D255" s="2" t="s">
        <v>15</v>
      </c>
      <c r="E255" s="4">
        <f t="shared" si="35"/>
        <v>23</v>
      </c>
      <c r="F255" s="3">
        <f t="shared" si="36"/>
        <v>20</v>
      </c>
      <c r="G255" s="3">
        <f t="shared" si="37"/>
        <v>16</v>
      </c>
      <c r="H255" s="5">
        <f t="shared" si="38"/>
        <v>-4</v>
      </c>
      <c r="I255" s="5">
        <f t="shared" si="34"/>
        <v>27</v>
      </c>
    </row>
    <row r="256" spans="1:9" x14ac:dyDescent="0.35">
      <c r="A256" s="2" t="str">
        <f t="shared" si="33"/>
        <v>GU</v>
      </c>
      <c r="B256" s="74" t="s">
        <v>6</v>
      </c>
      <c r="C256" s="2" t="s">
        <v>20</v>
      </c>
      <c r="D256" s="2" t="s">
        <v>25</v>
      </c>
      <c r="E256" s="4">
        <f t="shared" si="35"/>
        <v>6</v>
      </c>
      <c r="F256" s="3">
        <f t="shared" si="36"/>
        <v>21</v>
      </c>
      <c r="G256" s="3">
        <f t="shared" si="37"/>
        <v>26</v>
      </c>
      <c r="H256" s="5">
        <f t="shared" si="38"/>
        <v>5</v>
      </c>
      <c r="I256" s="5">
        <f t="shared" si="34"/>
        <v>1</v>
      </c>
    </row>
    <row r="257" spans="1:9" x14ac:dyDescent="0.35">
      <c r="A257" s="2" t="str">
        <f t="shared" si="33"/>
        <v>GV</v>
      </c>
      <c r="B257" s="74" t="s">
        <v>6</v>
      </c>
      <c r="C257" s="2" t="s">
        <v>21</v>
      </c>
      <c r="D257" s="2" t="s">
        <v>23</v>
      </c>
      <c r="E257" s="4">
        <f t="shared" si="35"/>
        <v>3</v>
      </c>
      <c r="F257" s="3">
        <f t="shared" si="36"/>
        <v>22</v>
      </c>
      <c r="G257" s="3">
        <f t="shared" si="37"/>
        <v>24</v>
      </c>
      <c r="H257" s="5">
        <f t="shared" si="38"/>
        <v>2</v>
      </c>
      <c r="I257" s="5">
        <f t="shared" si="34"/>
        <v>1</v>
      </c>
    </row>
    <row r="258" spans="1:9" x14ac:dyDescent="0.35">
      <c r="A258" s="2" t="str">
        <f t="shared" si="33"/>
        <v>GW</v>
      </c>
      <c r="B258" s="74" t="s">
        <v>6</v>
      </c>
      <c r="C258" s="2" t="s">
        <v>22</v>
      </c>
      <c r="D258" s="2" t="s">
        <v>21</v>
      </c>
      <c r="E258" s="4">
        <f t="shared" si="35"/>
        <v>26</v>
      </c>
      <c r="F258" s="3">
        <f t="shared" si="36"/>
        <v>23</v>
      </c>
      <c r="G258" s="3">
        <f t="shared" si="37"/>
        <v>22</v>
      </c>
      <c r="H258" s="5">
        <f t="shared" si="38"/>
        <v>-1</v>
      </c>
      <c r="I258" s="5">
        <f t="shared" si="34"/>
        <v>27</v>
      </c>
    </row>
    <row r="259" spans="1:9" x14ac:dyDescent="0.35">
      <c r="A259" s="2" t="str">
        <f t="shared" si="33"/>
        <v>GX</v>
      </c>
      <c r="B259" s="74" t="s">
        <v>6</v>
      </c>
      <c r="C259" s="2" t="s">
        <v>23</v>
      </c>
      <c r="D259" s="2" t="s">
        <v>6</v>
      </c>
      <c r="E259" s="4">
        <f t="shared" si="35"/>
        <v>10</v>
      </c>
      <c r="F259" s="3">
        <f t="shared" si="36"/>
        <v>24</v>
      </c>
      <c r="G259" s="3">
        <f t="shared" si="37"/>
        <v>7</v>
      </c>
      <c r="H259" s="5">
        <f t="shared" si="38"/>
        <v>-17</v>
      </c>
      <c r="I259" s="5">
        <f t="shared" si="34"/>
        <v>27</v>
      </c>
    </row>
    <row r="260" spans="1:9" x14ac:dyDescent="0.35">
      <c r="A260" s="2" t="str">
        <f t="shared" si="33"/>
        <v>GY</v>
      </c>
      <c r="B260" s="74" t="s">
        <v>6</v>
      </c>
      <c r="C260" s="2" t="s">
        <v>24</v>
      </c>
      <c r="D260" s="2" t="s">
        <v>9</v>
      </c>
      <c r="E260" s="4">
        <f t="shared" si="35"/>
        <v>12</v>
      </c>
      <c r="F260" s="3">
        <f t="shared" si="36"/>
        <v>25</v>
      </c>
      <c r="G260" s="3">
        <f t="shared" si="37"/>
        <v>10</v>
      </c>
      <c r="H260" s="5">
        <f t="shared" si="38"/>
        <v>-15</v>
      </c>
      <c r="I260" s="5">
        <f t="shared" si="34"/>
        <v>27</v>
      </c>
    </row>
    <row r="261" spans="1:9" x14ac:dyDescent="0.35">
      <c r="A261" s="2" t="str">
        <f t="shared" si="33"/>
        <v>GZ</v>
      </c>
      <c r="B261" s="74" t="s">
        <v>6</v>
      </c>
      <c r="C261" s="2" t="s">
        <v>25</v>
      </c>
      <c r="D261" s="2" t="s">
        <v>3</v>
      </c>
      <c r="E261" s="4">
        <f t="shared" si="35"/>
        <v>5</v>
      </c>
      <c r="F261" s="3">
        <f t="shared" si="36"/>
        <v>26</v>
      </c>
      <c r="G261" s="3">
        <f t="shared" si="37"/>
        <v>4</v>
      </c>
      <c r="H261" s="5">
        <f t="shared" si="38"/>
        <v>-22</v>
      </c>
      <c r="I261" s="5">
        <f t="shared" si="34"/>
        <v>27</v>
      </c>
    </row>
    <row r="262" spans="1:9" x14ac:dyDescent="0.35"/>
  </sheetData>
  <sheetProtection sheet="1" objects="1" scenarios="1"/>
  <mergeCells count="1">
    <mergeCell ref="A1:I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6"/>
  <dimension ref="A1:J262"/>
  <sheetViews>
    <sheetView showGridLines="0" showRowColHeaders="0" workbookViewId="0">
      <selection sqref="A1:I1"/>
    </sheetView>
  </sheetViews>
  <sheetFormatPr defaultColWidth="0" defaultRowHeight="14.5" zeroHeight="1" x14ac:dyDescent="0.35"/>
  <cols>
    <col min="1" max="9" width="5.7265625" customWidth="1"/>
    <col min="10" max="10" width="9.1796875" customWidth="1"/>
    <col min="11" max="16384" width="9.1796875" hidden="1"/>
  </cols>
  <sheetData>
    <row r="1" spans="1:9" x14ac:dyDescent="0.35">
      <c r="A1" s="100" t="s">
        <v>31</v>
      </c>
      <c r="B1" s="100"/>
      <c r="C1" s="100"/>
      <c r="D1" s="100"/>
      <c r="E1" s="100"/>
      <c r="F1" s="100"/>
      <c r="G1" s="100"/>
      <c r="H1" s="100"/>
      <c r="I1" s="100"/>
    </row>
    <row r="2" spans="1:9" x14ac:dyDescent="0.35">
      <c r="A2" s="2" t="str">
        <f t="shared" ref="A2:A131" si="0">B2&amp;C2</f>
        <v>R1A</v>
      </c>
      <c r="B2" s="2" t="s">
        <v>32</v>
      </c>
      <c r="C2" s="2" t="s">
        <v>1</v>
      </c>
      <c r="D2" s="2" t="s">
        <v>20</v>
      </c>
      <c r="E2" s="4">
        <f t="shared" ref="E2:E65" si="1">H2+I2</f>
        <v>21</v>
      </c>
      <c r="F2" s="3">
        <f t="shared" ref="F2:G27" si="2">VLOOKUP(C2,nLet2Num,2,FALSE)</f>
        <v>1</v>
      </c>
      <c r="G2" s="3">
        <f t="shared" si="2"/>
        <v>21</v>
      </c>
      <c r="H2" s="5">
        <f t="shared" ref="H2:H65" si="3">G2-F2</f>
        <v>20</v>
      </c>
      <c r="I2" s="5">
        <f>IF(H2&lt;0,27,1)</f>
        <v>1</v>
      </c>
    </row>
    <row r="3" spans="1:9" x14ac:dyDescent="0.35">
      <c r="A3" s="2" t="str">
        <f t="shared" si="0"/>
        <v>R1B</v>
      </c>
      <c r="B3" s="2" t="s">
        <v>32</v>
      </c>
      <c r="C3" s="2" t="s">
        <v>0</v>
      </c>
      <c r="D3" s="2" t="s">
        <v>22</v>
      </c>
      <c r="E3" s="4">
        <f t="shared" si="1"/>
        <v>22</v>
      </c>
      <c r="F3" s="3">
        <f t="shared" si="2"/>
        <v>2</v>
      </c>
      <c r="G3" s="3">
        <f t="shared" si="2"/>
        <v>23</v>
      </c>
      <c r="H3" s="5">
        <f t="shared" si="3"/>
        <v>21</v>
      </c>
      <c r="I3" s="5">
        <f t="shared" ref="I3:I66" si="4">IF(H3&lt;0,27,1)</f>
        <v>1</v>
      </c>
    </row>
    <row r="4" spans="1:9" x14ac:dyDescent="0.35">
      <c r="A4" s="2" t="str">
        <f t="shared" si="0"/>
        <v>R1C</v>
      </c>
      <c r="B4" s="2" t="s">
        <v>32</v>
      </c>
      <c r="C4" s="2" t="s">
        <v>2</v>
      </c>
      <c r="D4" s="2" t="s">
        <v>24</v>
      </c>
      <c r="E4" s="4">
        <f t="shared" si="1"/>
        <v>23</v>
      </c>
      <c r="F4" s="3">
        <f t="shared" si="2"/>
        <v>3</v>
      </c>
      <c r="G4" s="3">
        <f t="shared" si="2"/>
        <v>25</v>
      </c>
      <c r="H4" s="5">
        <f t="shared" si="3"/>
        <v>22</v>
      </c>
      <c r="I4" s="5">
        <f t="shared" si="4"/>
        <v>1</v>
      </c>
    </row>
    <row r="5" spans="1:9" x14ac:dyDescent="0.35">
      <c r="A5" s="2" t="str">
        <f t="shared" si="0"/>
        <v>R1D</v>
      </c>
      <c r="B5" s="2" t="s">
        <v>32</v>
      </c>
      <c r="C5" s="2" t="s">
        <v>3</v>
      </c>
      <c r="D5" s="2" t="s">
        <v>6</v>
      </c>
      <c r="E5" s="4">
        <f t="shared" si="1"/>
        <v>4</v>
      </c>
      <c r="F5" s="3">
        <f t="shared" si="2"/>
        <v>4</v>
      </c>
      <c r="G5" s="3">
        <f t="shared" si="2"/>
        <v>7</v>
      </c>
      <c r="H5" s="5">
        <f t="shared" si="3"/>
        <v>3</v>
      </c>
      <c r="I5" s="5">
        <f t="shared" si="4"/>
        <v>1</v>
      </c>
    </row>
    <row r="6" spans="1:9" x14ac:dyDescent="0.35">
      <c r="A6" s="2" t="str">
        <f t="shared" si="0"/>
        <v>R1E</v>
      </c>
      <c r="B6" s="2" t="s">
        <v>32</v>
      </c>
      <c r="C6" s="2" t="s">
        <v>4</v>
      </c>
      <c r="D6" s="2" t="s">
        <v>1</v>
      </c>
      <c r="E6" s="4">
        <f t="shared" si="1"/>
        <v>23</v>
      </c>
      <c r="F6" s="3">
        <f t="shared" si="2"/>
        <v>5</v>
      </c>
      <c r="G6" s="3">
        <f t="shared" si="2"/>
        <v>1</v>
      </c>
      <c r="H6" s="5">
        <f t="shared" si="3"/>
        <v>-4</v>
      </c>
      <c r="I6" s="5">
        <f t="shared" si="4"/>
        <v>27</v>
      </c>
    </row>
    <row r="7" spans="1:9" x14ac:dyDescent="0.35">
      <c r="A7" s="2" t="str">
        <f t="shared" si="0"/>
        <v>R1F</v>
      </c>
      <c r="B7" s="2" t="s">
        <v>32</v>
      </c>
      <c r="C7" s="2" t="s">
        <v>5</v>
      </c>
      <c r="D7" s="2" t="s">
        <v>3</v>
      </c>
      <c r="E7" s="4">
        <f t="shared" si="1"/>
        <v>25</v>
      </c>
      <c r="F7" s="3">
        <f t="shared" si="2"/>
        <v>6</v>
      </c>
      <c r="G7" s="3">
        <f t="shared" si="2"/>
        <v>4</v>
      </c>
      <c r="H7" s="5">
        <f t="shared" si="3"/>
        <v>-2</v>
      </c>
      <c r="I7" s="5">
        <f t="shared" si="4"/>
        <v>27</v>
      </c>
    </row>
    <row r="8" spans="1:9" x14ac:dyDescent="0.35">
      <c r="A8" s="2" t="str">
        <f t="shared" si="0"/>
        <v>R1G</v>
      </c>
      <c r="B8" s="2" t="s">
        <v>32</v>
      </c>
      <c r="C8" s="2" t="s">
        <v>6</v>
      </c>
      <c r="D8" s="2" t="s">
        <v>5</v>
      </c>
      <c r="E8" s="4">
        <f t="shared" si="1"/>
        <v>26</v>
      </c>
      <c r="F8" s="3">
        <f t="shared" si="2"/>
        <v>7</v>
      </c>
      <c r="G8" s="3">
        <f t="shared" si="2"/>
        <v>6</v>
      </c>
      <c r="H8" s="5">
        <f t="shared" si="3"/>
        <v>-1</v>
      </c>
      <c r="I8" s="5">
        <f t="shared" si="4"/>
        <v>27</v>
      </c>
    </row>
    <row r="9" spans="1:9" x14ac:dyDescent="0.35">
      <c r="A9" s="2" t="str">
        <f t="shared" si="0"/>
        <v>R1H</v>
      </c>
      <c r="B9" s="2" t="s">
        <v>32</v>
      </c>
      <c r="C9" s="2" t="s">
        <v>7</v>
      </c>
      <c r="D9" s="2" t="s">
        <v>15</v>
      </c>
      <c r="E9" s="4">
        <f t="shared" si="1"/>
        <v>9</v>
      </c>
      <c r="F9" s="3">
        <f t="shared" si="2"/>
        <v>8</v>
      </c>
      <c r="G9" s="3">
        <f t="shared" si="2"/>
        <v>16</v>
      </c>
      <c r="H9" s="5">
        <f t="shared" si="3"/>
        <v>8</v>
      </c>
      <c r="I9" s="5">
        <f t="shared" si="4"/>
        <v>1</v>
      </c>
    </row>
    <row r="10" spans="1:9" x14ac:dyDescent="0.35">
      <c r="A10" s="2" t="str">
        <f t="shared" si="0"/>
        <v>R1I</v>
      </c>
      <c r="B10" s="2" t="s">
        <v>32</v>
      </c>
      <c r="C10" s="2" t="s">
        <v>8</v>
      </c>
      <c r="D10" s="2" t="s">
        <v>21</v>
      </c>
      <c r="E10" s="4">
        <f t="shared" si="1"/>
        <v>14</v>
      </c>
      <c r="F10" s="3">
        <f t="shared" si="2"/>
        <v>9</v>
      </c>
      <c r="G10" s="3">
        <f t="shared" si="2"/>
        <v>22</v>
      </c>
      <c r="H10" s="5">
        <f t="shared" si="3"/>
        <v>13</v>
      </c>
      <c r="I10" s="5">
        <f t="shared" si="4"/>
        <v>1</v>
      </c>
    </row>
    <row r="11" spans="1:9" x14ac:dyDescent="0.35">
      <c r="A11" s="2" t="str">
        <f t="shared" si="0"/>
        <v>R1J</v>
      </c>
      <c r="B11" s="2" t="s">
        <v>32</v>
      </c>
      <c r="C11" s="2" t="s">
        <v>9</v>
      </c>
      <c r="D11" s="2" t="s">
        <v>25</v>
      </c>
      <c r="E11" s="4">
        <f t="shared" si="1"/>
        <v>17</v>
      </c>
      <c r="F11" s="3">
        <f t="shared" si="2"/>
        <v>10</v>
      </c>
      <c r="G11" s="3">
        <f t="shared" si="2"/>
        <v>26</v>
      </c>
      <c r="H11" s="5">
        <f t="shared" si="3"/>
        <v>16</v>
      </c>
      <c r="I11" s="5">
        <f t="shared" si="4"/>
        <v>1</v>
      </c>
    </row>
    <row r="12" spans="1:9" x14ac:dyDescent="0.35">
      <c r="A12" s="2" t="str">
        <f t="shared" si="0"/>
        <v>R1K</v>
      </c>
      <c r="B12" s="2" t="s">
        <v>32</v>
      </c>
      <c r="C12" s="2" t="s">
        <v>10</v>
      </c>
      <c r="D12" s="2" t="s">
        <v>0</v>
      </c>
      <c r="E12" s="4">
        <f t="shared" si="1"/>
        <v>18</v>
      </c>
      <c r="F12" s="3">
        <f t="shared" si="2"/>
        <v>11</v>
      </c>
      <c r="G12" s="3">
        <f t="shared" si="2"/>
        <v>2</v>
      </c>
      <c r="H12" s="5">
        <f t="shared" si="3"/>
        <v>-9</v>
      </c>
      <c r="I12" s="5">
        <f t="shared" si="4"/>
        <v>27</v>
      </c>
    </row>
    <row r="13" spans="1:9" x14ac:dyDescent="0.35">
      <c r="A13" s="2" t="str">
        <f t="shared" si="0"/>
        <v>R1L</v>
      </c>
      <c r="B13" s="2" t="s">
        <v>32</v>
      </c>
      <c r="C13" s="2" t="s">
        <v>11</v>
      </c>
      <c r="D13" s="2" t="s">
        <v>4</v>
      </c>
      <c r="E13" s="4">
        <f t="shared" si="1"/>
        <v>20</v>
      </c>
      <c r="F13" s="3">
        <f t="shared" si="2"/>
        <v>12</v>
      </c>
      <c r="G13" s="3">
        <f t="shared" si="2"/>
        <v>5</v>
      </c>
      <c r="H13" s="5">
        <f t="shared" si="3"/>
        <v>-7</v>
      </c>
      <c r="I13" s="5">
        <f t="shared" si="4"/>
        <v>27</v>
      </c>
    </row>
    <row r="14" spans="1:9" x14ac:dyDescent="0.35">
      <c r="A14" s="2" t="str">
        <f t="shared" si="0"/>
        <v>R1M</v>
      </c>
      <c r="B14" s="2" t="s">
        <v>32</v>
      </c>
      <c r="C14" s="2" t="s">
        <v>12</v>
      </c>
      <c r="D14" s="2" t="s">
        <v>2</v>
      </c>
      <c r="E14" s="4">
        <f t="shared" si="1"/>
        <v>17</v>
      </c>
      <c r="F14" s="3">
        <f t="shared" si="2"/>
        <v>13</v>
      </c>
      <c r="G14" s="3">
        <f t="shared" si="2"/>
        <v>3</v>
      </c>
      <c r="H14" s="5">
        <f t="shared" si="3"/>
        <v>-10</v>
      </c>
      <c r="I14" s="5">
        <f t="shared" si="4"/>
        <v>27</v>
      </c>
    </row>
    <row r="15" spans="1:9" x14ac:dyDescent="0.35">
      <c r="A15" s="2" t="str">
        <f t="shared" si="0"/>
        <v>R1N</v>
      </c>
      <c r="B15" s="2" t="s">
        <v>32</v>
      </c>
      <c r="C15" s="2" t="s">
        <v>13</v>
      </c>
      <c r="D15" s="2" t="s">
        <v>10</v>
      </c>
      <c r="E15" s="4">
        <f t="shared" si="1"/>
        <v>24</v>
      </c>
      <c r="F15" s="3">
        <f t="shared" si="2"/>
        <v>14</v>
      </c>
      <c r="G15" s="3">
        <f t="shared" si="2"/>
        <v>11</v>
      </c>
      <c r="H15" s="5">
        <f t="shared" si="3"/>
        <v>-3</v>
      </c>
      <c r="I15" s="5">
        <f t="shared" si="4"/>
        <v>27</v>
      </c>
    </row>
    <row r="16" spans="1:9" x14ac:dyDescent="0.35">
      <c r="A16" s="2" t="str">
        <f t="shared" si="0"/>
        <v>R1O</v>
      </c>
      <c r="B16" s="2" t="s">
        <v>32</v>
      </c>
      <c r="C16" s="2" t="s">
        <v>14</v>
      </c>
      <c r="D16" s="2" t="s">
        <v>12</v>
      </c>
      <c r="E16" s="4">
        <f t="shared" si="1"/>
        <v>25</v>
      </c>
      <c r="F16" s="3">
        <f t="shared" si="2"/>
        <v>15</v>
      </c>
      <c r="G16" s="3">
        <f t="shared" si="2"/>
        <v>13</v>
      </c>
      <c r="H16" s="5">
        <f t="shared" si="3"/>
        <v>-2</v>
      </c>
      <c r="I16" s="5">
        <f t="shared" si="4"/>
        <v>27</v>
      </c>
    </row>
    <row r="17" spans="1:9" x14ac:dyDescent="0.35">
      <c r="A17" s="2" t="str">
        <f t="shared" si="0"/>
        <v>R1P</v>
      </c>
      <c r="B17" s="2" t="s">
        <v>32</v>
      </c>
      <c r="C17" s="2" t="s">
        <v>15</v>
      </c>
      <c r="D17" s="2" t="s">
        <v>19</v>
      </c>
      <c r="E17" s="4">
        <f t="shared" si="1"/>
        <v>5</v>
      </c>
      <c r="F17" s="3">
        <f t="shared" si="2"/>
        <v>16</v>
      </c>
      <c r="G17" s="3">
        <f t="shared" si="2"/>
        <v>20</v>
      </c>
      <c r="H17" s="5">
        <f t="shared" si="3"/>
        <v>4</v>
      </c>
      <c r="I17" s="5">
        <f t="shared" si="4"/>
        <v>1</v>
      </c>
    </row>
    <row r="18" spans="1:9" x14ac:dyDescent="0.35">
      <c r="A18" s="2" t="str">
        <f t="shared" si="0"/>
        <v>R1Q</v>
      </c>
      <c r="B18" s="2" t="s">
        <v>32</v>
      </c>
      <c r="C18" s="2" t="s">
        <v>16</v>
      </c>
      <c r="D18" s="2" t="s">
        <v>7</v>
      </c>
      <c r="E18" s="4">
        <f t="shared" si="1"/>
        <v>18</v>
      </c>
      <c r="F18" s="3">
        <f t="shared" si="2"/>
        <v>17</v>
      </c>
      <c r="G18" s="3">
        <f t="shared" si="2"/>
        <v>8</v>
      </c>
      <c r="H18" s="5">
        <f t="shared" si="3"/>
        <v>-9</v>
      </c>
      <c r="I18" s="5">
        <f t="shared" si="4"/>
        <v>27</v>
      </c>
    </row>
    <row r="19" spans="1:9" x14ac:dyDescent="0.35">
      <c r="A19" s="2" t="str">
        <f t="shared" si="0"/>
        <v>R1R</v>
      </c>
      <c r="B19" s="2" t="s">
        <v>32</v>
      </c>
      <c r="C19" s="2" t="s">
        <v>17</v>
      </c>
      <c r="D19" s="2" t="s">
        <v>23</v>
      </c>
      <c r="E19" s="4">
        <f t="shared" si="1"/>
        <v>7</v>
      </c>
      <c r="F19" s="3">
        <f t="shared" si="2"/>
        <v>18</v>
      </c>
      <c r="G19" s="3">
        <f t="shared" si="2"/>
        <v>24</v>
      </c>
      <c r="H19" s="5">
        <f t="shared" si="3"/>
        <v>6</v>
      </c>
      <c r="I19" s="5">
        <f t="shared" si="4"/>
        <v>1</v>
      </c>
    </row>
    <row r="20" spans="1:9" x14ac:dyDescent="0.35">
      <c r="A20" s="2" t="str">
        <f t="shared" si="0"/>
        <v>R1S</v>
      </c>
      <c r="B20" s="2" t="s">
        <v>32</v>
      </c>
      <c r="C20" s="2" t="s">
        <v>18</v>
      </c>
      <c r="D20" s="2" t="s">
        <v>18</v>
      </c>
      <c r="E20" s="4">
        <f t="shared" si="1"/>
        <v>1</v>
      </c>
      <c r="F20" s="3">
        <f t="shared" si="2"/>
        <v>19</v>
      </c>
      <c r="G20" s="3">
        <f t="shared" si="2"/>
        <v>19</v>
      </c>
      <c r="H20" s="5">
        <f t="shared" si="3"/>
        <v>0</v>
      </c>
      <c r="I20" s="5">
        <f t="shared" si="4"/>
        <v>1</v>
      </c>
    </row>
    <row r="21" spans="1:9" x14ac:dyDescent="0.35">
      <c r="A21" s="2" t="str">
        <f t="shared" si="0"/>
        <v>R1T</v>
      </c>
      <c r="B21" s="2" t="s">
        <v>32</v>
      </c>
      <c r="C21" s="2" t="s">
        <v>19</v>
      </c>
      <c r="D21" s="2" t="s">
        <v>11</v>
      </c>
      <c r="E21" s="4">
        <f t="shared" si="1"/>
        <v>19</v>
      </c>
      <c r="F21" s="3">
        <f t="shared" si="2"/>
        <v>20</v>
      </c>
      <c r="G21" s="3">
        <f t="shared" si="2"/>
        <v>12</v>
      </c>
      <c r="H21" s="5">
        <f t="shared" si="3"/>
        <v>-8</v>
      </c>
      <c r="I21" s="5">
        <f t="shared" si="4"/>
        <v>27</v>
      </c>
    </row>
    <row r="22" spans="1:9" x14ac:dyDescent="0.35">
      <c r="A22" s="2" t="str">
        <f t="shared" si="0"/>
        <v>R1U</v>
      </c>
      <c r="B22" s="2" t="s">
        <v>32</v>
      </c>
      <c r="C22" s="2" t="s">
        <v>20</v>
      </c>
      <c r="D22" s="2" t="s">
        <v>17</v>
      </c>
      <c r="E22" s="4">
        <f t="shared" si="1"/>
        <v>24</v>
      </c>
      <c r="F22" s="3">
        <f t="shared" si="2"/>
        <v>21</v>
      </c>
      <c r="G22" s="3">
        <f t="shared" si="2"/>
        <v>18</v>
      </c>
      <c r="H22" s="5">
        <f t="shared" si="3"/>
        <v>-3</v>
      </c>
      <c r="I22" s="5">
        <f t="shared" si="4"/>
        <v>27</v>
      </c>
    </row>
    <row r="23" spans="1:9" x14ac:dyDescent="0.35">
      <c r="A23" s="2" t="str">
        <f t="shared" si="0"/>
        <v>R1V</v>
      </c>
      <c r="B23" s="2" t="s">
        <v>32</v>
      </c>
      <c r="C23" s="2" t="s">
        <v>21</v>
      </c>
      <c r="D23" s="2" t="s">
        <v>8</v>
      </c>
      <c r="E23" s="4">
        <f t="shared" si="1"/>
        <v>14</v>
      </c>
      <c r="F23" s="3">
        <f t="shared" si="2"/>
        <v>22</v>
      </c>
      <c r="G23" s="3">
        <f t="shared" si="2"/>
        <v>9</v>
      </c>
      <c r="H23" s="5">
        <f t="shared" si="3"/>
        <v>-13</v>
      </c>
      <c r="I23" s="5">
        <f t="shared" si="4"/>
        <v>27</v>
      </c>
    </row>
    <row r="24" spans="1:9" x14ac:dyDescent="0.35">
      <c r="A24" s="2" t="str">
        <f t="shared" si="0"/>
        <v>R1W</v>
      </c>
      <c r="B24" s="2" t="s">
        <v>32</v>
      </c>
      <c r="C24" s="2" t="s">
        <v>22</v>
      </c>
      <c r="D24" s="2" t="s">
        <v>13</v>
      </c>
      <c r="E24" s="4">
        <f t="shared" si="1"/>
        <v>18</v>
      </c>
      <c r="F24" s="3">
        <f t="shared" si="2"/>
        <v>23</v>
      </c>
      <c r="G24" s="3">
        <f t="shared" si="2"/>
        <v>14</v>
      </c>
      <c r="H24" s="5">
        <f t="shared" si="3"/>
        <v>-9</v>
      </c>
      <c r="I24" s="5">
        <f t="shared" si="4"/>
        <v>27</v>
      </c>
    </row>
    <row r="25" spans="1:9" x14ac:dyDescent="0.35">
      <c r="A25" s="2" t="str">
        <f t="shared" si="0"/>
        <v>R1X</v>
      </c>
      <c r="B25" s="2" t="s">
        <v>32</v>
      </c>
      <c r="C25" s="2" t="s">
        <v>23</v>
      </c>
      <c r="D25" s="2" t="s">
        <v>16</v>
      </c>
      <c r="E25" s="4">
        <f t="shared" si="1"/>
        <v>20</v>
      </c>
      <c r="F25" s="3">
        <f t="shared" si="2"/>
        <v>24</v>
      </c>
      <c r="G25" s="3">
        <f t="shared" si="2"/>
        <v>17</v>
      </c>
      <c r="H25" s="5">
        <f t="shared" si="3"/>
        <v>-7</v>
      </c>
      <c r="I25" s="5">
        <f t="shared" si="4"/>
        <v>27</v>
      </c>
    </row>
    <row r="26" spans="1:9" x14ac:dyDescent="0.35">
      <c r="A26" s="2" t="str">
        <f t="shared" si="0"/>
        <v>R1Y</v>
      </c>
      <c r="B26" s="2" t="s">
        <v>32</v>
      </c>
      <c r="C26" s="2" t="s">
        <v>24</v>
      </c>
      <c r="D26" s="2" t="s">
        <v>14</v>
      </c>
      <c r="E26" s="4">
        <f t="shared" si="1"/>
        <v>17</v>
      </c>
      <c r="F26" s="3">
        <f t="shared" si="2"/>
        <v>25</v>
      </c>
      <c r="G26" s="3">
        <f t="shared" si="2"/>
        <v>15</v>
      </c>
      <c r="H26" s="5">
        <f t="shared" si="3"/>
        <v>-10</v>
      </c>
      <c r="I26" s="5">
        <f t="shared" si="4"/>
        <v>27</v>
      </c>
    </row>
    <row r="27" spans="1:9" x14ac:dyDescent="0.35">
      <c r="A27" s="2" t="str">
        <f t="shared" si="0"/>
        <v>R1Z</v>
      </c>
      <c r="B27" s="2" t="s">
        <v>32</v>
      </c>
      <c r="C27" s="2" t="s">
        <v>25</v>
      </c>
      <c r="D27" s="2" t="s">
        <v>9</v>
      </c>
      <c r="E27" s="4">
        <f t="shared" si="1"/>
        <v>11</v>
      </c>
      <c r="F27" s="3">
        <f t="shared" si="2"/>
        <v>26</v>
      </c>
      <c r="G27" s="3">
        <f t="shared" si="2"/>
        <v>10</v>
      </c>
      <c r="H27" s="5">
        <f t="shared" si="3"/>
        <v>-16</v>
      </c>
      <c r="I27" s="5">
        <f t="shared" si="4"/>
        <v>27</v>
      </c>
    </row>
    <row r="28" spans="1:9" x14ac:dyDescent="0.35">
      <c r="A28" s="2" t="str">
        <f t="shared" si="0"/>
        <v>R2A</v>
      </c>
      <c r="B28" s="2" t="s">
        <v>33</v>
      </c>
      <c r="C28" s="2" t="s">
        <v>1</v>
      </c>
      <c r="D28" s="2" t="s">
        <v>1</v>
      </c>
      <c r="E28" s="4">
        <f t="shared" si="1"/>
        <v>1</v>
      </c>
      <c r="F28" s="3">
        <f t="shared" ref="F28:G53" si="5">VLOOKUP(C28,nLet2Num,2,FALSE)</f>
        <v>1</v>
      </c>
      <c r="G28" s="3">
        <f t="shared" si="5"/>
        <v>1</v>
      </c>
      <c r="H28" s="5">
        <f t="shared" si="3"/>
        <v>0</v>
      </c>
      <c r="I28" s="5">
        <f t="shared" si="4"/>
        <v>1</v>
      </c>
    </row>
    <row r="29" spans="1:9" x14ac:dyDescent="0.35">
      <c r="A29" s="2" t="str">
        <f t="shared" si="0"/>
        <v>R2B</v>
      </c>
      <c r="B29" s="2" t="s">
        <v>33</v>
      </c>
      <c r="C29" s="2" t="s">
        <v>0</v>
      </c>
      <c r="D29" s="2" t="s">
        <v>9</v>
      </c>
      <c r="E29" s="4">
        <f t="shared" si="1"/>
        <v>9</v>
      </c>
      <c r="F29" s="3">
        <f t="shared" si="5"/>
        <v>2</v>
      </c>
      <c r="G29" s="3">
        <f t="shared" si="5"/>
        <v>10</v>
      </c>
      <c r="H29" s="5">
        <f t="shared" si="3"/>
        <v>8</v>
      </c>
      <c r="I29" s="5">
        <f t="shared" si="4"/>
        <v>1</v>
      </c>
    </row>
    <row r="30" spans="1:9" x14ac:dyDescent="0.35">
      <c r="A30" s="2" t="str">
        <f t="shared" si="0"/>
        <v>R2C</v>
      </c>
      <c r="B30" s="2" t="s">
        <v>33</v>
      </c>
      <c r="C30" s="2" t="s">
        <v>2</v>
      </c>
      <c r="D30" s="2" t="s">
        <v>15</v>
      </c>
      <c r="E30" s="4">
        <f t="shared" si="1"/>
        <v>14</v>
      </c>
      <c r="F30" s="3">
        <f t="shared" si="5"/>
        <v>3</v>
      </c>
      <c r="G30" s="3">
        <f t="shared" si="5"/>
        <v>16</v>
      </c>
      <c r="H30" s="5">
        <f t="shared" si="3"/>
        <v>13</v>
      </c>
      <c r="I30" s="5">
        <f t="shared" si="4"/>
        <v>1</v>
      </c>
    </row>
    <row r="31" spans="1:9" x14ac:dyDescent="0.35">
      <c r="A31" s="2" t="str">
        <f t="shared" si="0"/>
        <v>R2D</v>
      </c>
      <c r="B31" s="2" t="s">
        <v>33</v>
      </c>
      <c r="C31" s="2" t="s">
        <v>3</v>
      </c>
      <c r="D31" s="2" t="s">
        <v>2</v>
      </c>
      <c r="E31" s="4">
        <f t="shared" si="1"/>
        <v>26</v>
      </c>
      <c r="F31" s="3">
        <f t="shared" si="5"/>
        <v>4</v>
      </c>
      <c r="G31" s="3">
        <f t="shared" si="5"/>
        <v>3</v>
      </c>
      <c r="H31" s="5">
        <f t="shared" si="3"/>
        <v>-1</v>
      </c>
      <c r="I31" s="5">
        <f t="shared" si="4"/>
        <v>27</v>
      </c>
    </row>
    <row r="32" spans="1:9" x14ac:dyDescent="0.35">
      <c r="A32" s="2" t="str">
        <f t="shared" si="0"/>
        <v>R2E</v>
      </c>
      <c r="B32" s="2" t="s">
        <v>33</v>
      </c>
      <c r="C32" s="2" t="s">
        <v>4</v>
      </c>
      <c r="D32" s="2" t="s">
        <v>25</v>
      </c>
      <c r="E32" s="4">
        <f t="shared" si="1"/>
        <v>22</v>
      </c>
      <c r="F32" s="3">
        <f t="shared" si="5"/>
        <v>5</v>
      </c>
      <c r="G32" s="3">
        <f t="shared" si="5"/>
        <v>26</v>
      </c>
      <c r="H32" s="5">
        <f t="shared" si="3"/>
        <v>21</v>
      </c>
      <c r="I32" s="5">
        <f t="shared" si="4"/>
        <v>1</v>
      </c>
    </row>
    <row r="33" spans="1:9" x14ac:dyDescent="0.35">
      <c r="A33" s="2" t="str">
        <f t="shared" si="0"/>
        <v>R2F</v>
      </c>
      <c r="B33" s="2" t="s">
        <v>33</v>
      </c>
      <c r="C33" s="2" t="s">
        <v>5</v>
      </c>
      <c r="D33" s="2" t="s">
        <v>22</v>
      </c>
      <c r="E33" s="4">
        <f t="shared" si="1"/>
        <v>18</v>
      </c>
      <c r="F33" s="3">
        <f t="shared" si="5"/>
        <v>6</v>
      </c>
      <c r="G33" s="3">
        <f t="shared" si="5"/>
        <v>23</v>
      </c>
      <c r="H33" s="5">
        <f t="shared" si="3"/>
        <v>17</v>
      </c>
      <c r="I33" s="5">
        <f t="shared" si="4"/>
        <v>1</v>
      </c>
    </row>
    <row r="34" spans="1:9" x14ac:dyDescent="0.35">
      <c r="A34" s="2" t="str">
        <f t="shared" si="0"/>
        <v>R2G</v>
      </c>
      <c r="B34" s="2" t="s">
        <v>33</v>
      </c>
      <c r="C34" s="2" t="s">
        <v>6</v>
      </c>
      <c r="D34" s="2" t="s">
        <v>17</v>
      </c>
      <c r="E34" s="4">
        <f t="shared" si="1"/>
        <v>12</v>
      </c>
      <c r="F34" s="3">
        <f t="shared" si="5"/>
        <v>7</v>
      </c>
      <c r="G34" s="3">
        <f t="shared" si="5"/>
        <v>18</v>
      </c>
      <c r="H34" s="5">
        <f t="shared" si="3"/>
        <v>11</v>
      </c>
      <c r="I34" s="5">
        <f t="shared" si="4"/>
        <v>1</v>
      </c>
    </row>
    <row r="35" spans="1:9" x14ac:dyDescent="0.35">
      <c r="A35" s="2" t="str">
        <f t="shared" si="0"/>
        <v>R2H</v>
      </c>
      <c r="B35" s="2" t="s">
        <v>33</v>
      </c>
      <c r="C35" s="2" t="s">
        <v>7</v>
      </c>
      <c r="D35" s="2" t="s">
        <v>11</v>
      </c>
      <c r="E35" s="4">
        <f t="shared" si="1"/>
        <v>5</v>
      </c>
      <c r="F35" s="3">
        <f t="shared" si="5"/>
        <v>8</v>
      </c>
      <c r="G35" s="3">
        <f t="shared" si="5"/>
        <v>12</v>
      </c>
      <c r="H35" s="5">
        <f t="shared" si="3"/>
        <v>4</v>
      </c>
      <c r="I35" s="5">
        <f t="shared" si="4"/>
        <v>1</v>
      </c>
    </row>
    <row r="36" spans="1:9" x14ac:dyDescent="0.35">
      <c r="A36" s="2" t="str">
        <f t="shared" si="0"/>
        <v>R2I</v>
      </c>
      <c r="B36" s="2" t="s">
        <v>33</v>
      </c>
      <c r="C36" s="2" t="s">
        <v>8</v>
      </c>
      <c r="D36" s="2" t="s">
        <v>5</v>
      </c>
      <c r="E36" s="4">
        <f t="shared" si="1"/>
        <v>24</v>
      </c>
      <c r="F36" s="3">
        <f t="shared" si="5"/>
        <v>9</v>
      </c>
      <c r="G36" s="3">
        <f t="shared" si="5"/>
        <v>6</v>
      </c>
      <c r="H36" s="5">
        <f t="shared" si="3"/>
        <v>-3</v>
      </c>
      <c r="I36" s="5">
        <f t="shared" si="4"/>
        <v>27</v>
      </c>
    </row>
    <row r="37" spans="1:9" x14ac:dyDescent="0.35">
      <c r="A37" s="2" t="str">
        <f t="shared" si="0"/>
        <v>R2J</v>
      </c>
      <c r="B37" s="2" t="s">
        <v>33</v>
      </c>
      <c r="C37" s="2" t="s">
        <v>9</v>
      </c>
      <c r="D37" s="2" t="s">
        <v>0</v>
      </c>
      <c r="E37" s="4">
        <f t="shared" si="1"/>
        <v>19</v>
      </c>
      <c r="F37" s="3">
        <f t="shared" si="5"/>
        <v>10</v>
      </c>
      <c r="G37" s="3">
        <f t="shared" si="5"/>
        <v>2</v>
      </c>
      <c r="H37" s="5">
        <f t="shared" si="3"/>
        <v>-8</v>
      </c>
      <c r="I37" s="5">
        <f t="shared" si="4"/>
        <v>27</v>
      </c>
    </row>
    <row r="38" spans="1:9" x14ac:dyDescent="0.35">
      <c r="A38" s="2" t="str">
        <f t="shared" si="0"/>
        <v>R2K</v>
      </c>
      <c r="B38" s="2" t="s">
        <v>33</v>
      </c>
      <c r="C38" s="2" t="s">
        <v>10</v>
      </c>
      <c r="D38" s="2" t="s">
        <v>3</v>
      </c>
      <c r="E38" s="4">
        <f t="shared" si="1"/>
        <v>20</v>
      </c>
      <c r="F38" s="3">
        <f t="shared" si="5"/>
        <v>11</v>
      </c>
      <c r="G38" s="3">
        <f t="shared" si="5"/>
        <v>4</v>
      </c>
      <c r="H38" s="5">
        <f t="shared" si="3"/>
        <v>-7</v>
      </c>
      <c r="I38" s="5">
        <f t="shared" si="4"/>
        <v>27</v>
      </c>
    </row>
    <row r="39" spans="1:9" x14ac:dyDescent="0.35">
      <c r="A39" s="2" t="str">
        <f t="shared" si="0"/>
        <v>R2L</v>
      </c>
      <c r="B39" s="2" t="s">
        <v>33</v>
      </c>
      <c r="C39" s="2" t="s">
        <v>11</v>
      </c>
      <c r="D39" s="2" t="s">
        <v>10</v>
      </c>
      <c r="E39" s="4">
        <f t="shared" si="1"/>
        <v>26</v>
      </c>
      <c r="F39" s="3">
        <f t="shared" si="5"/>
        <v>12</v>
      </c>
      <c r="G39" s="3">
        <f t="shared" si="5"/>
        <v>11</v>
      </c>
      <c r="H39" s="5">
        <f t="shared" si="3"/>
        <v>-1</v>
      </c>
      <c r="I39" s="5">
        <f t="shared" si="4"/>
        <v>27</v>
      </c>
    </row>
    <row r="40" spans="1:9" x14ac:dyDescent="0.35">
      <c r="A40" s="2" t="str">
        <f t="shared" si="0"/>
        <v>R2M</v>
      </c>
      <c r="B40" s="2" t="s">
        <v>33</v>
      </c>
      <c r="C40" s="2" t="s">
        <v>12</v>
      </c>
      <c r="D40" s="2" t="s">
        <v>14</v>
      </c>
      <c r="E40" s="4">
        <f t="shared" si="1"/>
        <v>3</v>
      </c>
      <c r="F40" s="3">
        <f t="shared" si="5"/>
        <v>13</v>
      </c>
      <c r="G40" s="3">
        <f t="shared" si="5"/>
        <v>15</v>
      </c>
      <c r="H40" s="5">
        <f t="shared" si="3"/>
        <v>2</v>
      </c>
      <c r="I40" s="5">
        <f t="shared" si="4"/>
        <v>1</v>
      </c>
    </row>
    <row r="41" spans="1:9" x14ac:dyDescent="0.35">
      <c r="A41" s="2" t="str">
        <f t="shared" si="0"/>
        <v>R2N</v>
      </c>
      <c r="B41" s="2" t="s">
        <v>33</v>
      </c>
      <c r="C41" s="2" t="s">
        <v>13</v>
      </c>
      <c r="D41" s="2" t="s">
        <v>19</v>
      </c>
      <c r="E41" s="4">
        <f t="shared" si="1"/>
        <v>7</v>
      </c>
      <c r="F41" s="3">
        <f t="shared" si="5"/>
        <v>14</v>
      </c>
      <c r="G41" s="3">
        <f t="shared" si="5"/>
        <v>20</v>
      </c>
      <c r="H41" s="5">
        <f t="shared" si="3"/>
        <v>6</v>
      </c>
      <c r="I41" s="5">
        <f t="shared" si="4"/>
        <v>1</v>
      </c>
    </row>
    <row r="42" spans="1:9" x14ac:dyDescent="0.35">
      <c r="A42" s="2" t="str">
        <f t="shared" si="0"/>
        <v>R2O</v>
      </c>
      <c r="B42" s="2" t="s">
        <v>33</v>
      </c>
      <c r="C42" s="2" t="s">
        <v>14</v>
      </c>
      <c r="D42" s="2" t="s">
        <v>24</v>
      </c>
      <c r="E42" s="4">
        <f t="shared" si="1"/>
        <v>11</v>
      </c>
      <c r="F42" s="3">
        <f t="shared" si="5"/>
        <v>15</v>
      </c>
      <c r="G42" s="3">
        <f t="shared" si="5"/>
        <v>25</v>
      </c>
      <c r="H42" s="5">
        <f t="shared" si="3"/>
        <v>10</v>
      </c>
      <c r="I42" s="5">
        <f t="shared" si="4"/>
        <v>1</v>
      </c>
    </row>
    <row r="43" spans="1:9" x14ac:dyDescent="0.35">
      <c r="A43" s="2" t="str">
        <f t="shared" si="0"/>
        <v>R2P</v>
      </c>
      <c r="B43" s="2" t="s">
        <v>33</v>
      </c>
      <c r="C43" s="2" t="s">
        <v>15</v>
      </c>
      <c r="D43" s="2" t="s">
        <v>20</v>
      </c>
      <c r="E43" s="4">
        <f t="shared" si="1"/>
        <v>6</v>
      </c>
      <c r="F43" s="3">
        <f t="shared" si="5"/>
        <v>16</v>
      </c>
      <c r="G43" s="3">
        <f t="shared" si="5"/>
        <v>21</v>
      </c>
      <c r="H43" s="5">
        <f t="shared" si="3"/>
        <v>5</v>
      </c>
      <c r="I43" s="5">
        <f t="shared" si="4"/>
        <v>1</v>
      </c>
    </row>
    <row r="44" spans="1:9" x14ac:dyDescent="0.35">
      <c r="A44" s="2" t="str">
        <f t="shared" si="0"/>
        <v>R2Q</v>
      </c>
      <c r="B44" s="6" t="s">
        <v>33</v>
      </c>
      <c r="C44" s="2" t="s">
        <v>16</v>
      </c>
      <c r="D44" s="2" t="s">
        <v>16</v>
      </c>
      <c r="E44" s="4">
        <f t="shared" si="1"/>
        <v>1</v>
      </c>
      <c r="F44" s="3">
        <f t="shared" si="5"/>
        <v>17</v>
      </c>
      <c r="G44" s="3">
        <f t="shared" si="5"/>
        <v>17</v>
      </c>
      <c r="H44" s="5">
        <f t="shared" si="3"/>
        <v>0</v>
      </c>
      <c r="I44" s="5">
        <f t="shared" si="4"/>
        <v>1</v>
      </c>
    </row>
    <row r="45" spans="1:9" x14ac:dyDescent="0.35">
      <c r="A45" s="2" t="str">
        <f t="shared" si="0"/>
        <v>R2R</v>
      </c>
      <c r="B45" s="2" t="s">
        <v>33</v>
      </c>
      <c r="C45" s="2" t="s">
        <v>17</v>
      </c>
      <c r="D45" s="2" t="s">
        <v>6</v>
      </c>
      <c r="E45" s="4">
        <f t="shared" si="1"/>
        <v>16</v>
      </c>
      <c r="F45" s="3">
        <f t="shared" si="5"/>
        <v>18</v>
      </c>
      <c r="G45" s="3">
        <f t="shared" si="5"/>
        <v>7</v>
      </c>
      <c r="H45" s="5">
        <f t="shared" si="3"/>
        <v>-11</v>
      </c>
      <c r="I45" s="5">
        <f t="shared" si="4"/>
        <v>27</v>
      </c>
    </row>
    <row r="46" spans="1:9" x14ac:dyDescent="0.35">
      <c r="A46" s="2" t="str">
        <f t="shared" si="0"/>
        <v>R2S</v>
      </c>
      <c r="B46" s="2" t="s">
        <v>33</v>
      </c>
      <c r="C46" s="2" t="s">
        <v>18</v>
      </c>
      <c r="D46" s="2" t="s">
        <v>4</v>
      </c>
      <c r="E46" s="4">
        <f t="shared" si="1"/>
        <v>13</v>
      </c>
      <c r="F46" s="3">
        <f t="shared" si="5"/>
        <v>19</v>
      </c>
      <c r="G46" s="3">
        <f t="shared" si="5"/>
        <v>5</v>
      </c>
      <c r="H46" s="5">
        <f t="shared" si="3"/>
        <v>-14</v>
      </c>
      <c r="I46" s="5">
        <f t="shared" si="4"/>
        <v>27</v>
      </c>
    </row>
    <row r="47" spans="1:9" x14ac:dyDescent="0.35">
      <c r="A47" s="2" t="str">
        <f t="shared" si="0"/>
        <v>R2T</v>
      </c>
      <c r="B47" s="2" t="s">
        <v>33</v>
      </c>
      <c r="C47" s="2" t="s">
        <v>19</v>
      </c>
      <c r="D47" s="2" t="s">
        <v>13</v>
      </c>
      <c r="E47" s="4">
        <f t="shared" si="1"/>
        <v>21</v>
      </c>
      <c r="F47" s="3">
        <f t="shared" si="5"/>
        <v>20</v>
      </c>
      <c r="G47" s="3">
        <f t="shared" si="5"/>
        <v>14</v>
      </c>
      <c r="H47" s="5">
        <f t="shared" si="3"/>
        <v>-6</v>
      </c>
      <c r="I47" s="5">
        <f t="shared" si="4"/>
        <v>27</v>
      </c>
    </row>
    <row r="48" spans="1:9" x14ac:dyDescent="0.35">
      <c r="A48" s="2" t="str">
        <f t="shared" si="0"/>
        <v>R2U</v>
      </c>
      <c r="B48" s="2" t="s">
        <v>33</v>
      </c>
      <c r="C48" s="2" t="s">
        <v>20</v>
      </c>
      <c r="D48" s="2" t="s">
        <v>7</v>
      </c>
      <c r="E48" s="4">
        <f t="shared" si="1"/>
        <v>14</v>
      </c>
      <c r="F48" s="3">
        <f t="shared" si="5"/>
        <v>21</v>
      </c>
      <c r="G48" s="3">
        <f t="shared" si="5"/>
        <v>8</v>
      </c>
      <c r="H48" s="5">
        <f t="shared" si="3"/>
        <v>-13</v>
      </c>
      <c r="I48" s="5">
        <f t="shared" si="4"/>
        <v>27</v>
      </c>
    </row>
    <row r="49" spans="1:9" x14ac:dyDescent="0.35">
      <c r="A49" s="2" t="str">
        <f t="shared" si="0"/>
        <v>R2V</v>
      </c>
      <c r="B49" s="2" t="s">
        <v>33</v>
      </c>
      <c r="C49" s="2" t="s">
        <v>21</v>
      </c>
      <c r="D49" s="2" t="s">
        <v>23</v>
      </c>
      <c r="E49" s="4">
        <f t="shared" si="1"/>
        <v>3</v>
      </c>
      <c r="F49" s="3">
        <f t="shared" si="5"/>
        <v>22</v>
      </c>
      <c r="G49" s="3">
        <f t="shared" si="5"/>
        <v>24</v>
      </c>
      <c r="H49" s="5">
        <f t="shared" si="3"/>
        <v>2</v>
      </c>
      <c r="I49" s="5">
        <f t="shared" si="4"/>
        <v>1</v>
      </c>
    </row>
    <row r="50" spans="1:9" x14ac:dyDescent="0.35">
      <c r="A50" s="2" t="str">
        <f t="shared" si="0"/>
        <v>R2W</v>
      </c>
      <c r="B50" s="2" t="s">
        <v>33</v>
      </c>
      <c r="C50" s="2" t="s">
        <v>22</v>
      </c>
      <c r="D50" s="2" t="s">
        <v>12</v>
      </c>
      <c r="E50" s="4">
        <f t="shared" si="1"/>
        <v>17</v>
      </c>
      <c r="F50" s="3">
        <f t="shared" si="5"/>
        <v>23</v>
      </c>
      <c r="G50" s="3">
        <f t="shared" si="5"/>
        <v>13</v>
      </c>
      <c r="H50" s="5">
        <f t="shared" si="3"/>
        <v>-10</v>
      </c>
      <c r="I50" s="5">
        <f t="shared" si="4"/>
        <v>27</v>
      </c>
    </row>
    <row r="51" spans="1:9" x14ac:dyDescent="0.35">
      <c r="A51" s="2" t="str">
        <f t="shared" si="0"/>
        <v>R2X</v>
      </c>
      <c r="B51" s="2" t="s">
        <v>33</v>
      </c>
      <c r="C51" s="2" t="s">
        <v>23</v>
      </c>
      <c r="D51" s="2" t="s">
        <v>8</v>
      </c>
      <c r="E51" s="4">
        <f t="shared" si="1"/>
        <v>12</v>
      </c>
      <c r="F51" s="3">
        <f t="shared" si="5"/>
        <v>24</v>
      </c>
      <c r="G51" s="3">
        <f t="shared" si="5"/>
        <v>9</v>
      </c>
      <c r="H51" s="5">
        <f t="shared" si="3"/>
        <v>-15</v>
      </c>
      <c r="I51" s="5">
        <f t="shared" si="4"/>
        <v>27</v>
      </c>
    </row>
    <row r="52" spans="1:9" x14ac:dyDescent="0.35">
      <c r="A52" s="2" t="str">
        <f t="shared" si="0"/>
        <v>R2Y</v>
      </c>
      <c r="B52" s="2" t="s">
        <v>33</v>
      </c>
      <c r="C52" s="2" t="s">
        <v>24</v>
      </c>
      <c r="D52" s="2" t="s">
        <v>21</v>
      </c>
      <c r="E52" s="4">
        <f t="shared" si="1"/>
        <v>24</v>
      </c>
      <c r="F52" s="3">
        <f t="shared" si="5"/>
        <v>25</v>
      </c>
      <c r="G52" s="3">
        <f t="shared" si="5"/>
        <v>22</v>
      </c>
      <c r="H52" s="5">
        <f t="shared" si="3"/>
        <v>-3</v>
      </c>
      <c r="I52" s="5">
        <f t="shared" si="4"/>
        <v>27</v>
      </c>
    </row>
    <row r="53" spans="1:9" x14ac:dyDescent="0.35">
      <c r="A53" s="2" t="str">
        <f t="shared" si="0"/>
        <v>R2Z</v>
      </c>
      <c r="B53" s="2" t="s">
        <v>33</v>
      </c>
      <c r="C53" s="2" t="s">
        <v>25</v>
      </c>
      <c r="D53" s="2" t="s">
        <v>18</v>
      </c>
      <c r="E53" s="4">
        <f t="shared" si="1"/>
        <v>20</v>
      </c>
      <c r="F53" s="3">
        <f t="shared" si="5"/>
        <v>26</v>
      </c>
      <c r="G53" s="3">
        <f t="shared" si="5"/>
        <v>19</v>
      </c>
      <c r="H53" s="5">
        <f t="shared" si="3"/>
        <v>-7</v>
      </c>
      <c r="I53" s="5">
        <f t="shared" si="4"/>
        <v>27</v>
      </c>
    </row>
    <row r="54" spans="1:9" x14ac:dyDescent="0.35">
      <c r="A54" s="2" t="str">
        <f t="shared" si="0"/>
        <v>R3A</v>
      </c>
      <c r="B54" s="2" t="s">
        <v>34</v>
      </c>
      <c r="C54" s="2" t="s">
        <v>1</v>
      </c>
      <c r="D54" s="2" t="s">
        <v>19</v>
      </c>
      <c r="E54" s="4">
        <f t="shared" si="1"/>
        <v>20</v>
      </c>
      <c r="F54" s="3">
        <f t="shared" ref="F54:G79" si="6">VLOOKUP(C54,nLet2Num,2,FALSE)</f>
        <v>1</v>
      </c>
      <c r="G54" s="3">
        <f t="shared" si="6"/>
        <v>20</v>
      </c>
      <c r="H54" s="5">
        <f t="shared" si="3"/>
        <v>19</v>
      </c>
      <c r="I54" s="5">
        <f t="shared" si="4"/>
        <v>1</v>
      </c>
    </row>
    <row r="55" spans="1:9" x14ac:dyDescent="0.35">
      <c r="A55" s="2" t="str">
        <f t="shared" si="0"/>
        <v>R3B</v>
      </c>
      <c r="B55" s="2" t="s">
        <v>34</v>
      </c>
      <c r="C55" s="2" t="s">
        <v>0</v>
      </c>
      <c r="D55" s="2" t="s">
        <v>1</v>
      </c>
      <c r="E55" s="4">
        <f t="shared" si="1"/>
        <v>26</v>
      </c>
      <c r="F55" s="3">
        <f t="shared" si="6"/>
        <v>2</v>
      </c>
      <c r="G55" s="3">
        <f t="shared" si="6"/>
        <v>1</v>
      </c>
      <c r="H55" s="5">
        <f t="shared" si="3"/>
        <v>-1</v>
      </c>
      <c r="I55" s="5">
        <f t="shared" si="4"/>
        <v>27</v>
      </c>
    </row>
    <row r="56" spans="1:9" x14ac:dyDescent="0.35">
      <c r="A56" s="2" t="str">
        <f t="shared" si="0"/>
        <v>R3C</v>
      </c>
      <c r="B56" s="2" t="s">
        <v>34</v>
      </c>
      <c r="C56" s="2" t="s">
        <v>2</v>
      </c>
      <c r="D56" s="2" t="s">
        <v>6</v>
      </c>
      <c r="E56" s="4">
        <f t="shared" si="1"/>
        <v>5</v>
      </c>
      <c r="F56" s="3">
        <f t="shared" si="6"/>
        <v>3</v>
      </c>
      <c r="G56" s="3">
        <f t="shared" si="6"/>
        <v>7</v>
      </c>
      <c r="H56" s="5">
        <f t="shared" si="3"/>
        <v>4</v>
      </c>
      <c r="I56" s="5">
        <f t="shared" si="4"/>
        <v>1</v>
      </c>
    </row>
    <row r="57" spans="1:9" x14ac:dyDescent="0.35">
      <c r="A57" s="2" t="str">
        <f t="shared" si="0"/>
        <v>R3D</v>
      </c>
      <c r="B57" s="2" t="s">
        <v>34</v>
      </c>
      <c r="C57" s="2" t="s">
        <v>3</v>
      </c>
      <c r="D57" s="2" t="s">
        <v>0</v>
      </c>
      <c r="E57" s="4">
        <f t="shared" si="1"/>
        <v>25</v>
      </c>
      <c r="F57" s="3">
        <f t="shared" si="6"/>
        <v>4</v>
      </c>
      <c r="G57" s="3">
        <f t="shared" si="6"/>
        <v>2</v>
      </c>
      <c r="H57" s="5">
        <f t="shared" si="3"/>
        <v>-2</v>
      </c>
      <c r="I57" s="5">
        <f t="shared" si="4"/>
        <v>27</v>
      </c>
    </row>
    <row r="58" spans="1:9" x14ac:dyDescent="0.35">
      <c r="A58" s="2" t="str">
        <f t="shared" si="0"/>
        <v>R3E</v>
      </c>
      <c r="B58" s="2" t="s">
        <v>34</v>
      </c>
      <c r="C58" s="2" t="s">
        <v>4</v>
      </c>
      <c r="D58" s="2" t="s">
        <v>15</v>
      </c>
      <c r="E58" s="4">
        <f t="shared" si="1"/>
        <v>12</v>
      </c>
      <c r="F58" s="3">
        <f t="shared" si="6"/>
        <v>5</v>
      </c>
      <c r="G58" s="3">
        <f t="shared" si="6"/>
        <v>16</v>
      </c>
      <c r="H58" s="5">
        <f t="shared" si="3"/>
        <v>11</v>
      </c>
      <c r="I58" s="5">
        <f t="shared" si="4"/>
        <v>1</v>
      </c>
    </row>
    <row r="59" spans="1:9" x14ac:dyDescent="0.35">
      <c r="A59" s="2" t="str">
        <f t="shared" si="0"/>
        <v>R3F</v>
      </c>
      <c r="B59" s="2" t="s">
        <v>34</v>
      </c>
      <c r="C59" s="2" t="s">
        <v>5</v>
      </c>
      <c r="D59" s="2" t="s">
        <v>2</v>
      </c>
      <c r="E59" s="4">
        <f t="shared" si="1"/>
        <v>24</v>
      </c>
      <c r="F59" s="3">
        <f t="shared" si="6"/>
        <v>6</v>
      </c>
      <c r="G59" s="3">
        <f t="shared" si="6"/>
        <v>3</v>
      </c>
      <c r="H59" s="5">
        <f t="shared" si="3"/>
        <v>-3</v>
      </c>
      <c r="I59" s="5">
        <f t="shared" si="4"/>
        <v>27</v>
      </c>
    </row>
    <row r="60" spans="1:9" x14ac:dyDescent="0.35">
      <c r="A60" s="2" t="str">
        <f t="shared" si="0"/>
        <v>R3G</v>
      </c>
      <c r="B60" s="2" t="s">
        <v>34</v>
      </c>
      <c r="C60" s="2" t="s">
        <v>6</v>
      </c>
      <c r="D60" s="2" t="s">
        <v>18</v>
      </c>
      <c r="E60" s="4">
        <f t="shared" si="1"/>
        <v>13</v>
      </c>
      <c r="F60" s="3">
        <f t="shared" si="6"/>
        <v>7</v>
      </c>
      <c r="G60" s="3">
        <f t="shared" si="6"/>
        <v>19</v>
      </c>
      <c r="H60" s="5">
        <f t="shared" si="3"/>
        <v>12</v>
      </c>
      <c r="I60" s="5">
        <f t="shared" si="4"/>
        <v>1</v>
      </c>
    </row>
    <row r="61" spans="1:9" x14ac:dyDescent="0.35">
      <c r="A61" s="2" t="str">
        <f t="shared" si="0"/>
        <v>R3H</v>
      </c>
      <c r="B61" s="2" t="s">
        <v>34</v>
      </c>
      <c r="C61" s="2" t="s">
        <v>7</v>
      </c>
      <c r="D61" s="2" t="s">
        <v>3</v>
      </c>
      <c r="E61" s="4">
        <f t="shared" si="1"/>
        <v>23</v>
      </c>
      <c r="F61" s="3">
        <f t="shared" si="6"/>
        <v>8</v>
      </c>
      <c r="G61" s="3">
        <f t="shared" si="6"/>
        <v>4</v>
      </c>
      <c r="H61" s="5">
        <f t="shared" si="3"/>
        <v>-4</v>
      </c>
      <c r="I61" s="5">
        <f t="shared" si="4"/>
        <v>27</v>
      </c>
    </row>
    <row r="62" spans="1:9" x14ac:dyDescent="0.35">
      <c r="A62" s="2" t="str">
        <f t="shared" si="0"/>
        <v>R3I</v>
      </c>
      <c r="B62" s="2" t="s">
        <v>34</v>
      </c>
      <c r="C62" s="2" t="s">
        <v>8</v>
      </c>
      <c r="D62" s="2" t="s">
        <v>16</v>
      </c>
      <c r="E62" s="4">
        <f t="shared" si="1"/>
        <v>9</v>
      </c>
      <c r="F62" s="3">
        <f t="shared" si="6"/>
        <v>9</v>
      </c>
      <c r="G62" s="3">
        <f t="shared" si="6"/>
        <v>17</v>
      </c>
      <c r="H62" s="5">
        <f t="shared" si="3"/>
        <v>8</v>
      </c>
      <c r="I62" s="5">
        <f t="shared" si="4"/>
        <v>1</v>
      </c>
    </row>
    <row r="63" spans="1:9" x14ac:dyDescent="0.35">
      <c r="A63" s="2" t="str">
        <f t="shared" si="0"/>
        <v>R3J</v>
      </c>
      <c r="B63" s="2" t="s">
        <v>34</v>
      </c>
      <c r="C63" s="2" t="s">
        <v>9</v>
      </c>
      <c r="D63" s="2" t="s">
        <v>4</v>
      </c>
      <c r="E63" s="4">
        <f t="shared" si="1"/>
        <v>22</v>
      </c>
      <c r="F63" s="3">
        <f t="shared" si="6"/>
        <v>10</v>
      </c>
      <c r="G63" s="3">
        <f t="shared" si="6"/>
        <v>5</v>
      </c>
      <c r="H63" s="5">
        <f t="shared" si="3"/>
        <v>-5</v>
      </c>
      <c r="I63" s="5">
        <f t="shared" si="4"/>
        <v>27</v>
      </c>
    </row>
    <row r="64" spans="1:9" x14ac:dyDescent="0.35">
      <c r="A64" s="2" t="str">
        <f t="shared" si="0"/>
        <v>R3K</v>
      </c>
      <c r="B64" s="2" t="s">
        <v>34</v>
      </c>
      <c r="C64" s="2" t="s">
        <v>10</v>
      </c>
      <c r="D64" s="2" t="s">
        <v>20</v>
      </c>
      <c r="E64" s="4">
        <f t="shared" si="1"/>
        <v>11</v>
      </c>
      <c r="F64" s="3">
        <f t="shared" si="6"/>
        <v>11</v>
      </c>
      <c r="G64" s="3">
        <f t="shared" si="6"/>
        <v>21</v>
      </c>
      <c r="H64" s="5">
        <f t="shared" si="3"/>
        <v>10</v>
      </c>
      <c r="I64" s="5">
        <f t="shared" si="4"/>
        <v>1</v>
      </c>
    </row>
    <row r="65" spans="1:9" x14ac:dyDescent="0.35">
      <c r="A65" s="2" t="str">
        <f t="shared" si="0"/>
        <v>R3L</v>
      </c>
      <c r="B65" s="2" t="s">
        <v>34</v>
      </c>
      <c r="C65" s="2" t="s">
        <v>11</v>
      </c>
      <c r="D65" s="2" t="s">
        <v>5</v>
      </c>
      <c r="E65" s="4">
        <f t="shared" si="1"/>
        <v>21</v>
      </c>
      <c r="F65" s="3">
        <f t="shared" si="6"/>
        <v>12</v>
      </c>
      <c r="G65" s="3">
        <f t="shared" si="6"/>
        <v>6</v>
      </c>
      <c r="H65" s="5">
        <f t="shared" si="3"/>
        <v>-6</v>
      </c>
      <c r="I65" s="5">
        <f t="shared" si="4"/>
        <v>27</v>
      </c>
    </row>
    <row r="66" spans="1:9" x14ac:dyDescent="0.35">
      <c r="A66" s="2" t="str">
        <f t="shared" si="0"/>
        <v>R3M</v>
      </c>
      <c r="B66" s="2" t="s">
        <v>34</v>
      </c>
      <c r="C66" s="2" t="s">
        <v>12</v>
      </c>
      <c r="D66" s="2" t="s">
        <v>21</v>
      </c>
      <c r="E66" s="4">
        <f t="shared" ref="E66:E129" si="7">H66+I66</f>
        <v>10</v>
      </c>
      <c r="F66" s="3">
        <f t="shared" si="6"/>
        <v>13</v>
      </c>
      <c r="G66" s="3">
        <f t="shared" si="6"/>
        <v>22</v>
      </c>
      <c r="H66" s="5">
        <f t="shared" ref="H66:H129" si="8">G66-F66</f>
        <v>9</v>
      </c>
      <c r="I66" s="5">
        <f t="shared" si="4"/>
        <v>1</v>
      </c>
    </row>
    <row r="67" spans="1:9" x14ac:dyDescent="0.35">
      <c r="A67" s="2" t="str">
        <f t="shared" si="0"/>
        <v>R3N</v>
      </c>
      <c r="B67" s="2" t="s">
        <v>34</v>
      </c>
      <c r="C67" s="2" t="s">
        <v>13</v>
      </c>
      <c r="D67" s="2" t="s">
        <v>13</v>
      </c>
      <c r="E67" s="4">
        <f t="shared" si="7"/>
        <v>1</v>
      </c>
      <c r="F67" s="3">
        <f t="shared" si="6"/>
        <v>14</v>
      </c>
      <c r="G67" s="3">
        <f t="shared" si="6"/>
        <v>14</v>
      </c>
      <c r="H67" s="5">
        <f t="shared" si="8"/>
        <v>0</v>
      </c>
      <c r="I67" s="5">
        <f t="shared" ref="I67:I130" si="9">IF(H67&lt;0,27,1)</f>
        <v>1</v>
      </c>
    </row>
    <row r="68" spans="1:9" x14ac:dyDescent="0.35">
      <c r="A68" s="2" t="str">
        <f t="shared" si="0"/>
        <v>R3O</v>
      </c>
      <c r="B68" s="2" t="s">
        <v>34</v>
      </c>
      <c r="C68" s="2" t="s">
        <v>14</v>
      </c>
      <c r="D68" s="2" t="s">
        <v>25</v>
      </c>
      <c r="E68" s="4">
        <f t="shared" si="7"/>
        <v>12</v>
      </c>
      <c r="F68" s="3">
        <f t="shared" si="6"/>
        <v>15</v>
      </c>
      <c r="G68" s="3">
        <f t="shared" si="6"/>
        <v>26</v>
      </c>
      <c r="H68" s="5">
        <f t="shared" si="8"/>
        <v>11</v>
      </c>
      <c r="I68" s="5">
        <f t="shared" si="9"/>
        <v>1</v>
      </c>
    </row>
    <row r="69" spans="1:9" x14ac:dyDescent="0.35">
      <c r="A69" s="2" t="str">
        <f t="shared" si="0"/>
        <v>R3P</v>
      </c>
      <c r="B69" s="2" t="s">
        <v>34</v>
      </c>
      <c r="C69" s="2" t="s">
        <v>15</v>
      </c>
      <c r="D69" s="2" t="s">
        <v>7</v>
      </c>
      <c r="E69" s="4">
        <f t="shared" si="7"/>
        <v>19</v>
      </c>
      <c r="F69" s="3">
        <f t="shared" si="6"/>
        <v>16</v>
      </c>
      <c r="G69" s="3">
        <f t="shared" si="6"/>
        <v>8</v>
      </c>
      <c r="H69" s="5">
        <f t="shared" si="8"/>
        <v>-8</v>
      </c>
      <c r="I69" s="5">
        <f t="shared" si="9"/>
        <v>27</v>
      </c>
    </row>
    <row r="70" spans="1:9" x14ac:dyDescent="0.35">
      <c r="A70" s="2" t="str">
        <f t="shared" si="0"/>
        <v>R3Q</v>
      </c>
      <c r="B70" s="2" t="s">
        <v>34</v>
      </c>
      <c r="C70" s="2" t="s">
        <v>16</v>
      </c>
      <c r="D70" s="2" t="s">
        <v>24</v>
      </c>
      <c r="E70" s="4">
        <f t="shared" si="7"/>
        <v>9</v>
      </c>
      <c r="F70" s="3">
        <f t="shared" si="6"/>
        <v>17</v>
      </c>
      <c r="G70" s="3">
        <f t="shared" si="6"/>
        <v>25</v>
      </c>
      <c r="H70" s="5">
        <f t="shared" si="8"/>
        <v>8</v>
      </c>
      <c r="I70" s="5">
        <f t="shared" si="9"/>
        <v>1</v>
      </c>
    </row>
    <row r="71" spans="1:9" x14ac:dyDescent="0.35">
      <c r="A71" s="2" t="str">
        <f t="shared" si="0"/>
        <v>R3R</v>
      </c>
      <c r="B71" s="2" t="s">
        <v>34</v>
      </c>
      <c r="C71" s="2" t="s">
        <v>17</v>
      </c>
      <c r="D71" s="2" t="s">
        <v>8</v>
      </c>
      <c r="E71" s="4">
        <f t="shared" si="7"/>
        <v>18</v>
      </c>
      <c r="F71" s="3">
        <f t="shared" si="6"/>
        <v>18</v>
      </c>
      <c r="G71" s="3">
        <f t="shared" si="6"/>
        <v>9</v>
      </c>
      <c r="H71" s="5">
        <f t="shared" si="8"/>
        <v>-9</v>
      </c>
      <c r="I71" s="5">
        <f t="shared" si="9"/>
        <v>27</v>
      </c>
    </row>
    <row r="72" spans="1:9" x14ac:dyDescent="0.35">
      <c r="A72" s="2" t="str">
        <f t="shared" si="0"/>
        <v>R3S</v>
      </c>
      <c r="B72" s="2" t="s">
        <v>34</v>
      </c>
      <c r="C72" s="2" t="s">
        <v>18</v>
      </c>
      <c r="D72" s="2" t="s">
        <v>23</v>
      </c>
      <c r="E72" s="4">
        <f t="shared" si="7"/>
        <v>6</v>
      </c>
      <c r="F72" s="3">
        <f t="shared" si="6"/>
        <v>19</v>
      </c>
      <c r="G72" s="3">
        <f t="shared" si="6"/>
        <v>24</v>
      </c>
      <c r="H72" s="5">
        <f t="shared" si="8"/>
        <v>5</v>
      </c>
      <c r="I72" s="5">
        <f t="shared" si="9"/>
        <v>1</v>
      </c>
    </row>
    <row r="73" spans="1:9" x14ac:dyDescent="0.35">
      <c r="A73" s="2" t="str">
        <f t="shared" si="0"/>
        <v>R3T</v>
      </c>
      <c r="B73" s="2" t="s">
        <v>34</v>
      </c>
      <c r="C73" s="2" t="s">
        <v>19</v>
      </c>
      <c r="D73" s="2" t="s">
        <v>9</v>
      </c>
      <c r="E73" s="4">
        <f t="shared" si="7"/>
        <v>17</v>
      </c>
      <c r="F73" s="3">
        <f t="shared" si="6"/>
        <v>20</v>
      </c>
      <c r="G73" s="3">
        <f t="shared" si="6"/>
        <v>10</v>
      </c>
      <c r="H73" s="5">
        <f t="shared" si="8"/>
        <v>-10</v>
      </c>
      <c r="I73" s="5">
        <f t="shared" si="9"/>
        <v>27</v>
      </c>
    </row>
    <row r="74" spans="1:9" x14ac:dyDescent="0.35">
      <c r="A74" s="2" t="str">
        <f t="shared" si="0"/>
        <v>R3U</v>
      </c>
      <c r="B74" s="2" t="s">
        <v>34</v>
      </c>
      <c r="C74" s="2" t="s">
        <v>20</v>
      </c>
      <c r="D74" s="2" t="s">
        <v>22</v>
      </c>
      <c r="E74" s="4">
        <f t="shared" si="7"/>
        <v>3</v>
      </c>
      <c r="F74" s="3">
        <f t="shared" si="6"/>
        <v>21</v>
      </c>
      <c r="G74" s="3">
        <f t="shared" si="6"/>
        <v>23</v>
      </c>
      <c r="H74" s="5">
        <f t="shared" si="8"/>
        <v>2</v>
      </c>
      <c r="I74" s="5">
        <f t="shared" si="9"/>
        <v>1</v>
      </c>
    </row>
    <row r="75" spans="1:9" x14ac:dyDescent="0.35">
      <c r="A75" s="2" t="str">
        <f t="shared" si="0"/>
        <v>R3V</v>
      </c>
      <c r="B75" s="2" t="s">
        <v>34</v>
      </c>
      <c r="C75" s="2" t="s">
        <v>21</v>
      </c>
      <c r="D75" s="2" t="s">
        <v>11</v>
      </c>
      <c r="E75" s="4">
        <f t="shared" si="7"/>
        <v>17</v>
      </c>
      <c r="F75" s="3">
        <f t="shared" si="6"/>
        <v>22</v>
      </c>
      <c r="G75" s="3">
        <f t="shared" si="6"/>
        <v>12</v>
      </c>
      <c r="H75" s="5">
        <f t="shared" si="8"/>
        <v>-10</v>
      </c>
      <c r="I75" s="5">
        <f t="shared" si="9"/>
        <v>27</v>
      </c>
    </row>
    <row r="76" spans="1:9" x14ac:dyDescent="0.35">
      <c r="A76" s="2" t="str">
        <f t="shared" si="0"/>
        <v>R3W</v>
      </c>
      <c r="B76" s="2" t="s">
        <v>34</v>
      </c>
      <c r="C76" s="2" t="s">
        <v>22</v>
      </c>
      <c r="D76" s="2" t="s">
        <v>17</v>
      </c>
      <c r="E76" s="4">
        <f t="shared" si="7"/>
        <v>22</v>
      </c>
      <c r="F76" s="3">
        <f t="shared" si="6"/>
        <v>23</v>
      </c>
      <c r="G76" s="3">
        <f t="shared" si="6"/>
        <v>18</v>
      </c>
      <c r="H76" s="5">
        <f t="shared" si="8"/>
        <v>-5</v>
      </c>
      <c r="I76" s="5">
        <f t="shared" si="9"/>
        <v>27</v>
      </c>
    </row>
    <row r="77" spans="1:9" x14ac:dyDescent="0.35">
      <c r="A77" s="2" t="str">
        <f t="shared" si="0"/>
        <v>R3X</v>
      </c>
      <c r="B77" s="2" t="s">
        <v>34</v>
      </c>
      <c r="C77" s="2" t="s">
        <v>23</v>
      </c>
      <c r="D77" s="2" t="s">
        <v>10</v>
      </c>
      <c r="E77" s="4">
        <f t="shared" si="7"/>
        <v>14</v>
      </c>
      <c r="F77" s="3">
        <f t="shared" si="6"/>
        <v>24</v>
      </c>
      <c r="G77" s="3">
        <f t="shared" si="6"/>
        <v>11</v>
      </c>
      <c r="H77" s="5">
        <f t="shared" si="8"/>
        <v>-13</v>
      </c>
      <c r="I77" s="5">
        <f t="shared" si="9"/>
        <v>27</v>
      </c>
    </row>
    <row r="78" spans="1:9" x14ac:dyDescent="0.35">
      <c r="A78" s="2" t="str">
        <f t="shared" si="0"/>
        <v>R3Y</v>
      </c>
      <c r="B78" s="2" t="s">
        <v>34</v>
      </c>
      <c r="C78" s="2" t="s">
        <v>24</v>
      </c>
      <c r="D78" s="2" t="s">
        <v>14</v>
      </c>
      <c r="E78" s="4">
        <f t="shared" si="7"/>
        <v>17</v>
      </c>
      <c r="F78" s="3">
        <f t="shared" si="6"/>
        <v>25</v>
      </c>
      <c r="G78" s="3">
        <f t="shared" si="6"/>
        <v>15</v>
      </c>
      <c r="H78" s="5">
        <f t="shared" si="8"/>
        <v>-10</v>
      </c>
      <c r="I78" s="5">
        <f t="shared" si="9"/>
        <v>27</v>
      </c>
    </row>
    <row r="79" spans="1:9" x14ac:dyDescent="0.35">
      <c r="A79" s="2" t="str">
        <f t="shared" si="0"/>
        <v>R3Z</v>
      </c>
      <c r="B79" s="2" t="s">
        <v>34</v>
      </c>
      <c r="C79" s="2" t="s">
        <v>25</v>
      </c>
      <c r="D79" s="2" t="s">
        <v>12</v>
      </c>
      <c r="E79" s="4">
        <f t="shared" si="7"/>
        <v>14</v>
      </c>
      <c r="F79" s="3">
        <f t="shared" si="6"/>
        <v>26</v>
      </c>
      <c r="G79" s="3">
        <f t="shared" si="6"/>
        <v>13</v>
      </c>
      <c r="H79" s="5">
        <f t="shared" si="8"/>
        <v>-13</v>
      </c>
      <c r="I79" s="5">
        <f t="shared" si="9"/>
        <v>27</v>
      </c>
    </row>
    <row r="80" spans="1:9" x14ac:dyDescent="0.35">
      <c r="A80" s="2" t="str">
        <f t="shared" si="0"/>
        <v>R4A</v>
      </c>
      <c r="B80" s="2" t="s">
        <v>35</v>
      </c>
      <c r="C80" s="2" t="s">
        <v>1</v>
      </c>
      <c r="D80" s="2" t="s">
        <v>7</v>
      </c>
      <c r="E80" s="4">
        <f t="shared" si="7"/>
        <v>8</v>
      </c>
      <c r="F80" s="3">
        <f t="shared" ref="F80:G105" si="10">VLOOKUP(C80,nLet2Num,2,FALSE)</f>
        <v>1</v>
      </c>
      <c r="G80" s="3">
        <f t="shared" si="10"/>
        <v>8</v>
      </c>
      <c r="H80" s="5">
        <f t="shared" si="8"/>
        <v>7</v>
      </c>
      <c r="I80" s="5">
        <f t="shared" si="9"/>
        <v>1</v>
      </c>
    </row>
    <row r="81" spans="1:9" x14ac:dyDescent="0.35">
      <c r="A81" s="2" t="str">
        <f t="shared" si="0"/>
        <v>R4B</v>
      </c>
      <c r="B81" s="2" t="s">
        <v>35</v>
      </c>
      <c r="C81" s="2" t="s">
        <v>0</v>
      </c>
      <c r="D81" s="2" t="s">
        <v>25</v>
      </c>
      <c r="E81" s="4">
        <f t="shared" si="7"/>
        <v>25</v>
      </c>
      <c r="F81" s="3">
        <f t="shared" si="10"/>
        <v>2</v>
      </c>
      <c r="G81" s="3">
        <f t="shared" si="10"/>
        <v>26</v>
      </c>
      <c r="H81" s="5">
        <f t="shared" si="8"/>
        <v>24</v>
      </c>
      <c r="I81" s="5">
        <f t="shared" si="9"/>
        <v>1</v>
      </c>
    </row>
    <row r="82" spans="1:9" x14ac:dyDescent="0.35">
      <c r="A82" s="2" t="str">
        <f t="shared" si="0"/>
        <v>R4C</v>
      </c>
      <c r="B82" s="2" t="s">
        <v>35</v>
      </c>
      <c r="C82" s="2" t="s">
        <v>2</v>
      </c>
      <c r="D82" s="2" t="s">
        <v>22</v>
      </c>
      <c r="E82" s="4">
        <f t="shared" si="7"/>
        <v>21</v>
      </c>
      <c r="F82" s="3">
        <f t="shared" si="10"/>
        <v>3</v>
      </c>
      <c r="G82" s="3">
        <f t="shared" si="10"/>
        <v>23</v>
      </c>
      <c r="H82" s="5">
        <f t="shared" si="8"/>
        <v>20</v>
      </c>
      <c r="I82" s="5">
        <f t="shared" si="9"/>
        <v>1</v>
      </c>
    </row>
    <row r="83" spans="1:9" x14ac:dyDescent="0.35">
      <c r="A83" s="2" t="str">
        <f t="shared" si="0"/>
        <v>R4D</v>
      </c>
      <c r="B83" s="2" t="s">
        <v>35</v>
      </c>
      <c r="C83" s="2" t="s">
        <v>3</v>
      </c>
      <c r="D83" s="2" t="s">
        <v>21</v>
      </c>
      <c r="E83" s="4">
        <f t="shared" si="7"/>
        <v>19</v>
      </c>
      <c r="F83" s="3">
        <f t="shared" si="10"/>
        <v>4</v>
      </c>
      <c r="G83" s="3">
        <f t="shared" si="10"/>
        <v>22</v>
      </c>
      <c r="H83" s="5">
        <f t="shared" si="8"/>
        <v>18</v>
      </c>
      <c r="I83" s="5">
        <f t="shared" si="9"/>
        <v>1</v>
      </c>
    </row>
    <row r="84" spans="1:9" x14ac:dyDescent="0.35">
      <c r="A84" s="2" t="str">
        <f t="shared" si="0"/>
        <v>R4E</v>
      </c>
      <c r="B84" s="2" t="s">
        <v>35</v>
      </c>
      <c r="C84" s="2" t="s">
        <v>4</v>
      </c>
      <c r="D84" s="2" t="s">
        <v>1</v>
      </c>
      <c r="E84" s="4">
        <f t="shared" si="7"/>
        <v>23</v>
      </c>
      <c r="F84" s="3">
        <f t="shared" si="10"/>
        <v>5</v>
      </c>
      <c r="G84" s="3">
        <f t="shared" si="10"/>
        <v>1</v>
      </c>
      <c r="H84" s="5">
        <f t="shared" si="8"/>
        <v>-4</v>
      </c>
      <c r="I84" s="5">
        <f t="shared" si="9"/>
        <v>27</v>
      </c>
    </row>
    <row r="85" spans="1:9" x14ac:dyDescent="0.35">
      <c r="A85" s="2" t="str">
        <f t="shared" si="0"/>
        <v>R4F</v>
      </c>
      <c r="B85" s="2" t="s">
        <v>35</v>
      </c>
      <c r="C85" s="2" t="s">
        <v>5</v>
      </c>
      <c r="D85" s="2" t="s">
        <v>17</v>
      </c>
      <c r="E85" s="4">
        <f t="shared" si="7"/>
        <v>13</v>
      </c>
      <c r="F85" s="3">
        <f t="shared" si="10"/>
        <v>6</v>
      </c>
      <c r="G85" s="3">
        <f t="shared" si="10"/>
        <v>18</v>
      </c>
      <c r="H85" s="5">
        <f t="shared" si="8"/>
        <v>12</v>
      </c>
      <c r="I85" s="5">
        <f t="shared" si="9"/>
        <v>1</v>
      </c>
    </row>
    <row r="86" spans="1:9" x14ac:dyDescent="0.35">
      <c r="A86" s="2" t="str">
        <f t="shared" si="0"/>
        <v>R4G</v>
      </c>
      <c r="B86" s="2" t="s">
        <v>35</v>
      </c>
      <c r="C86" s="2" t="s">
        <v>6</v>
      </c>
      <c r="D86" s="2" t="s">
        <v>19</v>
      </c>
      <c r="E86" s="4">
        <f t="shared" si="7"/>
        <v>14</v>
      </c>
      <c r="F86" s="3">
        <f t="shared" si="10"/>
        <v>7</v>
      </c>
      <c r="G86" s="3">
        <f t="shared" si="10"/>
        <v>20</v>
      </c>
      <c r="H86" s="5">
        <f t="shared" si="8"/>
        <v>13</v>
      </c>
      <c r="I86" s="5">
        <f t="shared" si="9"/>
        <v>1</v>
      </c>
    </row>
    <row r="87" spans="1:9" x14ac:dyDescent="0.35">
      <c r="A87" s="2" t="str">
        <f t="shared" si="0"/>
        <v>R4H</v>
      </c>
      <c r="B87" s="2" t="s">
        <v>35</v>
      </c>
      <c r="C87" s="2" t="s">
        <v>7</v>
      </c>
      <c r="D87" s="2" t="s">
        <v>13</v>
      </c>
      <c r="E87" s="4">
        <f t="shared" si="7"/>
        <v>7</v>
      </c>
      <c r="F87" s="3">
        <f t="shared" si="10"/>
        <v>8</v>
      </c>
      <c r="G87" s="3">
        <f t="shared" si="10"/>
        <v>14</v>
      </c>
      <c r="H87" s="5">
        <f t="shared" si="8"/>
        <v>6</v>
      </c>
      <c r="I87" s="5">
        <f t="shared" si="9"/>
        <v>1</v>
      </c>
    </row>
    <row r="88" spans="1:9" x14ac:dyDescent="0.35">
      <c r="A88" s="2" t="str">
        <f t="shared" si="0"/>
        <v>R4I</v>
      </c>
      <c r="B88" s="2" t="s">
        <v>35</v>
      </c>
      <c r="C88" s="2" t="s">
        <v>8</v>
      </c>
      <c r="D88" s="2" t="s">
        <v>11</v>
      </c>
      <c r="E88" s="4">
        <f t="shared" si="7"/>
        <v>4</v>
      </c>
      <c r="F88" s="3">
        <f t="shared" si="10"/>
        <v>9</v>
      </c>
      <c r="G88" s="3">
        <f t="shared" si="10"/>
        <v>12</v>
      </c>
      <c r="H88" s="5">
        <f t="shared" si="8"/>
        <v>3</v>
      </c>
      <c r="I88" s="5">
        <f t="shared" si="9"/>
        <v>1</v>
      </c>
    </row>
    <row r="89" spans="1:9" x14ac:dyDescent="0.35">
      <c r="A89" s="2" t="str">
        <f t="shared" si="0"/>
        <v>R4J</v>
      </c>
      <c r="B89" s="2" t="s">
        <v>35</v>
      </c>
      <c r="C89" s="2" t="s">
        <v>9</v>
      </c>
      <c r="D89" s="2" t="s">
        <v>6</v>
      </c>
      <c r="E89" s="4">
        <f t="shared" si="7"/>
        <v>24</v>
      </c>
      <c r="F89" s="3">
        <f t="shared" si="10"/>
        <v>10</v>
      </c>
      <c r="G89" s="3">
        <f t="shared" si="10"/>
        <v>7</v>
      </c>
      <c r="H89" s="5">
        <f t="shared" si="8"/>
        <v>-3</v>
      </c>
      <c r="I89" s="5">
        <f t="shared" si="9"/>
        <v>27</v>
      </c>
    </row>
    <row r="90" spans="1:9" x14ac:dyDescent="0.35">
      <c r="A90" s="2" t="str">
        <f t="shared" si="0"/>
        <v>R4K</v>
      </c>
      <c r="B90" s="2" t="s">
        <v>35</v>
      </c>
      <c r="C90" s="2" t="s">
        <v>10</v>
      </c>
      <c r="D90" s="2" t="s">
        <v>20</v>
      </c>
      <c r="E90" s="4">
        <f t="shared" si="7"/>
        <v>11</v>
      </c>
      <c r="F90" s="3">
        <f t="shared" si="10"/>
        <v>11</v>
      </c>
      <c r="G90" s="3">
        <f t="shared" si="10"/>
        <v>21</v>
      </c>
      <c r="H90" s="5">
        <f t="shared" si="8"/>
        <v>10</v>
      </c>
      <c r="I90" s="5">
        <f t="shared" si="9"/>
        <v>1</v>
      </c>
    </row>
    <row r="91" spans="1:9" x14ac:dyDescent="0.35">
      <c r="A91" s="2" t="str">
        <f t="shared" si="0"/>
        <v>R4L</v>
      </c>
      <c r="B91" s="2" t="s">
        <v>35</v>
      </c>
      <c r="C91" s="2" t="s">
        <v>11</v>
      </c>
      <c r="D91" s="2" t="s">
        <v>15</v>
      </c>
      <c r="E91" s="4">
        <f t="shared" si="7"/>
        <v>5</v>
      </c>
      <c r="F91" s="3">
        <f t="shared" si="10"/>
        <v>12</v>
      </c>
      <c r="G91" s="3">
        <f t="shared" si="10"/>
        <v>16</v>
      </c>
      <c r="H91" s="5">
        <f t="shared" si="8"/>
        <v>4</v>
      </c>
      <c r="I91" s="5">
        <f t="shared" si="9"/>
        <v>1</v>
      </c>
    </row>
    <row r="92" spans="1:9" x14ac:dyDescent="0.35">
      <c r="A92" s="2" t="str">
        <f t="shared" si="0"/>
        <v>R4M</v>
      </c>
      <c r="B92" s="2" t="s">
        <v>35</v>
      </c>
      <c r="C92" s="2" t="s">
        <v>12</v>
      </c>
      <c r="D92" s="2" t="s">
        <v>23</v>
      </c>
      <c r="E92" s="4">
        <f t="shared" si="7"/>
        <v>12</v>
      </c>
      <c r="F92" s="3">
        <f t="shared" si="10"/>
        <v>13</v>
      </c>
      <c r="G92" s="3">
        <f t="shared" si="10"/>
        <v>24</v>
      </c>
      <c r="H92" s="5">
        <f t="shared" si="8"/>
        <v>11</v>
      </c>
      <c r="I92" s="5">
        <f t="shared" si="9"/>
        <v>1</v>
      </c>
    </row>
    <row r="93" spans="1:9" x14ac:dyDescent="0.35">
      <c r="A93" s="2" t="str">
        <f t="shared" si="0"/>
        <v>R4N</v>
      </c>
      <c r="B93" s="2" t="s">
        <v>35</v>
      </c>
      <c r="C93" s="2" t="s">
        <v>13</v>
      </c>
      <c r="D93" s="2" t="s">
        <v>16</v>
      </c>
      <c r="E93" s="4">
        <f t="shared" si="7"/>
        <v>4</v>
      </c>
      <c r="F93" s="3">
        <f t="shared" si="10"/>
        <v>14</v>
      </c>
      <c r="G93" s="3">
        <f t="shared" si="10"/>
        <v>17</v>
      </c>
      <c r="H93" s="5">
        <f t="shared" si="8"/>
        <v>3</v>
      </c>
      <c r="I93" s="5">
        <f t="shared" si="9"/>
        <v>1</v>
      </c>
    </row>
    <row r="94" spans="1:9" x14ac:dyDescent="0.35">
      <c r="A94" s="2" t="str">
        <f t="shared" si="0"/>
        <v>R4O</v>
      </c>
      <c r="B94" s="2" t="s">
        <v>35</v>
      </c>
      <c r="C94" s="2" t="s">
        <v>14</v>
      </c>
      <c r="D94" s="2" t="s">
        <v>2</v>
      </c>
      <c r="E94" s="4">
        <f t="shared" si="7"/>
        <v>15</v>
      </c>
      <c r="F94" s="3">
        <f t="shared" si="10"/>
        <v>15</v>
      </c>
      <c r="G94" s="3">
        <f t="shared" si="10"/>
        <v>3</v>
      </c>
      <c r="H94" s="5">
        <f t="shared" si="8"/>
        <v>-12</v>
      </c>
      <c r="I94" s="5">
        <f t="shared" si="9"/>
        <v>27</v>
      </c>
    </row>
    <row r="95" spans="1:9" x14ac:dyDescent="0.35">
      <c r="A95" s="2" t="str">
        <f t="shared" si="0"/>
        <v>R4P</v>
      </c>
      <c r="B95" s="2" t="s">
        <v>35</v>
      </c>
      <c r="C95" s="2" t="s">
        <v>15</v>
      </c>
      <c r="D95" s="2" t="s">
        <v>4</v>
      </c>
      <c r="E95" s="4">
        <f t="shared" si="7"/>
        <v>16</v>
      </c>
      <c r="F95" s="3">
        <f t="shared" si="10"/>
        <v>16</v>
      </c>
      <c r="G95" s="3">
        <f t="shared" si="10"/>
        <v>5</v>
      </c>
      <c r="H95" s="5">
        <f t="shared" si="8"/>
        <v>-11</v>
      </c>
      <c r="I95" s="5">
        <f t="shared" si="9"/>
        <v>27</v>
      </c>
    </row>
    <row r="96" spans="1:9" x14ac:dyDescent="0.35">
      <c r="A96" s="2" t="str">
        <f t="shared" si="0"/>
        <v>R4Q</v>
      </c>
      <c r="B96" s="2" t="s">
        <v>35</v>
      </c>
      <c r="C96" s="2" t="s">
        <v>16</v>
      </c>
      <c r="D96" s="2" t="s">
        <v>9</v>
      </c>
      <c r="E96" s="4">
        <f t="shared" si="7"/>
        <v>20</v>
      </c>
      <c r="F96" s="3">
        <f t="shared" si="10"/>
        <v>17</v>
      </c>
      <c r="G96" s="3">
        <f t="shared" si="10"/>
        <v>10</v>
      </c>
      <c r="H96" s="5">
        <f t="shared" si="8"/>
        <v>-7</v>
      </c>
      <c r="I96" s="5">
        <f t="shared" si="9"/>
        <v>27</v>
      </c>
    </row>
    <row r="97" spans="1:9" x14ac:dyDescent="0.35">
      <c r="A97" s="2" t="str">
        <f t="shared" si="0"/>
        <v>R4R</v>
      </c>
      <c r="B97" s="2" t="s">
        <v>35</v>
      </c>
      <c r="C97" s="2" t="s">
        <v>17</v>
      </c>
      <c r="D97" s="2" t="s">
        <v>12</v>
      </c>
      <c r="E97" s="4">
        <f t="shared" si="7"/>
        <v>22</v>
      </c>
      <c r="F97" s="3">
        <f t="shared" si="10"/>
        <v>18</v>
      </c>
      <c r="G97" s="3">
        <f t="shared" si="10"/>
        <v>13</v>
      </c>
      <c r="H97" s="5">
        <f t="shared" si="8"/>
        <v>-5</v>
      </c>
      <c r="I97" s="5">
        <f t="shared" si="9"/>
        <v>27</v>
      </c>
    </row>
    <row r="98" spans="1:9" x14ac:dyDescent="0.35">
      <c r="A98" s="2" t="str">
        <f t="shared" si="0"/>
        <v>R4S</v>
      </c>
      <c r="B98" s="2" t="s">
        <v>35</v>
      </c>
      <c r="C98" s="2" t="s">
        <v>18</v>
      </c>
      <c r="D98" s="2" t="s">
        <v>0</v>
      </c>
      <c r="E98" s="4">
        <f t="shared" si="7"/>
        <v>10</v>
      </c>
      <c r="F98" s="3">
        <f t="shared" si="10"/>
        <v>19</v>
      </c>
      <c r="G98" s="3">
        <f t="shared" si="10"/>
        <v>2</v>
      </c>
      <c r="H98" s="5">
        <f t="shared" si="8"/>
        <v>-17</v>
      </c>
      <c r="I98" s="5">
        <f t="shared" si="9"/>
        <v>27</v>
      </c>
    </row>
    <row r="99" spans="1:9" x14ac:dyDescent="0.35">
      <c r="A99" s="2" t="str">
        <f t="shared" si="0"/>
        <v>R4T</v>
      </c>
      <c r="B99" s="2" t="s">
        <v>35</v>
      </c>
      <c r="C99" s="2" t="s">
        <v>19</v>
      </c>
      <c r="D99" s="2" t="s">
        <v>18</v>
      </c>
      <c r="E99" s="4">
        <f t="shared" si="7"/>
        <v>26</v>
      </c>
      <c r="F99" s="3">
        <f t="shared" si="10"/>
        <v>20</v>
      </c>
      <c r="G99" s="3">
        <f t="shared" si="10"/>
        <v>19</v>
      </c>
      <c r="H99" s="5">
        <f t="shared" si="8"/>
        <v>-1</v>
      </c>
      <c r="I99" s="5">
        <f t="shared" si="9"/>
        <v>27</v>
      </c>
    </row>
    <row r="100" spans="1:9" x14ac:dyDescent="0.35">
      <c r="A100" s="2" t="str">
        <f t="shared" si="0"/>
        <v>R4U</v>
      </c>
      <c r="B100" s="2" t="s">
        <v>35</v>
      </c>
      <c r="C100" s="2" t="s">
        <v>20</v>
      </c>
      <c r="D100" s="2" t="s">
        <v>10</v>
      </c>
      <c r="E100" s="4">
        <f t="shared" si="7"/>
        <v>17</v>
      </c>
      <c r="F100" s="3">
        <f t="shared" si="10"/>
        <v>21</v>
      </c>
      <c r="G100" s="3">
        <f t="shared" si="10"/>
        <v>11</v>
      </c>
      <c r="H100" s="5">
        <f t="shared" si="8"/>
        <v>-10</v>
      </c>
      <c r="I100" s="5">
        <f t="shared" si="9"/>
        <v>27</v>
      </c>
    </row>
    <row r="101" spans="1:9" x14ac:dyDescent="0.35">
      <c r="A101" s="2" t="str">
        <f t="shared" si="0"/>
        <v>R4V</v>
      </c>
      <c r="B101" s="2" t="s">
        <v>35</v>
      </c>
      <c r="C101" s="2" t="s">
        <v>21</v>
      </c>
      <c r="D101" s="2" t="s">
        <v>3</v>
      </c>
      <c r="E101" s="4">
        <f t="shared" si="7"/>
        <v>9</v>
      </c>
      <c r="F101" s="3">
        <f t="shared" si="10"/>
        <v>22</v>
      </c>
      <c r="G101" s="3">
        <f t="shared" si="10"/>
        <v>4</v>
      </c>
      <c r="H101" s="5">
        <f t="shared" si="8"/>
        <v>-18</v>
      </c>
      <c r="I101" s="5">
        <f t="shared" si="9"/>
        <v>27</v>
      </c>
    </row>
    <row r="102" spans="1:9" x14ac:dyDescent="0.35">
      <c r="A102" s="2" t="str">
        <f t="shared" si="0"/>
        <v>R4W</v>
      </c>
      <c r="B102" s="2" t="s">
        <v>35</v>
      </c>
      <c r="C102" s="2" t="s">
        <v>22</v>
      </c>
      <c r="D102" s="2" t="s">
        <v>24</v>
      </c>
      <c r="E102" s="4">
        <f t="shared" si="7"/>
        <v>3</v>
      </c>
      <c r="F102" s="3">
        <f t="shared" si="10"/>
        <v>23</v>
      </c>
      <c r="G102" s="3">
        <f t="shared" si="10"/>
        <v>25</v>
      </c>
      <c r="H102" s="5">
        <f t="shared" si="8"/>
        <v>2</v>
      </c>
      <c r="I102" s="5">
        <f t="shared" si="9"/>
        <v>1</v>
      </c>
    </row>
    <row r="103" spans="1:9" x14ac:dyDescent="0.35">
      <c r="A103" s="2" t="str">
        <f t="shared" si="0"/>
        <v>R4X</v>
      </c>
      <c r="B103" s="2" t="s">
        <v>35</v>
      </c>
      <c r="C103" s="2" t="s">
        <v>23</v>
      </c>
      <c r="D103" s="2" t="s">
        <v>14</v>
      </c>
      <c r="E103" s="4">
        <f t="shared" si="7"/>
        <v>18</v>
      </c>
      <c r="F103" s="3">
        <f t="shared" si="10"/>
        <v>24</v>
      </c>
      <c r="G103" s="3">
        <f t="shared" si="10"/>
        <v>15</v>
      </c>
      <c r="H103" s="5">
        <f t="shared" si="8"/>
        <v>-9</v>
      </c>
      <c r="I103" s="5">
        <f t="shared" si="9"/>
        <v>27</v>
      </c>
    </row>
    <row r="104" spans="1:9" x14ac:dyDescent="0.35">
      <c r="A104" s="2" t="str">
        <f t="shared" si="0"/>
        <v>R4Y</v>
      </c>
      <c r="B104" s="2" t="s">
        <v>35</v>
      </c>
      <c r="C104" s="2" t="s">
        <v>24</v>
      </c>
      <c r="D104" s="2" t="s">
        <v>8</v>
      </c>
      <c r="E104" s="4">
        <f t="shared" si="7"/>
        <v>11</v>
      </c>
      <c r="F104" s="3">
        <f t="shared" si="10"/>
        <v>25</v>
      </c>
      <c r="G104" s="3">
        <f t="shared" si="10"/>
        <v>9</v>
      </c>
      <c r="H104" s="5">
        <f t="shared" si="8"/>
        <v>-16</v>
      </c>
      <c r="I104" s="5">
        <f t="shared" si="9"/>
        <v>27</v>
      </c>
    </row>
    <row r="105" spans="1:9" x14ac:dyDescent="0.35">
      <c r="A105" s="2" t="str">
        <f t="shared" si="0"/>
        <v>R4Z</v>
      </c>
      <c r="B105" s="2" t="s">
        <v>35</v>
      </c>
      <c r="C105" s="2" t="s">
        <v>25</v>
      </c>
      <c r="D105" s="2" t="s">
        <v>5</v>
      </c>
      <c r="E105" s="4">
        <f t="shared" si="7"/>
        <v>7</v>
      </c>
      <c r="F105" s="3">
        <f t="shared" si="10"/>
        <v>26</v>
      </c>
      <c r="G105" s="3">
        <f t="shared" si="10"/>
        <v>6</v>
      </c>
      <c r="H105" s="5">
        <f t="shared" si="8"/>
        <v>-20</v>
      </c>
      <c r="I105" s="5">
        <f t="shared" si="9"/>
        <v>27</v>
      </c>
    </row>
    <row r="106" spans="1:9" x14ac:dyDescent="0.35">
      <c r="A106" s="2" t="str">
        <f t="shared" si="0"/>
        <v>R5A</v>
      </c>
      <c r="B106" s="2" t="s">
        <v>36</v>
      </c>
      <c r="C106" s="2" t="s">
        <v>1</v>
      </c>
      <c r="D106" s="2" t="s">
        <v>16</v>
      </c>
      <c r="E106" s="4">
        <f t="shared" si="7"/>
        <v>17</v>
      </c>
      <c r="F106" s="3">
        <f t="shared" ref="F106:G131" si="11">VLOOKUP(C106,nLet2Num,2,FALSE)</f>
        <v>1</v>
      </c>
      <c r="G106" s="3">
        <f t="shared" si="11"/>
        <v>17</v>
      </c>
      <c r="H106" s="5">
        <f t="shared" si="8"/>
        <v>16</v>
      </c>
      <c r="I106" s="5">
        <f t="shared" si="9"/>
        <v>1</v>
      </c>
    </row>
    <row r="107" spans="1:9" x14ac:dyDescent="0.35">
      <c r="A107" s="2" t="str">
        <f t="shared" si="0"/>
        <v>R5B</v>
      </c>
      <c r="B107" s="2" t="s">
        <v>36</v>
      </c>
      <c r="C107" s="2" t="s">
        <v>0</v>
      </c>
      <c r="D107" s="2" t="s">
        <v>2</v>
      </c>
      <c r="E107" s="4">
        <f t="shared" si="7"/>
        <v>2</v>
      </c>
      <c r="F107" s="3">
        <f t="shared" si="11"/>
        <v>2</v>
      </c>
      <c r="G107" s="3">
        <f t="shared" si="11"/>
        <v>3</v>
      </c>
      <c r="H107" s="5">
        <f t="shared" si="8"/>
        <v>1</v>
      </c>
      <c r="I107" s="5">
        <f t="shared" si="9"/>
        <v>1</v>
      </c>
    </row>
    <row r="108" spans="1:9" x14ac:dyDescent="0.35">
      <c r="A108" s="2" t="str">
        <f t="shared" si="0"/>
        <v>R5C</v>
      </c>
      <c r="B108" s="2" t="s">
        <v>36</v>
      </c>
      <c r="C108" s="2" t="s">
        <v>2</v>
      </c>
      <c r="D108" s="2" t="s">
        <v>24</v>
      </c>
      <c r="E108" s="4">
        <f t="shared" si="7"/>
        <v>23</v>
      </c>
      <c r="F108" s="3">
        <f t="shared" si="11"/>
        <v>3</v>
      </c>
      <c r="G108" s="3">
        <f t="shared" si="11"/>
        <v>25</v>
      </c>
      <c r="H108" s="5">
        <f t="shared" si="8"/>
        <v>22</v>
      </c>
      <c r="I108" s="5">
        <f t="shared" si="9"/>
        <v>1</v>
      </c>
    </row>
    <row r="109" spans="1:9" x14ac:dyDescent="0.35">
      <c r="A109" s="2" t="str">
        <f t="shared" si="0"/>
        <v>R5D</v>
      </c>
      <c r="B109" s="2" t="s">
        <v>36</v>
      </c>
      <c r="C109" s="2" t="s">
        <v>3</v>
      </c>
      <c r="D109" s="2" t="s">
        <v>11</v>
      </c>
      <c r="E109" s="4">
        <f t="shared" si="7"/>
        <v>9</v>
      </c>
      <c r="F109" s="3">
        <f t="shared" si="11"/>
        <v>4</v>
      </c>
      <c r="G109" s="3">
        <f t="shared" si="11"/>
        <v>12</v>
      </c>
      <c r="H109" s="5">
        <f t="shared" si="8"/>
        <v>8</v>
      </c>
      <c r="I109" s="5">
        <f t="shared" si="9"/>
        <v>1</v>
      </c>
    </row>
    <row r="110" spans="1:9" x14ac:dyDescent="0.35">
      <c r="A110" s="2" t="str">
        <f t="shared" si="0"/>
        <v>R5E</v>
      </c>
      <c r="B110" s="2" t="s">
        <v>36</v>
      </c>
      <c r="C110" s="2" t="s">
        <v>4</v>
      </c>
      <c r="D110" s="2" t="s">
        <v>23</v>
      </c>
      <c r="E110" s="4">
        <f t="shared" si="7"/>
        <v>20</v>
      </c>
      <c r="F110" s="3">
        <f t="shared" si="11"/>
        <v>5</v>
      </c>
      <c r="G110" s="3">
        <f t="shared" si="11"/>
        <v>24</v>
      </c>
      <c r="H110" s="5">
        <f t="shared" si="8"/>
        <v>19</v>
      </c>
      <c r="I110" s="5">
        <f t="shared" si="9"/>
        <v>1</v>
      </c>
    </row>
    <row r="111" spans="1:9" x14ac:dyDescent="0.35">
      <c r="A111" s="2" t="str">
        <f t="shared" si="0"/>
        <v>R5F</v>
      </c>
      <c r="B111" s="2" t="s">
        <v>36</v>
      </c>
      <c r="C111" s="2" t="s">
        <v>5</v>
      </c>
      <c r="D111" s="2" t="s">
        <v>22</v>
      </c>
      <c r="E111" s="4">
        <f t="shared" si="7"/>
        <v>18</v>
      </c>
      <c r="F111" s="3">
        <f t="shared" si="11"/>
        <v>6</v>
      </c>
      <c r="G111" s="3">
        <f t="shared" si="11"/>
        <v>23</v>
      </c>
      <c r="H111" s="5">
        <f t="shared" si="8"/>
        <v>17</v>
      </c>
      <c r="I111" s="5">
        <f t="shared" si="9"/>
        <v>1</v>
      </c>
    </row>
    <row r="112" spans="1:9" x14ac:dyDescent="0.35">
      <c r="A112" s="2" t="str">
        <f t="shared" si="0"/>
        <v>R5G</v>
      </c>
      <c r="B112" s="2" t="s">
        <v>36</v>
      </c>
      <c r="C112" s="2" t="s">
        <v>6</v>
      </c>
      <c r="D112" s="2" t="s">
        <v>4</v>
      </c>
      <c r="E112" s="4">
        <f t="shared" si="7"/>
        <v>25</v>
      </c>
      <c r="F112" s="3">
        <f t="shared" si="11"/>
        <v>7</v>
      </c>
      <c r="G112" s="3">
        <f t="shared" si="11"/>
        <v>5</v>
      </c>
      <c r="H112" s="5">
        <f t="shared" si="8"/>
        <v>-2</v>
      </c>
      <c r="I112" s="5">
        <f t="shared" si="9"/>
        <v>27</v>
      </c>
    </row>
    <row r="113" spans="1:9" x14ac:dyDescent="0.35">
      <c r="A113" s="2" t="str">
        <f t="shared" si="0"/>
        <v>R5H</v>
      </c>
      <c r="B113" s="2" t="s">
        <v>36</v>
      </c>
      <c r="C113" s="2" t="s">
        <v>7</v>
      </c>
      <c r="D113" s="2" t="s">
        <v>13</v>
      </c>
      <c r="E113" s="4">
        <f t="shared" si="7"/>
        <v>7</v>
      </c>
      <c r="F113" s="3">
        <f t="shared" si="11"/>
        <v>8</v>
      </c>
      <c r="G113" s="3">
        <f t="shared" si="11"/>
        <v>14</v>
      </c>
      <c r="H113" s="5">
        <f t="shared" si="8"/>
        <v>6</v>
      </c>
      <c r="I113" s="5">
        <f t="shared" si="9"/>
        <v>1</v>
      </c>
    </row>
    <row r="114" spans="1:9" x14ac:dyDescent="0.35">
      <c r="A114" s="2" t="str">
        <f t="shared" si="0"/>
        <v>R5I</v>
      </c>
      <c r="B114" s="2" t="s">
        <v>36</v>
      </c>
      <c r="C114" s="2" t="s">
        <v>8</v>
      </c>
      <c r="D114" s="2" t="s">
        <v>5</v>
      </c>
      <c r="E114" s="4">
        <f t="shared" si="7"/>
        <v>24</v>
      </c>
      <c r="F114" s="3">
        <f t="shared" si="11"/>
        <v>9</v>
      </c>
      <c r="G114" s="3">
        <f t="shared" si="11"/>
        <v>6</v>
      </c>
      <c r="H114" s="5">
        <f t="shared" si="8"/>
        <v>-3</v>
      </c>
      <c r="I114" s="5">
        <f t="shared" si="9"/>
        <v>27</v>
      </c>
    </row>
    <row r="115" spans="1:9" x14ac:dyDescent="0.35">
      <c r="A115" s="2" t="str">
        <f t="shared" si="0"/>
        <v>R5J</v>
      </c>
      <c r="B115" s="2" t="s">
        <v>36</v>
      </c>
      <c r="C115" s="2" t="s">
        <v>9</v>
      </c>
      <c r="D115" s="2" t="s">
        <v>19</v>
      </c>
      <c r="E115" s="4">
        <f t="shared" si="7"/>
        <v>11</v>
      </c>
      <c r="F115" s="3">
        <f t="shared" si="11"/>
        <v>10</v>
      </c>
      <c r="G115" s="3">
        <f t="shared" si="11"/>
        <v>20</v>
      </c>
      <c r="H115" s="5">
        <f t="shared" si="8"/>
        <v>10</v>
      </c>
      <c r="I115" s="5">
        <f t="shared" si="9"/>
        <v>1</v>
      </c>
    </row>
    <row r="116" spans="1:9" x14ac:dyDescent="0.35">
      <c r="A116" s="2" t="str">
        <f t="shared" si="0"/>
        <v>R5K</v>
      </c>
      <c r="B116" s="2" t="s">
        <v>36</v>
      </c>
      <c r="C116" s="2" t="s">
        <v>10</v>
      </c>
      <c r="D116" s="2" t="s">
        <v>25</v>
      </c>
      <c r="E116" s="4">
        <f t="shared" si="7"/>
        <v>16</v>
      </c>
      <c r="F116" s="3">
        <f t="shared" si="11"/>
        <v>11</v>
      </c>
      <c r="G116" s="3">
        <f t="shared" si="11"/>
        <v>26</v>
      </c>
      <c r="H116" s="5">
        <f t="shared" si="8"/>
        <v>15</v>
      </c>
      <c r="I116" s="5">
        <f t="shared" si="9"/>
        <v>1</v>
      </c>
    </row>
    <row r="117" spans="1:9" x14ac:dyDescent="0.35">
      <c r="A117" s="2" t="str">
        <f t="shared" si="0"/>
        <v>R5L</v>
      </c>
      <c r="B117" s="2" t="s">
        <v>36</v>
      </c>
      <c r="C117" s="2" t="s">
        <v>11</v>
      </c>
      <c r="D117" s="2" t="s">
        <v>14</v>
      </c>
      <c r="E117" s="4">
        <f t="shared" si="7"/>
        <v>4</v>
      </c>
      <c r="F117" s="3">
        <f t="shared" si="11"/>
        <v>12</v>
      </c>
      <c r="G117" s="3">
        <f t="shared" si="11"/>
        <v>15</v>
      </c>
      <c r="H117" s="5">
        <f t="shared" si="8"/>
        <v>3</v>
      </c>
      <c r="I117" s="5">
        <f t="shared" si="9"/>
        <v>1</v>
      </c>
    </row>
    <row r="118" spans="1:9" x14ac:dyDescent="0.35">
      <c r="A118" s="2" t="str">
        <f t="shared" si="0"/>
        <v>R5M</v>
      </c>
      <c r="B118" s="2" t="s">
        <v>36</v>
      </c>
      <c r="C118" s="2" t="s">
        <v>12</v>
      </c>
      <c r="D118" s="2" t="s">
        <v>18</v>
      </c>
      <c r="E118" s="4">
        <f t="shared" si="7"/>
        <v>7</v>
      </c>
      <c r="F118" s="3">
        <f t="shared" si="11"/>
        <v>13</v>
      </c>
      <c r="G118" s="3">
        <f t="shared" si="11"/>
        <v>19</v>
      </c>
      <c r="H118" s="5">
        <f t="shared" si="8"/>
        <v>6</v>
      </c>
      <c r="I118" s="5">
        <f t="shared" si="9"/>
        <v>1</v>
      </c>
    </row>
    <row r="119" spans="1:9" x14ac:dyDescent="0.35">
      <c r="A119" s="2" t="str">
        <f t="shared" si="0"/>
        <v>R5N</v>
      </c>
      <c r="B119" s="2" t="s">
        <v>36</v>
      </c>
      <c r="C119" s="2" t="s">
        <v>13</v>
      </c>
      <c r="D119" s="2" t="s">
        <v>12</v>
      </c>
      <c r="E119" s="4">
        <f t="shared" si="7"/>
        <v>26</v>
      </c>
      <c r="F119" s="3">
        <f t="shared" si="11"/>
        <v>14</v>
      </c>
      <c r="G119" s="3">
        <f t="shared" si="11"/>
        <v>13</v>
      </c>
      <c r="H119" s="5">
        <f t="shared" si="8"/>
        <v>-1</v>
      </c>
      <c r="I119" s="5">
        <f t="shared" si="9"/>
        <v>27</v>
      </c>
    </row>
    <row r="120" spans="1:9" x14ac:dyDescent="0.35">
      <c r="A120" s="2" t="str">
        <f t="shared" si="0"/>
        <v>R5O</v>
      </c>
      <c r="B120" s="2" t="s">
        <v>36</v>
      </c>
      <c r="C120" s="2" t="s">
        <v>14</v>
      </c>
      <c r="D120" s="2" t="s">
        <v>21</v>
      </c>
      <c r="E120" s="4">
        <f t="shared" si="7"/>
        <v>8</v>
      </c>
      <c r="F120" s="3">
        <f t="shared" si="11"/>
        <v>15</v>
      </c>
      <c r="G120" s="3">
        <f t="shared" si="11"/>
        <v>22</v>
      </c>
      <c r="H120" s="5">
        <f t="shared" si="8"/>
        <v>7</v>
      </c>
      <c r="I120" s="5">
        <f t="shared" si="9"/>
        <v>1</v>
      </c>
    </row>
    <row r="121" spans="1:9" x14ac:dyDescent="0.35">
      <c r="A121" s="2" t="str">
        <f t="shared" si="0"/>
        <v>R5P</v>
      </c>
      <c r="B121" s="2" t="s">
        <v>36</v>
      </c>
      <c r="C121" s="2" t="s">
        <v>15</v>
      </c>
      <c r="D121" s="2" t="s">
        <v>9</v>
      </c>
      <c r="E121" s="4">
        <f t="shared" si="7"/>
        <v>21</v>
      </c>
      <c r="F121" s="3">
        <f t="shared" si="11"/>
        <v>16</v>
      </c>
      <c r="G121" s="3">
        <f t="shared" si="11"/>
        <v>10</v>
      </c>
      <c r="H121" s="5">
        <f t="shared" si="8"/>
        <v>-6</v>
      </c>
      <c r="I121" s="5">
        <f t="shared" si="9"/>
        <v>27</v>
      </c>
    </row>
    <row r="122" spans="1:9" x14ac:dyDescent="0.35">
      <c r="A122" s="2" t="str">
        <f t="shared" si="0"/>
        <v>R5Q</v>
      </c>
      <c r="B122" s="2" t="s">
        <v>36</v>
      </c>
      <c r="C122" s="2" t="s">
        <v>16</v>
      </c>
      <c r="D122" s="2" t="s">
        <v>20</v>
      </c>
      <c r="E122" s="4">
        <f t="shared" si="7"/>
        <v>5</v>
      </c>
      <c r="F122" s="3">
        <f t="shared" si="11"/>
        <v>17</v>
      </c>
      <c r="G122" s="3">
        <f t="shared" si="11"/>
        <v>21</v>
      </c>
      <c r="H122" s="5">
        <f t="shared" si="8"/>
        <v>4</v>
      </c>
      <c r="I122" s="5">
        <f t="shared" si="9"/>
        <v>1</v>
      </c>
    </row>
    <row r="123" spans="1:9" x14ac:dyDescent="0.35">
      <c r="A123" s="2" t="str">
        <f t="shared" si="0"/>
        <v>R5R</v>
      </c>
      <c r="B123" s="2" t="s">
        <v>36</v>
      </c>
      <c r="C123" s="2" t="s">
        <v>17</v>
      </c>
      <c r="D123" s="2" t="s">
        <v>3</v>
      </c>
      <c r="E123" s="4">
        <f t="shared" si="7"/>
        <v>13</v>
      </c>
      <c r="F123" s="3">
        <f t="shared" si="11"/>
        <v>18</v>
      </c>
      <c r="G123" s="3">
        <f t="shared" si="11"/>
        <v>4</v>
      </c>
      <c r="H123" s="5">
        <f t="shared" si="8"/>
        <v>-14</v>
      </c>
      <c r="I123" s="5">
        <f t="shared" si="9"/>
        <v>27</v>
      </c>
    </row>
    <row r="124" spans="1:9" x14ac:dyDescent="0.35">
      <c r="A124" s="2" t="str">
        <f t="shared" si="0"/>
        <v>R5S</v>
      </c>
      <c r="B124" s="2" t="s">
        <v>36</v>
      </c>
      <c r="C124" s="2" t="s">
        <v>18</v>
      </c>
      <c r="D124" s="2" t="s">
        <v>10</v>
      </c>
      <c r="E124" s="4">
        <f t="shared" si="7"/>
        <v>19</v>
      </c>
      <c r="F124" s="3">
        <f t="shared" si="11"/>
        <v>19</v>
      </c>
      <c r="G124" s="3">
        <f t="shared" si="11"/>
        <v>11</v>
      </c>
      <c r="H124" s="5">
        <f t="shared" si="8"/>
        <v>-8</v>
      </c>
      <c r="I124" s="5">
        <f t="shared" si="9"/>
        <v>27</v>
      </c>
    </row>
    <row r="125" spans="1:9" x14ac:dyDescent="0.35">
      <c r="A125" s="2" t="str">
        <f t="shared" si="0"/>
        <v>R5T</v>
      </c>
      <c r="B125" s="2" t="s">
        <v>36</v>
      </c>
      <c r="C125" s="2" t="s">
        <v>19</v>
      </c>
      <c r="D125" s="2" t="s">
        <v>6</v>
      </c>
      <c r="E125" s="4">
        <f t="shared" si="7"/>
        <v>14</v>
      </c>
      <c r="F125" s="3">
        <f t="shared" si="11"/>
        <v>20</v>
      </c>
      <c r="G125" s="3">
        <f t="shared" si="11"/>
        <v>7</v>
      </c>
      <c r="H125" s="5">
        <f t="shared" si="8"/>
        <v>-13</v>
      </c>
      <c r="I125" s="5">
        <f t="shared" si="9"/>
        <v>27</v>
      </c>
    </row>
    <row r="126" spans="1:9" x14ac:dyDescent="0.35">
      <c r="A126" s="2" t="str">
        <f t="shared" si="0"/>
        <v>R5U</v>
      </c>
      <c r="B126" s="2" t="s">
        <v>36</v>
      </c>
      <c r="C126" s="2" t="s">
        <v>20</v>
      </c>
      <c r="D126" s="2" t="s">
        <v>8</v>
      </c>
      <c r="E126" s="4">
        <f t="shared" si="7"/>
        <v>15</v>
      </c>
      <c r="F126" s="3">
        <f t="shared" si="11"/>
        <v>21</v>
      </c>
      <c r="G126" s="3">
        <f t="shared" si="11"/>
        <v>9</v>
      </c>
      <c r="H126" s="5">
        <f t="shared" si="8"/>
        <v>-12</v>
      </c>
      <c r="I126" s="5">
        <f t="shared" si="9"/>
        <v>27</v>
      </c>
    </row>
    <row r="127" spans="1:9" x14ac:dyDescent="0.35">
      <c r="A127" s="2" t="str">
        <f t="shared" si="0"/>
        <v>R5V</v>
      </c>
      <c r="B127" s="2" t="s">
        <v>36</v>
      </c>
      <c r="C127" s="2" t="s">
        <v>21</v>
      </c>
      <c r="D127" s="2" t="s">
        <v>1</v>
      </c>
      <c r="E127" s="4">
        <f t="shared" si="7"/>
        <v>6</v>
      </c>
      <c r="F127" s="3">
        <f t="shared" si="11"/>
        <v>22</v>
      </c>
      <c r="G127" s="3">
        <f t="shared" si="11"/>
        <v>1</v>
      </c>
      <c r="H127" s="5">
        <f t="shared" si="8"/>
        <v>-21</v>
      </c>
      <c r="I127" s="5">
        <f t="shared" si="9"/>
        <v>27</v>
      </c>
    </row>
    <row r="128" spans="1:9" x14ac:dyDescent="0.35">
      <c r="A128" s="2" t="str">
        <f t="shared" si="0"/>
        <v>R5W</v>
      </c>
      <c r="B128" s="2" t="s">
        <v>36</v>
      </c>
      <c r="C128" s="2" t="s">
        <v>22</v>
      </c>
      <c r="D128" s="2" t="s">
        <v>17</v>
      </c>
      <c r="E128" s="4">
        <f t="shared" si="7"/>
        <v>22</v>
      </c>
      <c r="F128" s="3">
        <f t="shared" si="11"/>
        <v>23</v>
      </c>
      <c r="G128" s="3">
        <f t="shared" si="11"/>
        <v>18</v>
      </c>
      <c r="H128" s="5">
        <f t="shared" si="8"/>
        <v>-5</v>
      </c>
      <c r="I128" s="5">
        <f t="shared" si="9"/>
        <v>27</v>
      </c>
    </row>
    <row r="129" spans="1:9" x14ac:dyDescent="0.35">
      <c r="A129" s="2" t="str">
        <f t="shared" si="0"/>
        <v>R5X</v>
      </c>
      <c r="B129" s="2" t="s">
        <v>36</v>
      </c>
      <c r="C129" s="2" t="s">
        <v>23</v>
      </c>
      <c r="D129" s="2" t="s">
        <v>15</v>
      </c>
      <c r="E129" s="4">
        <f t="shared" si="7"/>
        <v>19</v>
      </c>
      <c r="F129" s="3">
        <f t="shared" si="11"/>
        <v>24</v>
      </c>
      <c r="G129" s="3">
        <f t="shared" si="11"/>
        <v>16</v>
      </c>
      <c r="H129" s="5">
        <f t="shared" si="8"/>
        <v>-8</v>
      </c>
      <c r="I129" s="5">
        <f t="shared" si="9"/>
        <v>27</v>
      </c>
    </row>
    <row r="130" spans="1:9" x14ac:dyDescent="0.35">
      <c r="A130" s="2" t="str">
        <f t="shared" si="0"/>
        <v>R5Y</v>
      </c>
      <c r="B130" s="2" t="s">
        <v>36</v>
      </c>
      <c r="C130" s="2" t="s">
        <v>24</v>
      </c>
      <c r="D130" s="2" t="s">
        <v>7</v>
      </c>
      <c r="E130" s="4">
        <f t="shared" ref="E130:E193" si="12">H130+I130</f>
        <v>10</v>
      </c>
      <c r="F130" s="3">
        <f t="shared" si="11"/>
        <v>25</v>
      </c>
      <c r="G130" s="3">
        <f t="shared" si="11"/>
        <v>8</v>
      </c>
      <c r="H130" s="5">
        <f t="shared" ref="H130:H193" si="13">G130-F130</f>
        <v>-17</v>
      </c>
      <c r="I130" s="5">
        <f t="shared" si="9"/>
        <v>27</v>
      </c>
    </row>
    <row r="131" spans="1:9" x14ac:dyDescent="0.35">
      <c r="A131" s="2" t="str">
        <f t="shared" si="0"/>
        <v>R5Z</v>
      </c>
      <c r="B131" s="2" t="s">
        <v>36</v>
      </c>
      <c r="C131" s="2" t="s">
        <v>25</v>
      </c>
      <c r="D131" s="2" t="s">
        <v>0</v>
      </c>
      <c r="E131" s="4">
        <f t="shared" si="12"/>
        <v>3</v>
      </c>
      <c r="F131" s="3">
        <f t="shared" si="11"/>
        <v>26</v>
      </c>
      <c r="G131" s="3">
        <f t="shared" si="11"/>
        <v>2</v>
      </c>
      <c r="H131" s="5">
        <f t="shared" si="13"/>
        <v>-24</v>
      </c>
      <c r="I131" s="5">
        <f t="shared" ref="I131" si="14">IF(H131&lt;0,27,1)</f>
        <v>27</v>
      </c>
    </row>
    <row r="132" spans="1:9" x14ac:dyDescent="0.35">
      <c r="A132" s="2" t="str">
        <f t="shared" ref="A132:A261" si="15">B132&amp;C132</f>
        <v>R6A</v>
      </c>
      <c r="B132" s="2" t="s">
        <v>109</v>
      </c>
      <c r="C132" s="2" t="s">
        <v>1</v>
      </c>
      <c r="D132" s="2" t="s">
        <v>18</v>
      </c>
      <c r="E132" s="4">
        <f t="shared" si="12"/>
        <v>19</v>
      </c>
      <c r="F132" s="3">
        <f t="shared" ref="F132:F195" si="16">VLOOKUP(C132,nLet2Num,2,FALSE)</f>
        <v>1</v>
      </c>
      <c r="G132" s="3">
        <f t="shared" ref="G132:G195" si="17">VLOOKUP(D132,nLet2Num,2,FALSE)</f>
        <v>19</v>
      </c>
      <c r="H132" s="5">
        <f t="shared" si="13"/>
        <v>18</v>
      </c>
      <c r="I132" s="5">
        <f>IF(H132&lt;0,27,1)</f>
        <v>1</v>
      </c>
    </row>
    <row r="133" spans="1:9" x14ac:dyDescent="0.35">
      <c r="A133" s="2" t="str">
        <f t="shared" si="15"/>
        <v>R6B</v>
      </c>
      <c r="B133" s="2" t="s">
        <v>109</v>
      </c>
      <c r="C133" s="2" t="s">
        <v>0</v>
      </c>
      <c r="D133" s="2" t="s">
        <v>10</v>
      </c>
      <c r="E133" s="4">
        <f t="shared" si="12"/>
        <v>10</v>
      </c>
      <c r="F133" s="3">
        <f t="shared" si="16"/>
        <v>2</v>
      </c>
      <c r="G133" s="3">
        <f t="shared" si="17"/>
        <v>11</v>
      </c>
      <c r="H133" s="5">
        <f t="shared" si="13"/>
        <v>9</v>
      </c>
      <c r="I133" s="5">
        <f t="shared" ref="I133:I196" si="18">IF(H133&lt;0,27,1)</f>
        <v>1</v>
      </c>
    </row>
    <row r="134" spans="1:9" x14ac:dyDescent="0.35">
      <c r="A134" s="2" t="str">
        <f t="shared" si="15"/>
        <v>R6C</v>
      </c>
      <c r="B134" s="2" t="s">
        <v>109</v>
      </c>
      <c r="C134" s="2" t="s">
        <v>2</v>
      </c>
      <c r="D134" s="2" t="s">
        <v>23</v>
      </c>
      <c r="E134" s="4">
        <f t="shared" si="12"/>
        <v>22</v>
      </c>
      <c r="F134" s="3">
        <f t="shared" si="16"/>
        <v>3</v>
      </c>
      <c r="G134" s="3">
        <f t="shared" si="17"/>
        <v>24</v>
      </c>
      <c r="H134" s="5">
        <f t="shared" si="13"/>
        <v>21</v>
      </c>
      <c r="I134" s="5">
        <f t="shared" si="18"/>
        <v>1</v>
      </c>
    </row>
    <row r="135" spans="1:9" x14ac:dyDescent="0.35">
      <c r="A135" s="2" t="str">
        <f t="shared" si="15"/>
        <v>R6D</v>
      </c>
      <c r="B135" s="2" t="s">
        <v>109</v>
      </c>
      <c r="C135" s="2" t="s">
        <v>3</v>
      </c>
      <c r="D135" s="2" t="s">
        <v>16</v>
      </c>
      <c r="E135" s="4">
        <f t="shared" si="12"/>
        <v>14</v>
      </c>
      <c r="F135" s="3">
        <f t="shared" si="16"/>
        <v>4</v>
      </c>
      <c r="G135" s="3">
        <f t="shared" si="17"/>
        <v>17</v>
      </c>
      <c r="H135" s="5">
        <f t="shared" si="13"/>
        <v>13</v>
      </c>
      <c r="I135" s="5">
        <f t="shared" si="18"/>
        <v>1</v>
      </c>
    </row>
    <row r="136" spans="1:9" x14ac:dyDescent="0.35">
      <c r="A136" s="2" t="str">
        <f t="shared" si="15"/>
        <v>R6E</v>
      </c>
      <c r="B136" s="2" t="s">
        <v>109</v>
      </c>
      <c r="C136" s="2" t="s">
        <v>4</v>
      </c>
      <c r="D136" s="2" t="s">
        <v>11</v>
      </c>
      <c r="E136" s="4">
        <f t="shared" si="12"/>
        <v>8</v>
      </c>
      <c r="F136" s="3">
        <f t="shared" si="16"/>
        <v>5</v>
      </c>
      <c r="G136" s="3">
        <f t="shared" si="17"/>
        <v>12</v>
      </c>
      <c r="H136" s="5">
        <f t="shared" si="13"/>
        <v>7</v>
      </c>
      <c r="I136" s="5">
        <f t="shared" si="18"/>
        <v>1</v>
      </c>
    </row>
    <row r="137" spans="1:9" x14ac:dyDescent="0.35">
      <c r="A137" s="2" t="str">
        <f t="shared" si="15"/>
        <v>R6F</v>
      </c>
      <c r="B137" s="2" t="s">
        <v>109</v>
      </c>
      <c r="C137" s="2" t="s">
        <v>5</v>
      </c>
      <c r="D137" s="2" t="s">
        <v>7</v>
      </c>
      <c r="E137" s="4">
        <f t="shared" si="12"/>
        <v>3</v>
      </c>
      <c r="F137" s="3">
        <f t="shared" si="16"/>
        <v>6</v>
      </c>
      <c r="G137" s="3">
        <f t="shared" si="17"/>
        <v>8</v>
      </c>
      <c r="H137" s="5">
        <f t="shared" si="13"/>
        <v>2</v>
      </c>
      <c r="I137" s="5">
        <f t="shared" si="18"/>
        <v>1</v>
      </c>
    </row>
    <row r="138" spans="1:9" x14ac:dyDescent="0.35">
      <c r="A138" s="2" t="str">
        <f t="shared" si="15"/>
        <v>R6G</v>
      </c>
      <c r="B138" s="2" t="s">
        <v>109</v>
      </c>
      <c r="C138" s="2" t="s">
        <v>6</v>
      </c>
      <c r="D138" s="2" t="s">
        <v>2</v>
      </c>
      <c r="E138" s="4">
        <f t="shared" si="12"/>
        <v>23</v>
      </c>
      <c r="F138" s="3">
        <f t="shared" si="16"/>
        <v>7</v>
      </c>
      <c r="G138" s="3">
        <f t="shared" si="17"/>
        <v>3</v>
      </c>
      <c r="H138" s="5">
        <f t="shared" si="13"/>
        <v>-4</v>
      </c>
      <c r="I138" s="5">
        <f t="shared" si="18"/>
        <v>27</v>
      </c>
    </row>
    <row r="139" spans="1:9" x14ac:dyDescent="0.35">
      <c r="A139" s="2" t="str">
        <f t="shared" si="15"/>
        <v>R6H</v>
      </c>
      <c r="B139" s="2" t="s">
        <v>109</v>
      </c>
      <c r="C139" s="2" t="s">
        <v>7</v>
      </c>
      <c r="D139" s="2" t="s">
        <v>13</v>
      </c>
      <c r="E139" s="4">
        <f t="shared" si="12"/>
        <v>7</v>
      </c>
      <c r="F139" s="3">
        <f t="shared" si="16"/>
        <v>8</v>
      </c>
      <c r="G139" s="3">
        <f t="shared" si="17"/>
        <v>14</v>
      </c>
      <c r="H139" s="5">
        <f t="shared" si="13"/>
        <v>6</v>
      </c>
      <c r="I139" s="5">
        <f t="shared" si="18"/>
        <v>1</v>
      </c>
    </row>
    <row r="140" spans="1:9" x14ac:dyDescent="0.35">
      <c r="A140" s="2" t="str">
        <f t="shared" si="15"/>
        <v>R6I</v>
      </c>
      <c r="B140" s="2" t="s">
        <v>109</v>
      </c>
      <c r="C140" s="2" t="s">
        <v>8</v>
      </c>
      <c r="D140" s="2" t="s">
        <v>22</v>
      </c>
      <c r="E140" s="4">
        <f t="shared" si="12"/>
        <v>15</v>
      </c>
      <c r="F140" s="3">
        <f t="shared" si="16"/>
        <v>9</v>
      </c>
      <c r="G140" s="3">
        <f t="shared" si="17"/>
        <v>23</v>
      </c>
      <c r="H140" s="5">
        <f t="shared" si="13"/>
        <v>14</v>
      </c>
      <c r="I140" s="5">
        <f t="shared" si="18"/>
        <v>1</v>
      </c>
    </row>
    <row r="141" spans="1:9" x14ac:dyDescent="0.35">
      <c r="A141" s="2" t="str">
        <f t="shared" si="15"/>
        <v>R6J</v>
      </c>
      <c r="B141" s="2" t="s">
        <v>109</v>
      </c>
      <c r="C141" s="2" t="s">
        <v>9</v>
      </c>
      <c r="D141" s="2" t="s">
        <v>1</v>
      </c>
      <c r="E141" s="4">
        <f t="shared" si="12"/>
        <v>18</v>
      </c>
      <c r="F141" s="3">
        <f t="shared" si="16"/>
        <v>10</v>
      </c>
      <c r="G141" s="3">
        <f t="shared" si="17"/>
        <v>1</v>
      </c>
      <c r="H141" s="5">
        <f t="shared" si="13"/>
        <v>-9</v>
      </c>
      <c r="I141" s="5">
        <f t="shared" si="18"/>
        <v>27</v>
      </c>
    </row>
    <row r="142" spans="1:9" x14ac:dyDescent="0.35">
      <c r="A142" s="2" t="str">
        <f t="shared" si="15"/>
        <v>R6K</v>
      </c>
      <c r="B142" s="2" t="s">
        <v>109</v>
      </c>
      <c r="C142" s="2" t="s">
        <v>10</v>
      </c>
      <c r="D142" s="2" t="s">
        <v>17</v>
      </c>
      <c r="E142" s="4">
        <f t="shared" si="12"/>
        <v>8</v>
      </c>
      <c r="F142" s="3">
        <f t="shared" si="16"/>
        <v>11</v>
      </c>
      <c r="G142" s="3">
        <f t="shared" si="17"/>
        <v>18</v>
      </c>
      <c r="H142" s="5">
        <f t="shared" si="13"/>
        <v>7</v>
      </c>
      <c r="I142" s="5">
        <f t="shared" si="18"/>
        <v>1</v>
      </c>
    </row>
    <row r="143" spans="1:9" x14ac:dyDescent="0.35">
      <c r="A143" s="2" t="str">
        <f t="shared" si="15"/>
        <v>R6L</v>
      </c>
      <c r="B143" s="2" t="s">
        <v>109</v>
      </c>
      <c r="C143" s="2" t="s">
        <v>11</v>
      </c>
      <c r="D143" s="2" t="s">
        <v>21</v>
      </c>
      <c r="E143" s="4">
        <f t="shared" si="12"/>
        <v>11</v>
      </c>
      <c r="F143" s="3">
        <f t="shared" si="16"/>
        <v>12</v>
      </c>
      <c r="G143" s="3">
        <f t="shared" si="17"/>
        <v>22</v>
      </c>
      <c r="H143" s="5">
        <f t="shared" si="13"/>
        <v>10</v>
      </c>
      <c r="I143" s="5">
        <f t="shared" si="18"/>
        <v>1</v>
      </c>
    </row>
    <row r="144" spans="1:9" x14ac:dyDescent="0.35">
      <c r="A144" s="2" t="str">
        <f t="shared" si="15"/>
        <v>R6M</v>
      </c>
      <c r="B144" s="2" t="s">
        <v>109</v>
      </c>
      <c r="C144" s="2" t="s">
        <v>12</v>
      </c>
      <c r="D144" s="2" t="s">
        <v>6</v>
      </c>
      <c r="E144" s="4">
        <f t="shared" si="12"/>
        <v>21</v>
      </c>
      <c r="F144" s="3">
        <f t="shared" si="16"/>
        <v>13</v>
      </c>
      <c r="G144" s="3">
        <f t="shared" si="17"/>
        <v>7</v>
      </c>
      <c r="H144" s="5">
        <f t="shared" si="13"/>
        <v>-6</v>
      </c>
      <c r="I144" s="5">
        <f t="shared" si="18"/>
        <v>27</v>
      </c>
    </row>
    <row r="145" spans="1:9" x14ac:dyDescent="0.35">
      <c r="A145" s="2" t="str">
        <f t="shared" si="15"/>
        <v>R6N</v>
      </c>
      <c r="B145" s="2" t="s">
        <v>109</v>
      </c>
      <c r="C145" s="2" t="s">
        <v>13</v>
      </c>
      <c r="D145" s="2" t="s">
        <v>12</v>
      </c>
      <c r="E145" s="4">
        <f t="shared" si="12"/>
        <v>26</v>
      </c>
      <c r="F145" s="3">
        <f t="shared" si="16"/>
        <v>14</v>
      </c>
      <c r="G145" s="3">
        <f t="shared" si="17"/>
        <v>13</v>
      </c>
      <c r="H145" s="5">
        <f t="shared" si="13"/>
        <v>-1</v>
      </c>
      <c r="I145" s="5">
        <f t="shared" si="18"/>
        <v>27</v>
      </c>
    </row>
    <row r="146" spans="1:9" x14ac:dyDescent="0.35">
      <c r="A146" s="2" t="str">
        <f t="shared" si="15"/>
        <v>R6O</v>
      </c>
      <c r="B146" s="2" t="s">
        <v>109</v>
      </c>
      <c r="C146" s="2" t="s">
        <v>14</v>
      </c>
      <c r="D146" s="2" t="s">
        <v>4</v>
      </c>
      <c r="E146" s="4">
        <f t="shared" si="12"/>
        <v>17</v>
      </c>
      <c r="F146" s="3">
        <f t="shared" si="16"/>
        <v>15</v>
      </c>
      <c r="G146" s="3">
        <f t="shared" si="17"/>
        <v>5</v>
      </c>
      <c r="H146" s="5">
        <f t="shared" si="13"/>
        <v>-10</v>
      </c>
      <c r="I146" s="5">
        <f t="shared" si="18"/>
        <v>27</v>
      </c>
    </row>
    <row r="147" spans="1:9" x14ac:dyDescent="0.35">
      <c r="A147" s="2" t="str">
        <f t="shared" si="15"/>
        <v>R6P</v>
      </c>
      <c r="B147" s="2" t="s">
        <v>109</v>
      </c>
      <c r="C147" s="2" t="s">
        <v>15</v>
      </c>
      <c r="D147" s="2" t="s">
        <v>0</v>
      </c>
      <c r="E147" s="4">
        <f t="shared" si="12"/>
        <v>13</v>
      </c>
      <c r="F147" s="3">
        <f t="shared" si="16"/>
        <v>16</v>
      </c>
      <c r="G147" s="3">
        <f t="shared" si="17"/>
        <v>2</v>
      </c>
      <c r="H147" s="5">
        <f t="shared" si="13"/>
        <v>-14</v>
      </c>
      <c r="I147" s="5">
        <f t="shared" si="18"/>
        <v>27</v>
      </c>
    </row>
    <row r="148" spans="1:9" x14ac:dyDescent="0.35">
      <c r="A148" s="2" t="str">
        <f t="shared" si="15"/>
        <v>R6Q</v>
      </c>
      <c r="B148" s="2" t="s">
        <v>109</v>
      </c>
      <c r="C148" s="2" t="s">
        <v>16</v>
      </c>
      <c r="D148" s="2" t="s">
        <v>9</v>
      </c>
      <c r="E148" s="4">
        <f t="shared" si="12"/>
        <v>20</v>
      </c>
      <c r="F148" s="3">
        <f t="shared" si="16"/>
        <v>17</v>
      </c>
      <c r="G148" s="3">
        <f t="shared" si="17"/>
        <v>10</v>
      </c>
      <c r="H148" s="5">
        <f t="shared" si="13"/>
        <v>-7</v>
      </c>
      <c r="I148" s="5">
        <f t="shared" si="18"/>
        <v>27</v>
      </c>
    </row>
    <row r="149" spans="1:9" x14ac:dyDescent="0.35">
      <c r="A149" s="2" t="str">
        <f t="shared" si="15"/>
        <v>R6R</v>
      </c>
      <c r="B149" s="2" t="s">
        <v>109</v>
      </c>
      <c r="C149" s="2" t="s">
        <v>17</v>
      </c>
      <c r="D149" s="2" t="s">
        <v>15</v>
      </c>
      <c r="E149" s="4">
        <f t="shared" si="12"/>
        <v>25</v>
      </c>
      <c r="F149" s="3">
        <f t="shared" si="16"/>
        <v>18</v>
      </c>
      <c r="G149" s="3">
        <f t="shared" si="17"/>
        <v>16</v>
      </c>
      <c r="H149" s="5">
        <f t="shared" si="13"/>
        <v>-2</v>
      </c>
      <c r="I149" s="5">
        <f t="shared" si="18"/>
        <v>27</v>
      </c>
    </row>
    <row r="150" spans="1:9" x14ac:dyDescent="0.35">
      <c r="A150" s="2" t="str">
        <f t="shared" si="15"/>
        <v>R6S</v>
      </c>
      <c r="B150" s="2" t="s">
        <v>109</v>
      </c>
      <c r="C150" s="2" t="s">
        <v>18</v>
      </c>
      <c r="D150" s="2" t="s">
        <v>19</v>
      </c>
      <c r="E150" s="4">
        <f t="shared" si="12"/>
        <v>2</v>
      </c>
      <c r="F150" s="3">
        <f t="shared" si="16"/>
        <v>19</v>
      </c>
      <c r="G150" s="3">
        <f t="shared" si="17"/>
        <v>20</v>
      </c>
      <c r="H150" s="5">
        <f t="shared" si="13"/>
        <v>1</v>
      </c>
      <c r="I150" s="5">
        <f t="shared" si="18"/>
        <v>1</v>
      </c>
    </row>
    <row r="151" spans="1:9" x14ac:dyDescent="0.35">
      <c r="A151" s="2" t="str">
        <f t="shared" si="15"/>
        <v>R6T</v>
      </c>
      <c r="B151" s="2" t="s">
        <v>109</v>
      </c>
      <c r="C151" s="2" t="s">
        <v>19</v>
      </c>
      <c r="D151" s="2" t="s">
        <v>24</v>
      </c>
      <c r="E151" s="4">
        <f t="shared" si="12"/>
        <v>6</v>
      </c>
      <c r="F151" s="3">
        <f t="shared" si="16"/>
        <v>20</v>
      </c>
      <c r="G151" s="3">
        <f t="shared" si="17"/>
        <v>25</v>
      </c>
      <c r="H151" s="5">
        <f t="shared" si="13"/>
        <v>5</v>
      </c>
      <c r="I151" s="5">
        <f t="shared" si="18"/>
        <v>1</v>
      </c>
    </row>
    <row r="152" spans="1:9" x14ac:dyDescent="0.35">
      <c r="A152" s="2" t="str">
        <f t="shared" si="15"/>
        <v>R6U</v>
      </c>
      <c r="B152" s="2" t="s">
        <v>109</v>
      </c>
      <c r="C152" s="2" t="s">
        <v>20</v>
      </c>
      <c r="D152" s="2" t="s">
        <v>5</v>
      </c>
      <c r="E152" s="4">
        <f t="shared" si="12"/>
        <v>12</v>
      </c>
      <c r="F152" s="3">
        <f t="shared" si="16"/>
        <v>21</v>
      </c>
      <c r="G152" s="3">
        <f t="shared" si="17"/>
        <v>6</v>
      </c>
      <c r="H152" s="5">
        <f t="shared" si="13"/>
        <v>-15</v>
      </c>
      <c r="I152" s="5">
        <f t="shared" si="18"/>
        <v>27</v>
      </c>
    </row>
    <row r="153" spans="1:9" x14ac:dyDescent="0.35">
      <c r="A153" s="2" t="str">
        <f t="shared" si="15"/>
        <v>R6V</v>
      </c>
      <c r="B153" s="2" t="s">
        <v>109</v>
      </c>
      <c r="C153" s="2" t="s">
        <v>21</v>
      </c>
      <c r="D153" s="2" t="s">
        <v>3</v>
      </c>
      <c r="E153" s="4">
        <f t="shared" si="12"/>
        <v>9</v>
      </c>
      <c r="F153" s="3">
        <f t="shared" si="16"/>
        <v>22</v>
      </c>
      <c r="G153" s="3">
        <f t="shared" si="17"/>
        <v>4</v>
      </c>
      <c r="H153" s="5">
        <f t="shared" si="13"/>
        <v>-18</v>
      </c>
      <c r="I153" s="5">
        <f t="shared" si="18"/>
        <v>27</v>
      </c>
    </row>
    <row r="154" spans="1:9" x14ac:dyDescent="0.35">
      <c r="A154" s="2" t="str">
        <f t="shared" si="15"/>
        <v>R6W</v>
      </c>
      <c r="B154" s="2" t="s">
        <v>109</v>
      </c>
      <c r="C154" s="2" t="s">
        <v>22</v>
      </c>
      <c r="D154" s="2" t="s">
        <v>25</v>
      </c>
      <c r="E154" s="4">
        <f t="shared" si="12"/>
        <v>4</v>
      </c>
      <c r="F154" s="3">
        <f t="shared" si="16"/>
        <v>23</v>
      </c>
      <c r="G154" s="3">
        <f t="shared" si="17"/>
        <v>26</v>
      </c>
      <c r="H154" s="5">
        <f t="shared" si="13"/>
        <v>3</v>
      </c>
      <c r="I154" s="5">
        <f t="shared" si="18"/>
        <v>1</v>
      </c>
    </row>
    <row r="155" spans="1:9" x14ac:dyDescent="0.35">
      <c r="A155" s="2" t="str">
        <f t="shared" si="15"/>
        <v>R6X</v>
      </c>
      <c r="B155" s="2" t="s">
        <v>109</v>
      </c>
      <c r="C155" s="2" t="s">
        <v>23</v>
      </c>
      <c r="D155" s="2" t="s">
        <v>20</v>
      </c>
      <c r="E155" s="4">
        <f t="shared" si="12"/>
        <v>24</v>
      </c>
      <c r="F155" s="3">
        <f t="shared" si="16"/>
        <v>24</v>
      </c>
      <c r="G155" s="3">
        <f t="shared" si="17"/>
        <v>21</v>
      </c>
      <c r="H155" s="5">
        <f t="shared" si="13"/>
        <v>-3</v>
      </c>
      <c r="I155" s="5">
        <f t="shared" si="18"/>
        <v>27</v>
      </c>
    </row>
    <row r="156" spans="1:9" x14ac:dyDescent="0.35">
      <c r="A156" s="2" t="str">
        <f t="shared" si="15"/>
        <v>R6Y</v>
      </c>
      <c r="B156" s="2" t="s">
        <v>109</v>
      </c>
      <c r="C156" s="2" t="s">
        <v>24</v>
      </c>
      <c r="D156" s="2" t="s">
        <v>8</v>
      </c>
      <c r="E156" s="4">
        <f t="shared" si="12"/>
        <v>11</v>
      </c>
      <c r="F156" s="3">
        <f t="shared" si="16"/>
        <v>25</v>
      </c>
      <c r="G156" s="3">
        <f t="shared" si="17"/>
        <v>9</v>
      </c>
      <c r="H156" s="5">
        <f t="shared" si="13"/>
        <v>-16</v>
      </c>
      <c r="I156" s="5">
        <f t="shared" si="18"/>
        <v>27</v>
      </c>
    </row>
    <row r="157" spans="1:9" x14ac:dyDescent="0.35">
      <c r="A157" s="2" t="str">
        <f t="shared" si="15"/>
        <v>R6Z</v>
      </c>
      <c r="B157" s="2" t="s">
        <v>109</v>
      </c>
      <c r="C157" s="2" t="s">
        <v>25</v>
      </c>
      <c r="D157" s="2" t="s">
        <v>14</v>
      </c>
      <c r="E157" s="4">
        <f t="shared" si="12"/>
        <v>16</v>
      </c>
      <c r="F157" s="3">
        <f t="shared" si="16"/>
        <v>26</v>
      </c>
      <c r="G157" s="3">
        <f t="shared" si="17"/>
        <v>15</v>
      </c>
      <c r="H157" s="5">
        <f t="shared" si="13"/>
        <v>-11</v>
      </c>
      <c r="I157" s="5">
        <f t="shared" si="18"/>
        <v>27</v>
      </c>
    </row>
    <row r="158" spans="1:9" x14ac:dyDescent="0.35">
      <c r="A158" s="2" t="str">
        <f t="shared" si="15"/>
        <v>R7A</v>
      </c>
      <c r="B158" s="2" t="s">
        <v>110</v>
      </c>
      <c r="C158" s="2" t="s">
        <v>1</v>
      </c>
      <c r="D158" s="2" t="s">
        <v>16</v>
      </c>
      <c r="E158" s="4">
        <f t="shared" si="12"/>
        <v>17</v>
      </c>
      <c r="F158" s="3">
        <f t="shared" si="16"/>
        <v>1</v>
      </c>
      <c r="G158" s="3">
        <f t="shared" si="17"/>
        <v>17</v>
      </c>
      <c r="H158" s="5">
        <f t="shared" si="13"/>
        <v>16</v>
      </c>
      <c r="I158" s="5">
        <f t="shared" si="18"/>
        <v>1</v>
      </c>
    </row>
    <row r="159" spans="1:9" x14ac:dyDescent="0.35">
      <c r="A159" s="2" t="str">
        <f t="shared" si="15"/>
        <v>R7B</v>
      </c>
      <c r="B159" s="2" t="s">
        <v>110</v>
      </c>
      <c r="C159" s="2" t="s">
        <v>0</v>
      </c>
      <c r="D159" s="2" t="s">
        <v>12</v>
      </c>
      <c r="E159" s="4">
        <f t="shared" si="12"/>
        <v>12</v>
      </c>
      <c r="F159" s="3">
        <f t="shared" si="16"/>
        <v>2</v>
      </c>
      <c r="G159" s="3">
        <f t="shared" si="17"/>
        <v>13</v>
      </c>
      <c r="H159" s="5">
        <f t="shared" si="13"/>
        <v>11</v>
      </c>
      <c r="I159" s="5">
        <f t="shared" si="18"/>
        <v>1</v>
      </c>
    </row>
    <row r="160" spans="1:9" x14ac:dyDescent="0.35">
      <c r="A160" s="2" t="str">
        <f t="shared" si="15"/>
        <v>R7C</v>
      </c>
      <c r="B160" s="2" t="s">
        <v>110</v>
      </c>
      <c r="C160" s="2" t="s">
        <v>2</v>
      </c>
      <c r="D160" s="2" t="s">
        <v>6</v>
      </c>
      <c r="E160" s="4">
        <f t="shared" si="12"/>
        <v>5</v>
      </c>
      <c r="F160" s="3">
        <f t="shared" si="16"/>
        <v>3</v>
      </c>
      <c r="G160" s="3">
        <f t="shared" si="17"/>
        <v>7</v>
      </c>
      <c r="H160" s="5">
        <f t="shared" si="13"/>
        <v>4</v>
      </c>
      <c r="I160" s="5">
        <f t="shared" si="18"/>
        <v>1</v>
      </c>
    </row>
    <row r="161" spans="1:9" x14ac:dyDescent="0.35">
      <c r="A161" s="2" t="str">
        <f t="shared" si="15"/>
        <v>R7D</v>
      </c>
      <c r="B161" s="2" t="s">
        <v>110</v>
      </c>
      <c r="C161" s="2" t="s">
        <v>3</v>
      </c>
      <c r="D161" s="2" t="s">
        <v>24</v>
      </c>
      <c r="E161" s="4">
        <f t="shared" si="12"/>
        <v>22</v>
      </c>
      <c r="F161" s="3">
        <f t="shared" si="16"/>
        <v>4</v>
      </c>
      <c r="G161" s="3">
        <f t="shared" si="17"/>
        <v>25</v>
      </c>
      <c r="H161" s="5">
        <f t="shared" si="13"/>
        <v>21</v>
      </c>
      <c r="I161" s="5">
        <f t="shared" si="18"/>
        <v>1</v>
      </c>
    </row>
    <row r="162" spans="1:9" x14ac:dyDescent="0.35">
      <c r="A162" s="2" t="str">
        <f t="shared" si="15"/>
        <v>R7E</v>
      </c>
      <c r="B162" s="2" t="s">
        <v>110</v>
      </c>
      <c r="C162" s="2" t="s">
        <v>4</v>
      </c>
      <c r="D162" s="2" t="s">
        <v>21</v>
      </c>
      <c r="E162" s="4">
        <f t="shared" si="12"/>
        <v>18</v>
      </c>
      <c r="F162" s="3">
        <f t="shared" si="16"/>
        <v>5</v>
      </c>
      <c r="G162" s="3">
        <f t="shared" si="17"/>
        <v>22</v>
      </c>
      <c r="H162" s="5">
        <f t="shared" si="13"/>
        <v>17</v>
      </c>
      <c r="I162" s="5">
        <f t="shared" si="18"/>
        <v>1</v>
      </c>
    </row>
    <row r="163" spans="1:9" x14ac:dyDescent="0.35">
      <c r="A163" s="2" t="str">
        <f t="shared" si="15"/>
        <v>R7F</v>
      </c>
      <c r="B163" s="2" t="s">
        <v>110</v>
      </c>
      <c r="C163" s="2" t="s">
        <v>5</v>
      </c>
      <c r="D163" s="2" t="s">
        <v>15</v>
      </c>
      <c r="E163" s="4">
        <f t="shared" si="12"/>
        <v>11</v>
      </c>
      <c r="F163" s="3">
        <f t="shared" si="16"/>
        <v>6</v>
      </c>
      <c r="G163" s="3">
        <f t="shared" si="17"/>
        <v>16</v>
      </c>
      <c r="H163" s="5">
        <f t="shared" si="13"/>
        <v>10</v>
      </c>
      <c r="I163" s="5">
        <f t="shared" si="18"/>
        <v>1</v>
      </c>
    </row>
    <row r="164" spans="1:9" x14ac:dyDescent="0.35">
      <c r="A164" s="2" t="str">
        <f t="shared" si="15"/>
        <v>R7G</v>
      </c>
      <c r="B164" s="2" t="s">
        <v>110</v>
      </c>
      <c r="C164" s="2" t="s">
        <v>6</v>
      </c>
      <c r="D164" s="2" t="s">
        <v>4</v>
      </c>
      <c r="E164" s="4">
        <f t="shared" si="12"/>
        <v>25</v>
      </c>
      <c r="F164" s="3">
        <f t="shared" si="16"/>
        <v>7</v>
      </c>
      <c r="G164" s="3">
        <f t="shared" si="17"/>
        <v>5</v>
      </c>
      <c r="H164" s="5">
        <f t="shared" si="13"/>
        <v>-2</v>
      </c>
      <c r="I164" s="5">
        <f t="shared" si="18"/>
        <v>27</v>
      </c>
    </row>
    <row r="165" spans="1:9" x14ac:dyDescent="0.35">
      <c r="A165" s="2" t="str">
        <f t="shared" si="15"/>
        <v>R7H</v>
      </c>
      <c r="B165" s="2" t="s">
        <v>110</v>
      </c>
      <c r="C165" s="2" t="s">
        <v>7</v>
      </c>
      <c r="D165" s="2" t="s">
        <v>3</v>
      </c>
      <c r="E165" s="4">
        <f t="shared" si="12"/>
        <v>23</v>
      </c>
      <c r="F165" s="3">
        <f t="shared" si="16"/>
        <v>8</v>
      </c>
      <c r="G165" s="3">
        <f t="shared" si="17"/>
        <v>4</v>
      </c>
      <c r="H165" s="5">
        <f t="shared" si="13"/>
        <v>-4</v>
      </c>
      <c r="I165" s="5">
        <f t="shared" si="18"/>
        <v>27</v>
      </c>
    </row>
    <row r="166" spans="1:9" x14ac:dyDescent="0.35">
      <c r="A166" s="2" t="str">
        <f t="shared" si="15"/>
        <v>R7I</v>
      </c>
      <c r="B166" s="2" t="s">
        <v>110</v>
      </c>
      <c r="C166" s="2" t="s">
        <v>8</v>
      </c>
      <c r="D166" s="2" t="s">
        <v>17</v>
      </c>
      <c r="E166" s="4">
        <f t="shared" si="12"/>
        <v>10</v>
      </c>
      <c r="F166" s="3">
        <f t="shared" si="16"/>
        <v>9</v>
      </c>
      <c r="G166" s="3">
        <f t="shared" si="17"/>
        <v>18</v>
      </c>
      <c r="H166" s="5">
        <f t="shared" si="13"/>
        <v>9</v>
      </c>
      <c r="I166" s="5">
        <f t="shared" si="18"/>
        <v>1</v>
      </c>
    </row>
    <row r="167" spans="1:9" x14ac:dyDescent="0.35">
      <c r="A167" s="2" t="str">
        <f t="shared" si="15"/>
        <v>R7J</v>
      </c>
      <c r="B167" s="2" t="s">
        <v>110</v>
      </c>
      <c r="C167" s="2" t="s">
        <v>9</v>
      </c>
      <c r="D167" s="2" t="s">
        <v>2</v>
      </c>
      <c r="E167" s="4">
        <f t="shared" si="12"/>
        <v>20</v>
      </c>
      <c r="F167" s="3">
        <f t="shared" si="16"/>
        <v>10</v>
      </c>
      <c r="G167" s="3">
        <f t="shared" si="17"/>
        <v>3</v>
      </c>
      <c r="H167" s="5">
        <f t="shared" si="13"/>
        <v>-7</v>
      </c>
      <c r="I167" s="5">
        <f t="shared" si="18"/>
        <v>27</v>
      </c>
    </row>
    <row r="168" spans="1:9" x14ac:dyDescent="0.35">
      <c r="A168" s="2" t="str">
        <f t="shared" si="15"/>
        <v>R7K</v>
      </c>
      <c r="B168" s="2" t="s">
        <v>110</v>
      </c>
      <c r="C168" s="2" t="s">
        <v>10</v>
      </c>
      <c r="D168" s="2" t="s">
        <v>22</v>
      </c>
      <c r="E168" s="4">
        <f t="shared" si="12"/>
        <v>13</v>
      </c>
      <c r="F168" s="3">
        <f t="shared" si="16"/>
        <v>11</v>
      </c>
      <c r="G168" s="3">
        <f t="shared" si="17"/>
        <v>23</v>
      </c>
      <c r="H168" s="5">
        <f t="shared" si="13"/>
        <v>12</v>
      </c>
      <c r="I168" s="5">
        <f t="shared" si="18"/>
        <v>1</v>
      </c>
    </row>
    <row r="169" spans="1:9" x14ac:dyDescent="0.35">
      <c r="A169" s="2" t="str">
        <f t="shared" si="15"/>
        <v>R7L</v>
      </c>
      <c r="B169" s="2" t="s">
        <v>110</v>
      </c>
      <c r="C169" s="2" t="s">
        <v>11</v>
      </c>
      <c r="D169" s="2" t="s">
        <v>19</v>
      </c>
      <c r="E169" s="4">
        <f t="shared" si="12"/>
        <v>9</v>
      </c>
      <c r="F169" s="3">
        <f t="shared" si="16"/>
        <v>12</v>
      </c>
      <c r="G169" s="3">
        <f t="shared" si="17"/>
        <v>20</v>
      </c>
      <c r="H169" s="5">
        <f t="shared" si="13"/>
        <v>8</v>
      </c>
      <c r="I169" s="5">
        <f t="shared" si="18"/>
        <v>1</v>
      </c>
    </row>
    <row r="170" spans="1:9" x14ac:dyDescent="0.35">
      <c r="A170" s="2" t="str">
        <f t="shared" si="15"/>
        <v>R7M</v>
      </c>
      <c r="B170" s="2" t="s">
        <v>110</v>
      </c>
      <c r="C170" s="2" t="s">
        <v>12</v>
      </c>
      <c r="D170" s="2" t="s">
        <v>8</v>
      </c>
      <c r="E170" s="4">
        <f t="shared" si="12"/>
        <v>23</v>
      </c>
      <c r="F170" s="3">
        <f t="shared" si="16"/>
        <v>13</v>
      </c>
      <c r="G170" s="3">
        <f t="shared" si="17"/>
        <v>9</v>
      </c>
      <c r="H170" s="5">
        <f t="shared" si="13"/>
        <v>-4</v>
      </c>
      <c r="I170" s="5">
        <f t="shared" si="18"/>
        <v>27</v>
      </c>
    </row>
    <row r="171" spans="1:9" x14ac:dyDescent="0.35">
      <c r="A171" s="2" t="str">
        <f t="shared" si="15"/>
        <v>R7N</v>
      </c>
      <c r="B171" s="2" t="s">
        <v>110</v>
      </c>
      <c r="C171" s="2" t="s">
        <v>13</v>
      </c>
      <c r="D171" s="2" t="s">
        <v>1</v>
      </c>
      <c r="E171" s="4">
        <f t="shared" si="12"/>
        <v>14</v>
      </c>
      <c r="F171" s="3">
        <f t="shared" si="16"/>
        <v>14</v>
      </c>
      <c r="G171" s="3">
        <f t="shared" si="17"/>
        <v>1</v>
      </c>
      <c r="H171" s="5">
        <f t="shared" si="13"/>
        <v>-13</v>
      </c>
      <c r="I171" s="5">
        <f t="shared" si="18"/>
        <v>27</v>
      </c>
    </row>
    <row r="172" spans="1:9" x14ac:dyDescent="0.35">
      <c r="A172" s="2" t="str">
        <f t="shared" si="15"/>
        <v>R7O</v>
      </c>
      <c r="B172" s="2" t="s">
        <v>110</v>
      </c>
      <c r="C172" s="2" t="s">
        <v>14</v>
      </c>
      <c r="D172" s="2" t="s">
        <v>13</v>
      </c>
      <c r="E172" s="4">
        <f t="shared" si="12"/>
        <v>26</v>
      </c>
      <c r="F172" s="3">
        <f t="shared" si="16"/>
        <v>15</v>
      </c>
      <c r="G172" s="3">
        <f t="shared" si="17"/>
        <v>14</v>
      </c>
      <c r="H172" s="5">
        <f t="shared" si="13"/>
        <v>-1</v>
      </c>
      <c r="I172" s="5">
        <f t="shared" si="18"/>
        <v>27</v>
      </c>
    </row>
    <row r="173" spans="1:9" x14ac:dyDescent="0.35">
      <c r="A173" s="2" t="str">
        <f t="shared" si="15"/>
        <v>R7P</v>
      </c>
      <c r="B173" s="2" t="s">
        <v>110</v>
      </c>
      <c r="C173" s="2" t="s">
        <v>15</v>
      </c>
      <c r="D173" s="2" t="s">
        <v>20</v>
      </c>
      <c r="E173" s="4">
        <f t="shared" si="12"/>
        <v>6</v>
      </c>
      <c r="F173" s="3">
        <f t="shared" si="16"/>
        <v>16</v>
      </c>
      <c r="G173" s="3">
        <f t="shared" si="17"/>
        <v>21</v>
      </c>
      <c r="H173" s="5">
        <f t="shared" si="13"/>
        <v>5</v>
      </c>
      <c r="I173" s="5">
        <f t="shared" si="18"/>
        <v>1</v>
      </c>
    </row>
    <row r="174" spans="1:9" x14ac:dyDescent="0.35">
      <c r="A174" s="2" t="str">
        <f t="shared" si="15"/>
        <v>R7Q</v>
      </c>
      <c r="B174" s="2" t="s">
        <v>110</v>
      </c>
      <c r="C174" s="2" t="s">
        <v>16</v>
      </c>
      <c r="D174" s="2" t="s">
        <v>23</v>
      </c>
      <c r="E174" s="4">
        <f t="shared" si="12"/>
        <v>8</v>
      </c>
      <c r="F174" s="3">
        <f t="shared" si="16"/>
        <v>17</v>
      </c>
      <c r="G174" s="3">
        <f t="shared" si="17"/>
        <v>24</v>
      </c>
      <c r="H174" s="5">
        <f t="shared" si="13"/>
        <v>7</v>
      </c>
      <c r="I174" s="5">
        <f t="shared" si="18"/>
        <v>1</v>
      </c>
    </row>
    <row r="175" spans="1:9" x14ac:dyDescent="0.35">
      <c r="A175" s="2" t="str">
        <f t="shared" si="15"/>
        <v>R7R</v>
      </c>
      <c r="B175" s="2" t="s">
        <v>110</v>
      </c>
      <c r="C175" s="2" t="s">
        <v>17</v>
      </c>
      <c r="D175" s="2" t="s">
        <v>5</v>
      </c>
      <c r="E175" s="4">
        <f t="shared" si="12"/>
        <v>15</v>
      </c>
      <c r="F175" s="3">
        <f t="shared" si="16"/>
        <v>18</v>
      </c>
      <c r="G175" s="3">
        <f t="shared" si="17"/>
        <v>6</v>
      </c>
      <c r="H175" s="5">
        <f t="shared" si="13"/>
        <v>-12</v>
      </c>
      <c r="I175" s="5">
        <f t="shared" si="18"/>
        <v>27</v>
      </c>
    </row>
    <row r="176" spans="1:9" x14ac:dyDescent="0.35">
      <c r="A176" s="2" t="str">
        <f t="shared" si="15"/>
        <v>R7S</v>
      </c>
      <c r="B176" s="2" t="s">
        <v>110</v>
      </c>
      <c r="C176" s="2" t="s">
        <v>18</v>
      </c>
      <c r="D176" s="2" t="s">
        <v>10</v>
      </c>
      <c r="E176" s="4">
        <f t="shared" si="12"/>
        <v>19</v>
      </c>
      <c r="F176" s="3">
        <f t="shared" si="16"/>
        <v>19</v>
      </c>
      <c r="G176" s="3">
        <f t="shared" si="17"/>
        <v>11</v>
      </c>
      <c r="H176" s="5">
        <f t="shared" si="13"/>
        <v>-8</v>
      </c>
      <c r="I176" s="5">
        <f t="shared" si="18"/>
        <v>27</v>
      </c>
    </row>
    <row r="177" spans="1:9" x14ac:dyDescent="0.35">
      <c r="A177" s="2" t="str">
        <f t="shared" si="15"/>
        <v>R7T</v>
      </c>
      <c r="B177" s="2" t="s">
        <v>110</v>
      </c>
      <c r="C177" s="2" t="s">
        <v>19</v>
      </c>
      <c r="D177" s="2" t="s">
        <v>25</v>
      </c>
      <c r="E177" s="4">
        <f t="shared" si="12"/>
        <v>7</v>
      </c>
      <c r="F177" s="3">
        <f t="shared" si="16"/>
        <v>20</v>
      </c>
      <c r="G177" s="3">
        <f t="shared" si="17"/>
        <v>26</v>
      </c>
      <c r="H177" s="5">
        <f t="shared" si="13"/>
        <v>6</v>
      </c>
      <c r="I177" s="5">
        <f t="shared" si="18"/>
        <v>1</v>
      </c>
    </row>
    <row r="178" spans="1:9" x14ac:dyDescent="0.35">
      <c r="A178" s="2" t="str">
        <f t="shared" si="15"/>
        <v>R7U</v>
      </c>
      <c r="B178" s="2" t="s">
        <v>110</v>
      </c>
      <c r="C178" s="2" t="s">
        <v>20</v>
      </c>
      <c r="D178" s="2" t="s">
        <v>14</v>
      </c>
      <c r="E178" s="4">
        <f t="shared" si="12"/>
        <v>21</v>
      </c>
      <c r="F178" s="3">
        <f t="shared" si="16"/>
        <v>21</v>
      </c>
      <c r="G178" s="3">
        <f t="shared" si="17"/>
        <v>15</v>
      </c>
      <c r="H178" s="5">
        <f t="shared" si="13"/>
        <v>-6</v>
      </c>
      <c r="I178" s="5">
        <f t="shared" si="18"/>
        <v>27</v>
      </c>
    </row>
    <row r="179" spans="1:9" x14ac:dyDescent="0.35">
      <c r="A179" s="2" t="str">
        <f t="shared" si="15"/>
        <v>R7V</v>
      </c>
      <c r="B179" s="2" t="s">
        <v>110</v>
      </c>
      <c r="C179" s="2" t="s">
        <v>21</v>
      </c>
      <c r="D179" s="2" t="s">
        <v>18</v>
      </c>
      <c r="E179" s="4">
        <f t="shared" si="12"/>
        <v>24</v>
      </c>
      <c r="F179" s="3">
        <f t="shared" si="16"/>
        <v>22</v>
      </c>
      <c r="G179" s="3">
        <f t="shared" si="17"/>
        <v>19</v>
      </c>
      <c r="H179" s="5">
        <f t="shared" si="13"/>
        <v>-3</v>
      </c>
      <c r="I179" s="5">
        <f t="shared" si="18"/>
        <v>27</v>
      </c>
    </row>
    <row r="180" spans="1:9" x14ac:dyDescent="0.35">
      <c r="A180" s="2" t="str">
        <f t="shared" si="15"/>
        <v>R7W</v>
      </c>
      <c r="B180" s="2" t="s">
        <v>110</v>
      </c>
      <c r="C180" s="2" t="s">
        <v>22</v>
      </c>
      <c r="D180" s="2" t="s">
        <v>11</v>
      </c>
      <c r="E180" s="4">
        <f t="shared" si="12"/>
        <v>16</v>
      </c>
      <c r="F180" s="3">
        <f t="shared" si="16"/>
        <v>23</v>
      </c>
      <c r="G180" s="3">
        <f t="shared" si="17"/>
        <v>12</v>
      </c>
      <c r="H180" s="5">
        <f t="shared" si="13"/>
        <v>-11</v>
      </c>
      <c r="I180" s="5">
        <f t="shared" si="18"/>
        <v>27</v>
      </c>
    </row>
    <row r="181" spans="1:9" x14ac:dyDescent="0.35">
      <c r="A181" s="2" t="str">
        <f t="shared" si="15"/>
        <v>R7X</v>
      </c>
      <c r="B181" s="2" t="s">
        <v>110</v>
      </c>
      <c r="C181" s="2" t="s">
        <v>23</v>
      </c>
      <c r="D181" s="2" t="s">
        <v>7</v>
      </c>
      <c r="E181" s="4">
        <f t="shared" si="12"/>
        <v>11</v>
      </c>
      <c r="F181" s="3">
        <f t="shared" si="16"/>
        <v>24</v>
      </c>
      <c r="G181" s="3">
        <f t="shared" si="17"/>
        <v>8</v>
      </c>
      <c r="H181" s="5">
        <f t="shared" si="13"/>
        <v>-16</v>
      </c>
      <c r="I181" s="5">
        <f t="shared" si="18"/>
        <v>27</v>
      </c>
    </row>
    <row r="182" spans="1:9" x14ac:dyDescent="0.35">
      <c r="A182" s="2" t="str">
        <f t="shared" si="15"/>
        <v>R7Y</v>
      </c>
      <c r="B182" s="2" t="s">
        <v>110</v>
      </c>
      <c r="C182" s="2" t="s">
        <v>24</v>
      </c>
      <c r="D182" s="2" t="s">
        <v>9</v>
      </c>
      <c r="E182" s="4">
        <f t="shared" si="12"/>
        <v>12</v>
      </c>
      <c r="F182" s="3">
        <f t="shared" si="16"/>
        <v>25</v>
      </c>
      <c r="G182" s="3">
        <f t="shared" si="17"/>
        <v>10</v>
      </c>
      <c r="H182" s="5">
        <f t="shared" si="13"/>
        <v>-15</v>
      </c>
      <c r="I182" s="5">
        <f t="shared" si="18"/>
        <v>27</v>
      </c>
    </row>
    <row r="183" spans="1:9" x14ac:dyDescent="0.35">
      <c r="A183" s="2" t="str">
        <f t="shared" si="15"/>
        <v>R7Z</v>
      </c>
      <c r="B183" s="2" t="s">
        <v>110</v>
      </c>
      <c r="C183" s="2" t="s">
        <v>25</v>
      </c>
      <c r="D183" s="2" t="s">
        <v>0</v>
      </c>
      <c r="E183" s="4">
        <f t="shared" si="12"/>
        <v>3</v>
      </c>
      <c r="F183" s="3">
        <f t="shared" si="16"/>
        <v>26</v>
      </c>
      <c r="G183" s="3">
        <f t="shared" si="17"/>
        <v>2</v>
      </c>
      <c r="H183" s="5">
        <f t="shared" si="13"/>
        <v>-24</v>
      </c>
      <c r="I183" s="5">
        <f t="shared" si="18"/>
        <v>27</v>
      </c>
    </row>
    <row r="184" spans="1:9" x14ac:dyDescent="0.35">
      <c r="A184" s="2" t="str">
        <f t="shared" si="15"/>
        <v>R8A</v>
      </c>
      <c r="B184" s="2" t="s">
        <v>111</v>
      </c>
      <c r="C184" s="2" t="s">
        <v>1</v>
      </c>
      <c r="D184" s="2" t="s">
        <v>16</v>
      </c>
      <c r="E184" s="4">
        <f t="shared" si="12"/>
        <v>17</v>
      </c>
      <c r="F184" s="3">
        <f t="shared" si="16"/>
        <v>1</v>
      </c>
      <c r="G184" s="3">
        <f t="shared" si="17"/>
        <v>17</v>
      </c>
      <c r="H184" s="5">
        <f t="shared" si="13"/>
        <v>16</v>
      </c>
      <c r="I184" s="5">
        <f t="shared" si="18"/>
        <v>1</v>
      </c>
    </row>
    <row r="185" spans="1:9" x14ac:dyDescent="0.35">
      <c r="A185" s="2" t="str">
        <f t="shared" si="15"/>
        <v>R8B</v>
      </c>
      <c r="B185" s="2" t="s">
        <v>111</v>
      </c>
      <c r="C185" s="2" t="s">
        <v>0</v>
      </c>
      <c r="D185" s="2" t="s">
        <v>9</v>
      </c>
      <c r="E185" s="4">
        <f t="shared" si="12"/>
        <v>9</v>
      </c>
      <c r="F185" s="3">
        <f t="shared" si="16"/>
        <v>2</v>
      </c>
      <c r="G185" s="3">
        <f t="shared" si="17"/>
        <v>10</v>
      </c>
      <c r="H185" s="5">
        <f t="shared" si="13"/>
        <v>8</v>
      </c>
      <c r="I185" s="5">
        <f t="shared" si="18"/>
        <v>1</v>
      </c>
    </row>
    <row r="186" spans="1:9" x14ac:dyDescent="0.35">
      <c r="A186" s="2" t="str">
        <f t="shared" si="15"/>
        <v>R8C</v>
      </c>
      <c r="B186" s="2" t="s">
        <v>111</v>
      </c>
      <c r="C186" s="2" t="s">
        <v>2</v>
      </c>
      <c r="D186" s="2" t="s">
        <v>8</v>
      </c>
      <c r="E186" s="4">
        <f t="shared" si="12"/>
        <v>7</v>
      </c>
      <c r="F186" s="3">
        <f t="shared" si="16"/>
        <v>3</v>
      </c>
      <c r="G186" s="3">
        <f t="shared" si="17"/>
        <v>9</v>
      </c>
      <c r="H186" s="5">
        <f t="shared" si="13"/>
        <v>6</v>
      </c>
      <c r="I186" s="5">
        <f t="shared" si="18"/>
        <v>1</v>
      </c>
    </row>
    <row r="187" spans="1:9" x14ac:dyDescent="0.35">
      <c r="A187" s="2" t="str">
        <f t="shared" si="15"/>
        <v>R8D</v>
      </c>
      <c r="B187" s="2" t="s">
        <v>111</v>
      </c>
      <c r="C187" s="2" t="s">
        <v>3</v>
      </c>
      <c r="D187" s="2" t="s">
        <v>13</v>
      </c>
      <c r="E187" s="4">
        <f t="shared" si="12"/>
        <v>11</v>
      </c>
      <c r="F187" s="3">
        <f t="shared" si="16"/>
        <v>4</v>
      </c>
      <c r="G187" s="3">
        <f t="shared" si="17"/>
        <v>14</v>
      </c>
      <c r="H187" s="5">
        <f t="shared" si="13"/>
        <v>10</v>
      </c>
      <c r="I187" s="5">
        <f t="shared" si="18"/>
        <v>1</v>
      </c>
    </row>
    <row r="188" spans="1:9" x14ac:dyDescent="0.35">
      <c r="A188" s="2" t="str">
        <f t="shared" si="15"/>
        <v>R8E</v>
      </c>
      <c r="B188" s="2" t="s">
        <v>111</v>
      </c>
      <c r="C188" s="2" t="s">
        <v>4</v>
      </c>
      <c r="D188" s="2" t="s">
        <v>18</v>
      </c>
      <c r="E188" s="4">
        <f t="shared" si="12"/>
        <v>15</v>
      </c>
      <c r="F188" s="3">
        <f t="shared" si="16"/>
        <v>5</v>
      </c>
      <c r="G188" s="3">
        <f t="shared" si="17"/>
        <v>19</v>
      </c>
      <c r="H188" s="5">
        <f t="shared" si="13"/>
        <v>14</v>
      </c>
      <c r="I188" s="5">
        <f t="shared" si="18"/>
        <v>1</v>
      </c>
    </row>
    <row r="189" spans="1:9" x14ac:dyDescent="0.35">
      <c r="A189" s="2" t="str">
        <f t="shared" si="15"/>
        <v>R8F</v>
      </c>
      <c r="B189" s="2" t="s">
        <v>111</v>
      </c>
      <c r="C189" s="2" t="s">
        <v>5</v>
      </c>
      <c r="D189" s="2" t="s">
        <v>1</v>
      </c>
      <c r="E189" s="4">
        <f t="shared" si="12"/>
        <v>22</v>
      </c>
      <c r="F189" s="3">
        <f t="shared" si="16"/>
        <v>6</v>
      </c>
      <c r="G189" s="3">
        <f t="shared" si="17"/>
        <v>1</v>
      </c>
      <c r="H189" s="5">
        <f t="shared" si="13"/>
        <v>-5</v>
      </c>
      <c r="I189" s="5">
        <f t="shared" si="18"/>
        <v>27</v>
      </c>
    </row>
    <row r="190" spans="1:9" x14ac:dyDescent="0.35">
      <c r="A190" s="2" t="str">
        <f t="shared" si="15"/>
        <v>R8G</v>
      </c>
      <c r="B190" s="2" t="s">
        <v>111</v>
      </c>
      <c r="C190" s="2" t="s">
        <v>6</v>
      </c>
      <c r="D190" s="2" t="s">
        <v>24</v>
      </c>
      <c r="E190" s="4">
        <f t="shared" si="12"/>
        <v>19</v>
      </c>
      <c r="F190" s="3">
        <f t="shared" si="16"/>
        <v>7</v>
      </c>
      <c r="G190" s="3">
        <f t="shared" si="17"/>
        <v>25</v>
      </c>
      <c r="H190" s="5">
        <f t="shared" si="13"/>
        <v>18</v>
      </c>
      <c r="I190" s="5">
        <f t="shared" si="18"/>
        <v>1</v>
      </c>
    </row>
    <row r="191" spans="1:9" x14ac:dyDescent="0.35">
      <c r="A191" s="2" t="str">
        <f t="shared" si="15"/>
        <v>R8H</v>
      </c>
      <c r="B191" s="2" t="s">
        <v>111</v>
      </c>
      <c r="C191" s="2" t="s">
        <v>7</v>
      </c>
      <c r="D191" s="2" t="s">
        <v>3</v>
      </c>
      <c r="E191" s="4">
        <f t="shared" si="12"/>
        <v>23</v>
      </c>
      <c r="F191" s="3">
        <f t="shared" si="16"/>
        <v>8</v>
      </c>
      <c r="G191" s="3">
        <f t="shared" si="17"/>
        <v>4</v>
      </c>
      <c r="H191" s="5">
        <f t="shared" si="13"/>
        <v>-4</v>
      </c>
      <c r="I191" s="5">
        <f t="shared" si="18"/>
        <v>27</v>
      </c>
    </row>
    <row r="192" spans="1:9" x14ac:dyDescent="0.35">
      <c r="A192" s="2" t="str">
        <f t="shared" si="15"/>
        <v>R8I</v>
      </c>
      <c r="B192" s="2" t="s">
        <v>111</v>
      </c>
      <c r="C192" s="2" t="s">
        <v>8</v>
      </c>
      <c r="D192" s="2" t="s">
        <v>21</v>
      </c>
      <c r="E192" s="4">
        <f t="shared" si="12"/>
        <v>14</v>
      </c>
      <c r="F192" s="3">
        <f t="shared" si="16"/>
        <v>9</v>
      </c>
      <c r="G192" s="3">
        <f t="shared" si="17"/>
        <v>22</v>
      </c>
      <c r="H192" s="5">
        <f t="shared" si="13"/>
        <v>13</v>
      </c>
      <c r="I192" s="5">
        <f t="shared" si="18"/>
        <v>1</v>
      </c>
    </row>
    <row r="193" spans="1:9" x14ac:dyDescent="0.35">
      <c r="A193" s="2" t="str">
        <f t="shared" si="15"/>
        <v>R8J</v>
      </c>
      <c r="B193" s="2" t="s">
        <v>111</v>
      </c>
      <c r="C193" s="2" t="s">
        <v>9</v>
      </c>
      <c r="D193" s="2" t="s">
        <v>10</v>
      </c>
      <c r="E193" s="4">
        <f t="shared" si="12"/>
        <v>2</v>
      </c>
      <c r="F193" s="3">
        <f t="shared" si="16"/>
        <v>10</v>
      </c>
      <c r="G193" s="3">
        <f t="shared" si="17"/>
        <v>11</v>
      </c>
      <c r="H193" s="5">
        <f t="shared" si="13"/>
        <v>1</v>
      </c>
      <c r="I193" s="5">
        <f t="shared" si="18"/>
        <v>1</v>
      </c>
    </row>
    <row r="194" spans="1:9" x14ac:dyDescent="0.35">
      <c r="A194" s="2" t="str">
        <f t="shared" si="15"/>
        <v>R8K</v>
      </c>
      <c r="B194" s="2" t="s">
        <v>111</v>
      </c>
      <c r="C194" s="2" t="s">
        <v>10</v>
      </c>
      <c r="D194" s="2" t="s">
        <v>0</v>
      </c>
      <c r="E194" s="4">
        <f t="shared" ref="E194:E257" si="19">H194+I194</f>
        <v>18</v>
      </c>
      <c r="F194" s="3">
        <f t="shared" si="16"/>
        <v>11</v>
      </c>
      <c r="G194" s="3">
        <f t="shared" si="17"/>
        <v>2</v>
      </c>
      <c r="H194" s="5">
        <f t="shared" ref="H194:H257" si="20">G194-F194</f>
        <v>-9</v>
      </c>
      <c r="I194" s="5">
        <f t="shared" si="18"/>
        <v>27</v>
      </c>
    </row>
    <row r="195" spans="1:9" x14ac:dyDescent="0.35">
      <c r="A195" s="2" t="str">
        <f t="shared" si="15"/>
        <v>R8L</v>
      </c>
      <c r="B195" s="2" t="s">
        <v>111</v>
      </c>
      <c r="C195" s="2" t="s">
        <v>11</v>
      </c>
      <c r="D195" s="2" t="s">
        <v>5</v>
      </c>
      <c r="E195" s="4">
        <f t="shared" si="19"/>
        <v>21</v>
      </c>
      <c r="F195" s="3">
        <f t="shared" si="16"/>
        <v>12</v>
      </c>
      <c r="G195" s="3">
        <f t="shared" si="17"/>
        <v>6</v>
      </c>
      <c r="H195" s="5">
        <f t="shared" si="20"/>
        <v>-6</v>
      </c>
      <c r="I195" s="5">
        <f t="shared" si="18"/>
        <v>27</v>
      </c>
    </row>
    <row r="196" spans="1:9" x14ac:dyDescent="0.35">
      <c r="A196" s="2" t="str">
        <f t="shared" si="15"/>
        <v>R8M</v>
      </c>
      <c r="B196" s="2" t="s">
        <v>111</v>
      </c>
      <c r="C196" s="2" t="s">
        <v>12</v>
      </c>
      <c r="D196" s="2" t="s">
        <v>17</v>
      </c>
      <c r="E196" s="4">
        <f t="shared" si="19"/>
        <v>6</v>
      </c>
      <c r="F196" s="3">
        <f t="shared" ref="F196:F259" si="21">VLOOKUP(C196,nLet2Num,2,FALSE)</f>
        <v>13</v>
      </c>
      <c r="G196" s="3">
        <f t="shared" ref="G196:G259" si="22">VLOOKUP(D196,nLet2Num,2,FALSE)</f>
        <v>18</v>
      </c>
      <c r="H196" s="5">
        <f t="shared" si="20"/>
        <v>5</v>
      </c>
      <c r="I196" s="5">
        <f t="shared" si="18"/>
        <v>1</v>
      </c>
    </row>
    <row r="197" spans="1:9" x14ac:dyDescent="0.35">
      <c r="A197" s="2" t="str">
        <f t="shared" si="15"/>
        <v>R8N</v>
      </c>
      <c r="B197" s="2" t="s">
        <v>111</v>
      </c>
      <c r="C197" s="2" t="s">
        <v>13</v>
      </c>
      <c r="D197" s="2" t="s">
        <v>20</v>
      </c>
      <c r="E197" s="4">
        <f t="shared" si="19"/>
        <v>8</v>
      </c>
      <c r="F197" s="3">
        <f t="shared" si="21"/>
        <v>14</v>
      </c>
      <c r="G197" s="3">
        <f t="shared" si="22"/>
        <v>21</v>
      </c>
      <c r="H197" s="5">
        <f t="shared" si="20"/>
        <v>7</v>
      </c>
      <c r="I197" s="5">
        <f t="shared" ref="I197:I260" si="23">IF(H197&lt;0,27,1)</f>
        <v>1</v>
      </c>
    </row>
    <row r="198" spans="1:9" x14ac:dyDescent="0.35">
      <c r="A198" s="2" t="str">
        <f t="shared" si="15"/>
        <v>R8O</v>
      </c>
      <c r="B198" s="2" t="s">
        <v>111</v>
      </c>
      <c r="C198" s="2" t="s">
        <v>14</v>
      </c>
      <c r="D198" s="2" t="s">
        <v>7</v>
      </c>
      <c r="E198" s="4">
        <f t="shared" si="19"/>
        <v>20</v>
      </c>
      <c r="F198" s="3">
        <f t="shared" si="21"/>
        <v>15</v>
      </c>
      <c r="G198" s="3">
        <f t="shared" si="22"/>
        <v>8</v>
      </c>
      <c r="H198" s="5">
        <f t="shared" si="20"/>
        <v>-7</v>
      </c>
      <c r="I198" s="5">
        <f t="shared" si="23"/>
        <v>27</v>
      </c>
    </row>
    <row r="199" spans="1:9" x14ac:dyDescent="0.35">
      <c r="A199" s="2" t="str">
        <f t="shared" si="15"/>
        <v>R8P</v>
      </c>
      <c r="B199" s="2" t="s">
        <v>111</v>
      </c>
      <c r="C199" s="2" t="s">
        <v>15</v>
      </c>
      <c r="D199" s="2" t="s">
        <v>12</v>
      </c>
      <c r="E199" s="4">
        <f t="shared" si="19"/>
        <v>24</v>
      </c>
      <c r="F199" s="3">
        <f t="shared" si="21"/>
        <v>16</v>
      </c>
      <c r="G199" s="3">
        <f t="shared" si="22"/>
        <v>13</v>
      </c>
      <c r="H199" s="5">
        <f t="shared" si="20"/>
        <v>-3</v>
      </c>
      <c r="I199" s="5">
        <f t="shared" si="23"/>
        <v>27</v>
      </c>
    </row>
    <row r="200" spans="1:9" x14ac:dyDescent="0.35">
      <c r="A200" s="2" t="str">
        <f t="shared" si="15"/>
        <v>R8Q</v>
      </c>
      <c r="B200" s="2" t="s">
        <v>111</v>
      </c>
      <c r="C200" s="2" t="s">
        <v>16</v>
      </c>
      <c r="D200" s="2" t="s">
        <v>2</v>
      </c>
      <c r="E200" s="4">
        <f t="shared" si="19"/>
        <v>13</v>
      </c>
      <c r="F200" s="3">
        <f t="shared" si="21"/>
        <v>17</v>
      </c>
      <c r="G200" s="3">
        <f t="shared" si="22"/>
        <v>3</v>
      </c>
      <c r="H200" s="5">
        <f t="shared" si="20"/>
        <v>-14</v>
      </c>
      <c r="I200" s="5">
        <f t="shared" si="23"/>
        <v>27</v>
      </c>
    </row>
    <row r="201" spans="1:9" x14ac:dyDescent="0.35">
      <c r="A201" s="2" t="str">
        <f t="shared" si="15"/>
        <v>R8R</v>
      </c>
      <c r="B201" s="2" t="s">
        <v>111</v>
      </c>
      <c r="C201" s="2" t="s">
        <v>17</v>
      </c>
      <c r="D201" s="2" t="s">
        <v>15</v>
      </c>
      <c r="E201" s="4">
        <f t="shared" si="19"/>
        <v>25</v>
      </c>
      <c r="F201" s="3">
        <f t="shared" si="21"/>
        <v>18</v>
      </c>
      <c r="G201" s="3">
        <f t="shared" si="22"/>
        <v>16</v>
      </c>
      <c r="H201" s="5">
        <f t="shared" si="20"/>
        <v>-2</v>
      </c>
      <c r="I201" s="5">
        <f t="shared" si="23"/>
        <v>27</v>
      </c>
    </row>
    <row r="202" spans="1:9" x14ac:dyDescent="0.35">
      <c r="A202" s="2" t="str">
        <f t="shared" si="15"/>
        <v>R8S</v>
      </c>
      <c r="B202" s="2" t="s">
        <v>111</v>
      </c>
      <c r="C202" s="2" t="s">
        <v>18</v>
      </c>
      <c r="D202" s="2" t="s">
        <v>11</v>
      </c>
      <c r="E202" s="4">
        <f t="shared" si="19"/>
        <v>20</v>
      </c>
      <c r="F202" s="3">
        <f t="shared" si="21"/>
        <v>19</v>
      </c>
      <c r="G202" s="3">
        <f t="shared" si="22"/>
        <v>12</v>
      </c>
      <c r="H202" s="5">
        <f t="shared" si="20"/>
        <v>-7</v>
      </c>
      <c r="I202" s="5">
        <f t="shared" si="23"/>
        <v>27</v>
      </c>
    </row>
    <row r="203" spans="1:9" x14ac:dyDescent="0.35">
      <c r="A203" s="2" t="str">
        <f t="shared" si="15"/>
        <v>R8T</v>
      </c>
      <c r="B203" s="2" t="s">
        <v>111</v>
      </c>
      <c r="C203" s="2" t="s">
        <v>19</v>
      </c>
      <c r="D203" s="2" t="s">
        <v>4</v>
      </c>
      <c r="E203" s="4">
        <f t="shared" si="19"/>
        <v>12</v>
      </c>
      <c r="F203" s="3">
        <f t="shared" si="21"/>
        <v>20</v>
      </c>
      <c r="G203" s="3">
        <f t="shared" si="22"/>
        <v>5</v>
      </c>
      <c r="H203" s="5">
        <f t="shared" si="20"/>
        <v>-15</v>
      </c>
      <c r="I203" s="5">
        <f t="shared" si="23"/>
        <v>27</v>
      </c>
    </row>
    <row r="204" spans="1:9" x14ac:dyDescent="0.35">
      <c r="A204" s="2" t="str">
        <f t="shared" si="15"/>
        <v>R8U</v>
      </c>
      <c r="B204" s="2" t="s">
        <v>111</v>
      </c>
      <c r="C204" s="2" t="s">
        <v>20</v>
      </c>
      <c r="D204" s="2" t="s">
        <v>22</v>
      </c>
      <c r="E204" s="4">
        <f t="shared" si="19"/>
        <v>3</v>
      </c>
      <c r="F204" s="3">
        <f t="shared" si="21"/>
        <v>21</v>
      </c>
      <c r="G204" s="3">
        <f t="shared" si="22"/>
        <v>23</v>
      </c>
      <c r="H204" s="5">
        <f t="shared" si="20"/>
        <v>2</v>
      </c>
      <c r="I204" s="5">
        <f t="shared" si="23"/>
        <v>1</v>
      </c>
    </row>
    <row r="205" spans="1:9" x14ac:dyDescent="0.35">
      <c r="A205" s="2" t="str">
        <f t="shared" si="15"/>
        <v>R8V</v>
      </c>
      <c r="B205" s="2" t="s">
        <v>111</v>
      </c>
      <c r="C205" s="2" t="s">
        <v>21</v>
      </c>
      <c r="D205" s="2" t="s">
        <v>25</v>
      </c>
      <c r="E205" s="4">
        <f t="shared" si="19"/>
        <v>5</v>
      </c>
      <c r="F205" s="3">
        <f t="shared" si="21"/>
        <v>22</v>
      </c>
      <c r="G205" s="3">
        <f t="shared" si="22"/>
        <v>26</v>
      </c>
      <c r="H205" s="5">
        <f t="shared" si="20"/>
        <v>4</v>
      </c>
      <c r="I205" s="5">
        <f t="shared" si="23"/>
        <v>1</v>
      </c>
    </row>
    <row r="206" spans="1:9" x14ac:dyDescent="0.35">
      <c r="A206" s="2" t="str">
        <f t="shared" si="15"/>
        <v>R8W</v>
      </c>
      <c r="B206" s="2" t="s">
        <v>111</v>
      </c>
      <c r="C206" s="2" t="s">
        <v>22</v>
      </c>
      <c r="D206" s="2" t="s">
        <v>19</v>
      </c>
      <c r="E206" s="4">
        <f t="shared" si="19"/>
        <v>24</v>
      </c>
      <c r="F206" s="3">
        <f t="shared" si="21"/>
        <v>23</v>
      </c>
      <c r="G206" s="3">
        <f t="shared" si="22"/>
        <v>20</v>
      </c>
      <c r="H206" s="5">
        <f t="shared" si="20"/>
        <v>-3</v>
      </c>
      <c r="I206" s="5">
        <f t="shared" si="23"/>
        <v>27</v>
      </c>
    </row>
    <row r="207" spans="1:9" x14ac:dyDescent="0.35">
      <c r="A207" s="2" t="str">
        <f t="shared" si="15"/>
        <v>R8X</v>
      </c>
      <c r="B207" s="2" t="s">
        <v>111</v>
      </c>
      <c r="C207" s="2" t="s">
        <v>23</v>
      </c>
      <c r="D207" s="2" t="s">
        <v>6</v>
      </c>
      <c r="E207" s="4">
        <f t="shared" si="19"/>
        <v>10</v>
      </c>
      <c r="F207" s="3">
        <f t="shared" si="21"/>
        <v>24</v>
      </c>
      <c r="G207" s="3">
        <f t="shared" si="22"/>
        <v>7</v>
      </c>
      <c r="H207" s="5">
        <f t="shared" si="20"/>
        <v>-17</v>
      </c>
      <c r="I207" s="5">
        <f t="shared" si="23"/>
        <v>27</v>
      </c>
    </row>
    <row r="208" spans="1:9" x14ac:dyDescent="0.35">
      <c r="A208" s="2" t="str">
        <f t="shared" si="15"/>
        <v>R8Y</v>
      </c>
      <c r="B208" s="2" t="s">
        <v>111</v>
      </c>
      <c r="C208" s="2" t="s">
        <v>24</v>
      </c>
      <c r="D208" s="2" t="s">
        <v>23</v>
      </c>
      <c r="E208" s="4">
        <f t="shared" si="19"/>
        <v>26</v>
      </c>
      <c r="F208" s="3">
        <f t="shared" si="21"/>
        <v>25</v>
      </c>
      <c r="G208" s="3">
        <f t="shared" si="22"/>
        <v>24</v>
      </c>
      <c r="H208" s="5">
        <f t="shared" si="20"/>
        <v>-1</v>
      </c>
      <c r="I208" s="5">
        <f t="shared" si="23"/>
        <v>27</v>
      </c>
    </row>
    <row r="209" spans="1:9" x14ac:dyDescent="0.35">
      <c r="A209" s="2" t="str">
        <f t="shared" si="15"/>
        <v>R8Z</v>
      </c>
      <c r="B209" s="2" t="s">
        <v>111</v>
      </c>
      <c r="C209" s="2" t="s">
        <v>25</v>
      </c>
      <c r="D209" s="2" t="s">
        <v>14</v>
      </c>
      <c r="E209" s="4">
        <f t="shared" si="19"/>
        <v>16</v>
      </c>
      <c r="F209" s="3">
        <f t="shared" si="21"/>
        <v>26</v>
      </c>
      <c r="G209" s="3">
        <f t="shared" si="22"/>
        <v>15</v>
      </c>
      <c r="H209" s="5">
        <f t="shared" si="20"/>
        <v>-11</v>
      </c>
      <c r="I209" s="5">
        <f t="shared" si="23"/>
        <v>27</v>
      </c>
    </row>
    <row r="210" spans="1:9" x14ac:dyDescent="0.35">
      <c r="A210" s="2" t="str">
        <f t="shared" si="15"/>
        <v>RBA</v>
      </c>
      <c r="B210" s="2" t="s">
        <v>112</v>
      </c>
      <c r="C210" s="2" t="s">
        <v>1</v>
      </c>
      <c r="D210" s="2" t="s">
        <v>17</v>
      </c>
      <c r="E210" s="4">
        <f t="shared" si="19"/>
        <v>18</v>
      </c>
      <c r="F210" s="3">
        <f t="shared" si="21"/>
        <v>1</v>
      </c>
      <c r="G210" s="3">
        <f t="shared" si="22"/>
        <v>18</v>
      </c>
      <c r="H210" s="5">
        <f t="shared" si="20"/>
        <v>17</v>
      </c>
      <c r="I210" s="5">
        <f t="shared" si="23"/>
        <v>1</v>
      </c>
    </row>
    <row r="211" spans="1:9" x14ac:dyDescent="0.35">
      <c r="A211" s="2" t="str">
        <f t="shared" si="15"/>
        <v>RBB</v>
      </c>
      <c r="B211" s="2" t="s">
        <v>112</v>
      </c>
      <c r="C211" s="2" t="s">
        <v>0</v>
      </c>
      <c r="D211" s="2" t="s">
        <v>11</v>
      </c>
      <c r="E211" s="4">
        <f t="shared" si="19"/>
        <v>11</v>
      </c>
      <c r="F211" s="3">
        <f t="shared" si="21"/>
        <v>2</v>
      </c>
      <c r="G211" s="3">
        <f t="shared" si="22"/>
        <v>12</v>
      </c>
      <c r="H211" s="5">
        <f t="shared" si="20"/>
        <v>10</v>
      </c>
      <c r="I211" s="5">
        <f t="shared" si="23"/>
        <v>1</v>
      </c>
    </row>
    <row r="212" spans="1:9" x14ac:dyDescent="0.35">
      <c r="A212" s="2" t="str">
        <f t="shared" si="15"/>
        <v>RBC</v>
      </c>
      <c r="B212" s="2" t="s">
        <v>112</v>
      </c>
      <c r="C212" s="2" t="s">
        <v>2</v>
      </c>
      <c r="D212" s="2" t="s">
        <v>5</v>
      </c>
      <c r="E212" s="4">
        <f t="shared" si="19"/>
        <v>4</v>
      </c>
      <c r="F212" s="3">
        <f t="shared" si="21"/>
        <v>3</v>
      </c>
      <c r="G212" s="3">
        <f t="shared" si="22"/>
        <v>6</v>
      </c>
      <c r="H212" s="5">
        <f t="shared" si="20"/>
        <v>3</v>
      </c>
      <c r="I212" s="5">
        <f t="shared" si="23"/>
        <v>1</v>
      </c>
    </row>
    <row r="213" spans="1:9" x14ac:dyDescent="0.35">
      <c r="A213" s="2" t="str">
        <f t="shared" si="15"/>
        <v>RBD</v>
      </c>
      <c r="B213" s="2" t="s">
        <v>112</v>
      </c>
      <c r="C213" s="2" t="s">
        <v>3</v>
      </c>
      <c r="D213" s="2" t="s">
        <v>14</v>
      </c>
      <c r="E213" s="4">
        <f t="shared" si="19"/>
        <v>12</v>
      </c>
      <c r="F213" s="3">
        <f t="shared" si="21"/>
        <v>4</v>
      </c>
      <c r="G213" s="3">
        <f t="shared" si="22"/>
        <v>15</v>
      </c>
      <c r="H213" s="5">
        <f t="shared" si="20"/>
        <v>11</v>
      </c>
      <c r="I213" s="5">
        <f t="shared" si="23"/>
        <v>1</v>
      </c>
    </row>
    <row r="214" spans="1:9" x14ac:dyDescent="0.35">
      <c r="A214" s="2" t="str">
        <f t="shared" si="15"/>
        <v>RBE</v>
      </c>
      <c r="B214" s="2" t="s">
        <v>112</v>
      </c>
      <c r="C214" s="2" t="s">
        <v>4</v>
      </c>
      <c r="D214" s="2" t="s">
        <v>0</v>
      </c>
      <c r="E214" s="4">
        <f t="shared" si="19"/>
        <v>24</v>
      </c>
      <c r="F214" s="3">
        <f t="shared" si="21"/>
        <v>5</v>
      </c>
      <c r="G214" s="3">
        <f t="shared" si="22"/>
        <v>2</v>
      </c>
      <c r="H214" s="5">
        <f t="shared" si="20"/>
        <v>-3</v>
      </c>
      <c r="I214" s="5">
        <f t="shared" si="23"/>
        <v>27</v>
      </c>
    </row>
    <row r="215" spans="1:9" x14ac:dyDescent="0.35">
      <c r="A215" s="2" t="str">
        <f t="shared" si="15"/>
        <v>RBF</v>
      </c>
      <c r="B215" s="2" t="s">
        <v>112</v>
      </c>
      <c r="C215" s="2" t="s">
        <v>5</v>
      </c>
      <c r="D215" s="2" t="s">
        <v>21</v>
      </c>
      <c r="E215" s="4">
        <f t="shared" si="19"/>
        <v>17</v>
      </c>
      <c r="F215" s="3">
        <f t="shared" si="21"/>
        <v>6</v>
      </c>
      <c r="G215" s="3">
        <f t="shared" si="22"/>
        <v>22</v>
      </c>
      <c r="H215" s="5">
        <f t="shared" si="20"/>
        <v>16</v>
      </c>
      <c r="I215" s="5">
        <f t="shared" si="23"/>
        <v>1</v>
      </c>
    </row>
    <row r="216" spans="1:9" x14ac:dyDescent="0.35">
      <c r="A216" s="2" t="str">
        <f t="shared" si="15"/>
        <v>RBG</v>
      </c>
      <c r="B216" s="2" t="s">
        <v>112</v>
      </c>
      <c r="C216" s="2" t="s">
        <v>6</v>
      </c>
      <c r="D216" s="2" t="s">
        <v>20</v>
      </c>
      <c r="E216" s="4">
        <f t="shared" si="19"/>
        <v>15</v>
      </c>
      <c r="F216" s="3">
        <f t="shared" si="21"/>
        <v>7</v>
      </c>
      <c r="G216" s="3">
        <f t="shared" si="22"/>
        <v>21</v>
      </c>
      <c r="H216" s="5">
        <f t="shared" si="20"/>
        <v>14</v>
      </c>
      <c r="I216" s="5">
        <f t="shared" si="23"/>
        <v>1</v>
      </c>
    </row>
    <row r="217" spans="1:9" x14ac:dyDescent="0.35">
      <c r="A217" s="2" t="str">
        <f t="shared" si="15"/>
        <v>RBH</v>
      </c>
      <c r="B217" s="2" t="s">
        <v>112</v>
      </c>
      <c r="C217" s="2" t="s">
        <v>7</v>
      </c>
      <c r="D217" s="2" t="s">
        <v>23</v>
      </c>
      <c r="E217" s="4">
        <f t="shared" si="19"/>
        <v>17</v>
      </c>
      <c r="F217" s="3">
        <f t="shared" si="21"/>
        <v>8</v>
      </c>
      <c r="G217" s="3">
        <f t="shared" si="22"/>
        <v>24</v>
      </c>
      <c r="H217" s="5">
        <f t="shared" si="20"/>
        <v>16</v>
      </c>
      <c r="I217" s="5">
        <f t="shared" si="23"/>
        <v>1</v>
      </c>
    </row>
    <row r="218" spans="1:9" x14ac:dyDescent="0.35">
      <c r="A218" s="2" t="str">
        <f t="shared" si="15"/>
        <v>RBI</v>
      </c>
      <c r="B218" s="2" t="s">
        <v>112</v>
      </c>
      <c r="C218" s="2" t="s">
        <v>8</v>
      </c>
      <c r="D218" s="2" t="s">
        <v>7</v>
      </c>
      <c r="E218" s="4">
        <f t="shared" si="19"/>
        <v>26</v>
      </c>
      <c r="F218" s="3">
        <f t="shared" si="21"/>
        <v>9</v>
      </c>
      <c r="G218" s="3">
        <f t="shared" si="22"/>
        <v>8</v>
      </c>
      <c r="H218" s="5">
        <f t="shared" si="20"/>
        <v>-1</v>
      </c>
      <c r="I218" s="5">
        <f t="shared" si="23"/>
        <v>27</v>
      </c>
    </row>
    <row r="219" spans="1:9" x14ac:dyDescent="0.35">
      <c r="A219" s="2" t="str">
        <f t="shared" si="15"/>
        <v>RBJ</v>
      </c>
      <c r="B219" s="2" t="s">
        <v>112</v>
      </c>
      <c r="C219" s="2" t="s">
        <v>9</v>
      </c>
      <c r="D219" s="2" t="s">
        <v>3</v>
      </c>
      <c r="E219" s="4">
        <f t="shared" si="19"/>
        <v>21</v>
      </c>
      <c r="F219" s="3">
        <f t="shared" si="21"/>
        <v>10</v>
      </c>
      <c r="G219" s="3">
        <f t="shared" si="22"/>
        <v>4</v>
      </c>
      <c r="H219" s="5">
        <f t="shared" si="20"/>
        <v>-6</v>
      </c>
      <c r="I219" s="5">
        <f t="shared" si="23"/>
        <v>27</v>
      </c>
    </row>
    <row r="220" spans="1:9" x14ac:dyDescent="0.35">
      <c r="A220" s="2" t="str">
        <f t="shared" si="15"/>
        <v>RBK</v>
      </c>
      <c r="B220" s="2" t="s">
        <v>112</v>
      </c>
      <c r="C220" s="2" t="s">
        <v>10</v>
      </c>
      <c r="D220" s="2" t="s">
        <v>18</v>
      </c>
      <c r="E220" s="4">
        <f t="shared" si="19"/>
        <v>9</v>
      </c>
      <c r="F220" s="3">
        <f t="shared" si="21"/>
        <v>11</v>
      </c>
      <c r="G220" s="3">
        <f t="shared" si="22"/>
        <v>19</v>
      </c>
      <c r="H220" s="5">
        <f t="shared" si="20"/>
        <v>8</v>
      </c>
      <c r="I220" s="5">
        <f t="shared" si="23"/>
        <v>1</v>
      </c>
    </row>
    <row r="221" spans="1:9" x14ac:dyDescent="0.35">
      <c r="A221" s="2" t="str">
        <f t="shared" si="15"/>
        <v>RBL</v>
      </c>
      <c r="B221" s="2" t="s">
        <v>112</v>
      </c>
      <c r="C221" s="2" t="s">
        <v>11</v>
      </c>
      <c r="D221" s="2" t="s">
        <v>1</v>
      </c>
      <c r="E221" s="4">
        <f t="shared" si="19"/>
        <v>16</v>
      </c>
      <c r="F221" s="3">
        <f t="shared" si="21"/>
        <v>12</v>
      </c>
      <c r="G221" s="3">
        <f t="shared" si="22"/>
        <v>1</v>
      </c>
      <c r="H221" s="5">
        <f t="shared" si="20"/>
        <v>-11</v>
      </c>
      <c r="I221" s="5">
        <f t="shared" si="23"/>
        <v>27</v>
      </c>
    </row>
    <row r="222" spans="1:9" x14ac:dyDescent="0.35">
      <c r="A222" s="2" t="str">
        <f t="shared" si="15"/>
        <v>RBM</v>
      </c>
      <c r="B222" s="2" t="s">
        <v>112</v>
      </c>
      <c r="C222" s="2" t="s">
        <v>12</v>
      </c>
      <c r="D222" s="2" t="s">
        <v>13</v>
      </c>
      <c r="E222" s="4">
        <f t="shared" si="19"/>
        <v>2</v>
      </c>
      <c r="F222" s="3">
        <f t="shared" si="21"/>
        <v>13</v>
      </c>
      <c r="G222" s="3">
        <f t="shared" si="22"/>
        <v>14</v>
      </c>
      <c r="H222" s="5">
        <f t="shared" si="20"/>
        <v>1</v>
      </c>
      <c r="I222" s="5">
        <f t="shared" si="23"/>
        <v>1</v>
      </c>
    </row>
    <row r="223" spans="1:9" x14ac:dyDescent="0.35">
      <c r="A223" s="2" t="str">
        <f t="shared" si="15"/>
        <v>RBN</v>
      </c>
      <c r="B223" s="2" t="s">
        <v>112</v>
      </c>
      <c r="C223" s="2" t="s">
        <v>13</v>
      </c>
      <c r="D223" s="2" t="s">
        <v>6</v>
      </c>
      <c r="E223" s="4">
        <f t="shared" si="19"/>
        <v>20</v>
      </c>
      <c r="F223" s="3">
        <f t="shared" si="21"/>
        <v>14</v>
      </c>
      <c r="G223" s="3">
        <f t="shared" si="22"/>
        <v>7</v>
      </c>
      <c r="H223" s="5">
        <f t="shared" si="20"/>
        <v>-7</v>
      </c>
      <c r="I223" s="5">
        <f t="shared" si="23"/>
        <v>27</v>
      </c>
    </row>
    <row r="224" spans="1:9" x14ac:dyDescent="0.35">
      <c r="A224" s="2" t="str">
        <f t="shared" si="15"/>
        <v>RBO</v>
      </c>
      <c r="B224" s="2" t="s">
        <v>112</v>
      </c>
      <c r="C224" s="2" t="s">
        <v>14</v>
      </c>
      <c r="D224" s="2" t="s">
        <v>24</v>
      </c>
      <c r="E224" s="4">
        <f t="shared" si="19"/>
        <v>11</v>
      </c>
      <c r="F224" s="3">
        <f t="shared" si="21"/>
        <v>15</v>
      </c>
      <c r="G224" s="3">
        <f t="shared" si="22"/>
        <v>25</v>
      </c>
      <c r="H224" s="5">
        <f t="shared" si="20"/>
        <v>10</v>
      </c>
      <c r="I224" s="5">
        <f t="shared" si="23"/>
        <v>1</v>
      </c>
    </row>
    <row r="225" spans="1:9" x14ac:dyDescent="0.35">
      <c r="A225" s="2" t="str">
        <f t="shared" si="15"/>
        <v>RBP</v>
      </c>
      <c r="B225" s="2" t="s">
        <v>112</v>
      </c>
      <c r="C225" s="2" t="s">
        <v>15</v>
      </c>
      <c r="D225" s="2" t="s">
        <v>10</v>
      </c>
      <c r="E225" s="4">
        <f t="shared" si="19"/>
        <v>22</v>
      </c>
      <c r="F225" s="3">
        <f t="shared" si="21"/>
        <v>16</v>
      </c>
      <c r="G225" s="3">
        <f t="shared" si="22"/>
        <v>11</v>
      </c>
      <c r="H225" s="5">
        <f t="shared" si="20"/>
        <v>-5</v>
      </c>
      <c r="I225" s="5">
        <f t="shared" si="23"/>
        <v>27</v>
      </c>
    </row>
    <row r="226" spans="1:9" x14ac:dyDescent="0.35">
      <c r="A226" s="2" t="str">
        <f t="shared" si="15"/>
        <v>RBQ</v>
      </c>
      <c r="B226" s="2" t="s">
        <v>112</v>
      </c>
      <c r="C226" s="2" t="s">
        <v>16</v>
      </c>
      <c r="D226" s="2" t="s">
        <v>12</v>
      </c>
      <c r="E226" s="4">
        <f t="shared" si="19"/>
        <v>23</v>
      </c>
      <c r="F226" s="3">
        <f t="shared" si="21"/>
        <v>17</v>
      </c>
      <c r="G226" s="3">
        <f t="shared" si="22"/>
        <v>13</v>
      </c>
      <c r="H226" s="5">
        <f t="shared" si="20"/>
        <v>-4</v>
      </c>
      <c r="I226" s="5">
        <f t="shared" si="23"/>
        <v>27</v>
      </c>
    </row>
    <row r="227" spans="1:9" x14ac:dyDescent="0.35">
      <c r="A227" s="2" t="str">
        <f t="shared" si="15"/>
        <v>RBR</v>
      </c>
      <c r="B227" s="2" t="s">
        <v>112</v>
      </c>
      <c r="C227" s="2" t="s">
        <v>17</v>
      </c>
      <c r="D227" s="2" t="s">
        <v>15</v>
      </c>
      <c r="E227" s="4">
        <f t="shared" si="19"/>
        <v>25</v>
      </c>
      <c r="F227" s="3">
        <f t="shared" si="21"/>
        <v>18</v>
      </c>
      <c r="G227" s="3">
        <f t="shared" si="22"/>
        <v>16</v>
      </c>
      <c r="H227" s="5">
        <f t="shared" si="20"/>
        <v>-2</v>
      </c>
      <c r="I227" s="5">
        <f t="shared" si="23"/>
        <v>27</v>
      </c>
    </row>
    <row r="228" spans="1:9" x14ac:dyDescent="0.35">
      <c r="A228" s="2" t="str">
        <f t="shared" si="15"/>
        <v>RBS</v>
      </c>
      <c r="B228" s="2" t="s">
        <v>112</v>
      </c>
      <c r="C228" s="2" t="s">
        <v>18</v>
      </c>
      <c r="D228" s="2" t="s">
        <v>25</v>
      </c>
      <c r="E228" s="4">
        <f t="shared" si="19"/>
        <v>8</v>
      </c>
      <c r="F228" s="3">
        <f t="shared" si="21"/>
        <v>19</v>
      </c>
      <c r="G228" s="3">
        <f t="shared" si="22"/>
        <v>26</v>
      </c>
      <c r="H228" s="5">
        <f t="shared" si="20"/>
        <v>7</v>
      </c>
      <c r="I228" s="5">
        <f t="shared" si="23"/>
        <v>1</v>
      </c>
    </row>
    <row r="229" spans="1:9" x14ac:dyDescent="0.35">
      <c r="A229" s="2" t="str">
        <f t="shared" si="15"/>
        <v>RBT</v>
      </c>
      <c r="B229" s="2" t="s">
        <v>112</v>
      </c>
      <c r="C229" s="2" t="s">
        <v>19</v>
      </c>
      <c r="D229" s="2" t="s">
        <v>16</v>
      </c>
      <c r="E229" s="4">
        <f t="shared" si="19"/>
        <v>24</v>
      </c>
      <c r="F229" s="3">
        <f t="shared" si="21"/>
        <v>20</v>
      </c>
      <c r="G229" s="3">
        <f t="shared" si="22"/>
        <v>17</v>
      </c>
      <c r="H229" s="5">
        <f t="shared" si="20"/>
        <v>-3</v>
      </c>
      <c r="I229" s="5">
        <f t="shared" si="23"/>
        <v>27</v>
      </c>
    </row>
    <row r="230" spans="1:9" x14ac:dyDescent="0.35">
      <c r="A230" s="2" t="str">
        <f t="shared" si="15"/>
        <v>RBU</v>
      </c>
      <c r="B230" s="2" t="s">
        <v>112</v>
      </c>
      <c r="C230" s="2" t="s">
        <v>20</v>
      </c>
      <c r="D230" s="2" t="s">
        <v>22</v>
      </c>
      <c r="E230" s="4">
        <f t="shared" si="19"/>
        <v>3</v>
      </c>
      <c r="F230" s="3">
        <f t="shared" si="21"/>
        <v>21</v>
      </c>
      <c r="G230" s="3">
        <f t="shared" si="22"/>
        <v>23</v>
      </c>
      <c r="H230" s="5">
        <f t="shared" si="20"/>
        <v>2</v>
      </c>
      <c r="I230" s="5">
        <f t="shared" si="23"/>
        <v>1</v>
      </c>
    </row>
    <row r="231" spans="1:9" x14ac:dyDescent="0.35">
      <c r="A231" s="2" t="str">
        <f t="shared" si="15"/>
        <v>RBV</v>
      </c>
      <c r="B231" s="2" t="s">
        <v>112</v>
      </c>
      <c r="C231" s="2" t="s">
        <v>21</v>
      </c>
      <c r="D231" s="2" t="s">
        <v>4</v>
      </c>
      <c r="E231" s="4">
        <f t="shared" si="19"/>
        <v>10</v>
      </c>
      <c r="F231" s="3">
        <f t="shared" si="21"/>
        <v>22</v>
      </c>
      <c r="G231" s="3">
        <f t="shared" si="22"/>
        <v>5</v>
      </c>
      <c r="H231" s="5">
        <f t="shared" si="20"/>
        <v>-17</v>
      </c>
      <c r="I231" s="5">
        <f t="shared" si="23"/>
        <v>27</v>
      </c>
    </row>
    <row r="232" spans="1:9" x14ac:dyDescent="0.35">
      <c r="A232" s="2" t="str">
        <f t="shared" si="15"/>
        <v>RBW</v>
      </c>
      <c r="B232" s="2" t="s">
        <v>112</v>
      </c>
      <c r="C232" s="2" t="s">
        <v>22</v>
      </c>
      <c r="D232" s="2" t="s">
        <v>9</v>
      </c>
      <c r="E232" s="4">
        <f t="shared" si="19"/>
        <v>14</v>
      </c>
      <c r="F232" s="3">
        <f t="shared" si="21"/>
        <v>23</v>
      </c>
      <c r="G232" s="3">
        <f t="shared" si="22"/>
        <v>10</v>
      </c>
      <c r="H232" s="5">
        <f t="shared" si="20"/>
        <v>-13</v>
      </c>
      <c r="I232" s="5">
        <f t="shared" si="23"/>
        <v>27</v>
      </c>
    </row>
    <row r="233" spans="1:9" x14ac:dyDescent="0.35">
      <c r="A233" s="2" t="str">
        <f t="shared" si="15"/>
        <v>RBX</v>
      </c>
      <c r="B233" s="2" t="s">
        <v>112</v>
      </c>
      <c r="C233" s="2" t="s">
        <v>23</v>
      </c>
      <c r="D233" s="2" t="s">
        <v>8</v>
      </c>
      <c r="E233" s="4">
        <f t="shared" si="19"/>
        <v>12</v>
      </c>
      <c r="F233" s="3">
        <f t="shared" si="21"/>
        <v>24</v>
      </c>
      <c r="G233" s="3">
        <f t="shared" si="22"/>
        <v>9</v>
      </c>
      <c r="H233" s="5">
        <f t="shared" si="20"/>
        <v>-15</v>
      </c>
      <c r="I233" s="5">
        <f t="shared" si="23"/>
        <v>27</v>
      </c>
    </row>
    <row r="234" spans="1:9" x14ac:dyDescent="0.35">
      <c r="A234" s="2" t="str">
        <f t="shared" si="15"/>
        <v>RBY</v>
      </c>
      <c r="B234" s="2" t="s">
        <v>112</v>
      </c>
      <c r="C234" s="2" t="s">
        <v>24</v>
      </c>
      <c r="D234" s="2" t="s">
        <v>2</v>
      </c>
      <c r="E234" s="4">
        <f t="shared" si="19"/>
        <v>5</v>
      </c>
      <c r="F234" s="3">
        <f t="shared" si="21"/>
        <v>25</v>
      </c>
      <c r="G234" s="3">
        <f t="shared" si="22"/>
        <v>3</v>
      </c>
      <c r="H234" s="5">
        <f t="shared" si="20"/>
        <v>-22</v>
      </c>
      <c r="I234" s="5">
        <f t="shared" si="23"/>
        <v>27</v>
      </c>
    </row>
    <row r="235" spans="1:9" x14ac:dyDescent="0.35">
      <c r="A235" s="2" t="str">
        <f t="shared" si="15"/>
        <v>RBZ</v>
      </c>
      <c r="B235" s="2" t="s">
        <v>112</v>
      </c>
      <c r="C235" s="2" t="s">
        <v>25</v>
      </c>
      <c r="D235" s="2" t="s">
        <v>19</v>
      </c>
      <c r="E235" s="4">
        <f t="shared" si="19"/>
        <v>21</v>
      </c>
      <c r="F235" s="3">
        <f t="shared" si="21"/>
        <v>26</v>
      </c>
      <c r="G235" s="3">
        <f t="shared" si="22"/>
        <v>20</v>
      </c>
      <c r="H235" s="5">
        <f t="shared" si="20"/>
        <v>-6</v>
      </c>
      <c r="I235" s="5">
        <f t="shared" si="23"/>
        <v>27</v>
      </c>
    </row>
    <row r="236" spans="1:9" x14ac:dyDescent="0.35">
      <c r="A236" s="2" t="str">
        <f t="shared" si="15"/>
        <v>RGA</v>
      </c>
      <c r="B236" s="2" t="s">
        <v>113</v>
      </c>
      <c r="C236" s="2" t="s">
        <v>1</v>
      </c>
      <c r="D236" s="2" t="s">
        <v>4</v>
      </c>
      <c r="E236" s="4">
        <f t="shared" si="19"/>
        <v>5</v>
      </c>
      <c r="F236" s="3">
        <f t="shared" si="21"/>
        <v>1</v>
      </c>
      <c r="G236" s="3">
        <f t="shared" si="22"/>
        <v>5</v>
      </c>
      <c r="H236" s="5">
        <f t="shared" si="20"/>
        <v>4</v>
      </c>
      <c r="I236" s="5">
        <f t="shared" si="23"/>
        <v>1</v>
      </c>
    </row>
    <row r="237" spans="1:9" x14ac:dyDescent="0.35">
      <c r="A237" s="2" t="str">
        <f t="shared" si="15"/>
        <v>RGB</v>
      </c>
      <c r="B237" s="2" t="s">
        <v>113</v>
      </c>
      <c r="C237" s="2" t="s">
        <v>0</v>
      </c>
      <c r="D237" s="2" t="s">
        <v>11</v>
      </c>
      <c r="E237" s="4">
        <f t="shared" si="19"/>
        <v>11</v>
      </c>
      <c r="F237" s="3">
        <f t="shared" si="21"/>
        <v>2</v>
      </c>
      <c r="G237" s="3">
        <f t="shared" si="22"/>
        <v>12</v>
      </c>
      <c r="H237" s="5">
        <f t="shared" si="20"/>
        <v>10</v>
      </c>
      <c r="I237" s="5">
        <f t="shared" si="23"/>
        <v>1</v>
      </c>
    </row>
    <row r="238" spans="1:9" x14ac:dyDescent="0.35">
      <c r="A238" s="2" t="str">
        <f t="shared" si="15"/>
        <v>RGC</v>
      </c>
      <c r="B238" s="2" t="s">
        <v>113</v>
      </c>
      <c r="C238" s="2" t="s">
        <v>2</v>
      </c>
      <c r="D238" s="2" t="s">
        <v>15</v>
      </c>
      <c r="E238" s="4">
        <f t="shared" si="19"/>
        <v>14</v>
      </c>
      <c r="F238" s="3">
        <f t="shared" si="21"/>
        <v>3</v>
      </c>
      <c r="G238" s="3">
        <f t="shared" si="22"/>
        <v>16</v>
      </c>
      <c r="H238" s="5">
        <f t="shared" si="20"/>
        <v>13</v>
      </c>
      <c r="I238" s="5">
        <f t="shared" si="23"/>
        <v>1</v>
      </c>
    </row>
    <row r="239" spans="1:9" x14ac:dyDescent="0.35">
      <c r="A239" s="2" t="str">
        <f t="shared" si="15"/>
        <v>RGD</v>
      </c>
      <c r="B239" s="2" t="s">
        <v>113</v>
      </c>
      <c r="C239" s="2" t="s">
        <v>3</v>
      </c>
      <c r="D239" s="2" t="s">
        <v>25</v>
      </c>
      <c r="E239" s="4">
        <f t="shared" si="19"/>
        <v>23</v>
      </c>
      <c r="F239" s="3">
        <f t="shared" si="21"/>
        <v>4</v>
      </c>
      <c r="G239" s="3">
        <f t="shared" si="22"/>
        <v>26</v>
      </c>
      <c r="H239" s="5">
        <f t="shared" si="20"/>
        <v>22</v>
      </c>
      <c r="I239" s="5">
        <f t="shared" si="23"/>
        <v>1</v>
      </c>
    </row>
    <row r="240" spans="1:9" x14ac:dyDescent="0.35">
      <c r="A240" s="2" t="str">
        <f t="shared" si="15"/>
        <v>RGE</v>
      </c>
      <c r="B240" s="2" t="s">
        <v>113</v>
      </c>
      <c r="C240" s="2" t="s">
        <v>4</v>
      </c>
      <c r="D240" s="2" t="s">
        <v>7</v>
      </c>
      <c r="E240" s="4">
        <f t="shared" si="19"/>
        <v>4</v>
      </c>
      <c r="F240" s="3">
        <f t="shared" si="21"/>
        <v>5</v>
      </c>
      <c r="G240" s="3">
        <f t="shared" si="22"/>
        <v>8</v>
      </c>
      <c r="H240" s="5">
        <f t="shared" si="20"/>
        <v>3</v>
      </c>
      <c r="I240" s="5">
        <f t="shared" si="23"/>
        <v>1</v>
      </c>
    </row>
    <row r="241" spans="1:9" x14ac:dyDescent="0.35">
      <c r="A241" s="2" t="str">
        <f t="shared" si="15"/>
        <v>RGF</v>
      </c>
      <c r="B241" s="2" t="s">
        <v>113</v>
      </c>
      <c r="C241" s="2" t="s">
        <v>5</v>
      </c>
      <c r="D241" s="2" t="s">
        <v>1</v>
      </c>
      <c r="E241" s="4">
        <f t="shared" si="19"/>
        <v>22</v>
      </c>
      <c r="F241" s="3">
        <f t="shared" si="21"/>
        <v>6</v>
      </c>
      <c r="G241" s="3">
        <f t="shared" si="22"/>
        <v>1</v>
      </c>
      <c r="H241" s="5">
        <f t="shared" si="20"/>
        <v>-5</v>
      </c>
      <c r="I241" s="5">
        <f t="shared" si="23"/>
        <v>27</v>
      </c>
    </row>
    <row r="242" spans="1:9" x14ac:dyDescent="0.35">
      <c r="A242" s="2" t="str">
        <f t="shared" si="15"/>
        <v>RGG</v>
      </c>
      <c r="B242" s="2" t="s">
        <v>113</v>
      </c>
      <c r="C242" s="2" t="s">
        <v>6</v>
      </c>
      <c r="D242" s="2" t="s">
        <v>23</v>
      </c>
      <c r="E242" s="4">
        <f t="shared" si="19"/>
        <v>18</v>
      </c>
      <c r="F242" s="3">
        <f t="shared" si="21"/>
        <v>7</v>
      </c>
      <c r="G242" s="3">
        <f t="shared" si="22"/>
        <v>24</v>
      </c>
      <c r="H242" s="5">
        <f t="shared" si="20"/>
        <v>17</v>
      </c>
      <c r="I242" s="5">
        <f t="shared" si="23"/>
        <v>1</v>
      </c>
    </row>
    <row r="243" spans="1:9" x14ac:dyDescent="0.35">
      <c r="A243" s="2" t="str">
        <f t="shared" si="15"/>
        <v>RGH</v>
      </c>
      <c r="B243" s="2" t="s">
        <v>113</v>
      </c>
      <c r="C243" s="2" t="s">
        <v>7</v>
      </c>
      <c r="D243" s="2" t="s">
        <v>9</v>
      </c>
      <c r="E243" s="4">
        <f t="shared" si="19"/>
        <v>3</v>
      </c>
      <c r="F243" s="3">
        <f t="shared" si="21"/>
        <v>8</v>
      </c>
      <c r="G243" s="3">
        <f t="shared" si="22"/>
        <v>10</v>
      </c>
      <c r="H243" s="5">
        <f t="shared" si="20"/>
        <v>2</v>
      </c>
      <c r="I243" s="5">
        <f t="shared" si="23"/>
        <v>1</v>
      </c>
    </row>
    <row r="244" spans="1:9" x14ac:dyDescent="0.35">
      <c r="A244" s="2" t="str">
        <f t="shared" si="15"/>
        <v>RGI</v>
      </c>
      <c r="B244" s="2" t="s">
        <v>113</v>
      </c>
      <c r="C244" s="2" t="s">
        <v>8</v>
      </c>
      <c r="D244" s="2" t="s">
        <v>13</v>
      </c>
      <c r="E244" s="4">
        <f t="shared" si="19"/>
        <v>6</v>
      </c>
      <c r="F244" s="3">
        <f t="shared" si="21"/>
        <v>9</v>
      </c>
      <c r="G244" s="3">
        <f t="shared" si="22"/>
        <v>14</v>
      </c>
      <c r="H244" s="5">
        <f t="shared" si="20"/>
        <v>5</v>
      </c>
      <c r="I244" s="5">
        <f t="shared" si="23"/>
        <v>1</v>
      </c>
    </row>
    <row r="245" spans="1:9" x14ac:dyDescent="0.35">
      <c r="A245" s="2" t="str">
        <f t="shared" si="15"/>
        <v>RGJ</v>
      </c>
      <c r="B245" s="2" t="s">
        <v>113</v>
      </c>
      <c r="C245" s="2" t="s">
        <v>9</v>
      </c>
      <c r="D245" s="2" t="s">
        <v>24</v>
      </c>
      <c r="E245" s="4">
        <f t="shared" si="19"/>
        <v>16</v>
      </c>
      <c r="F245" s="3">
        <f t="shared" si="21"/>
        <v>10</v>
      </c>
      <c r="G245" s="3">
        <f t="shared" si="22"/>
        <v>25</v>
      </c>
      <c r="H245" s="5">
        <f t="shared" si="20"/>
        <v>15</v>
      </c>
      <c r="I245" s="5">
        <f t="shared" si="23"/>
        <v>1</v>
      </c>
    </row>
    <row r="246" spans="1:9" x14ac:dyDescent="0.35">
      <c r="A246" s="2" t="str">
        <f t="shared" si="15"/>
        <v>RGK</v>
      </c>
      <c r="B246" s="2" t="s">
        <v>113</v>
      </c>
      <c r="C246" s="2" t="s">
        <v>10</v>
      </c>
      <c r="D246" s="2" t="s">
        <v>3</v>
      </c>
      <c r="E246" s="4">
        <f t="shared" si="19"/>
        <v>20</v>
      </c>
      <c r="F246" s="3">
        <f t="shared" si="21"/>
        <v>11</v>
      </c>
      <c r="G246" s="3">
        <f t="shared" si="22"/>
        <v>4</v>
      </c>
      <c r="H246" s="5">
        <f t="shared" si="20"/>
        <v>-7</v>
      </c>
      <c r="I246" s="5">
        <f t="shared" si="23"/>
        <v>27</v>
      </c>
    </row>
    <row r="247" spans="1:9" x14ac:dyDescent="0.35">
      <c r="A247" s="2" t="str">
        <f t="shared" si="15"/>
        <v>RGL</v>
      </c>
      <c r="B247" s="2" t="s">
        <v>113</v>
      </c>
      <c r="C247" s="2" t="s">
        <v>11</v>
      </c>
      <c r="D247" s="2" t="s">
        <v>17</v>
      </c>
      <c r="E247" s="4">
        <f t="shared" si="19"/>
        <v>7</v>
      </c>
      <c r="F247" s="3">
        <f t="shared" si="21"/>
        <v>12</v>
      </c>
      <c r="G247" s="3">
        <f t="shared" si="22"/>
        <v>18</v>
      </c>
      <c r="H247" s="5">
        <f t="shared" si="20"/>
        <v>6</v>
      </c>
      <c r="I247" s="5">
        <f t="shared" si="23"/>
        <v>1</v>
      </c>
    </row>
    <row r="248" spans="1:9" x14ac:dyDescent="0.35">
      <c r="A248" s="2" t="str">
        <f t="shared" si="15"/>
        <v>RGM</v>
      </c>
      <c r="B248" s="2" t="s">
        <v>113</v>
      </c>
      <c r="C248" s="2" t="s">
        <v>12</v>
      </c>
      <c r="D248" s="2" t="s">
        <v>10</v>
      </c>
      <c r="E248" s="4">
        <f t="shared" si="19"/>
        <v>25</v>
      </c>
      <c r="F248" s="3">
        <f t="shared" si="21"/>
        <v>13</v>
      </c>
      <c r="G248" s="3">
        <f t="shared" si="22"/>
        <v>11</v>
      </c>
      <c r="H248" s="5">
        <f t="shared" si="20"/>
        <v>-2</v>
      </c>
      <c r="I248" s="5">
        <f t="shared" si="23"/>
        <v>27</v>
      </c>
    </row>
    <row r="249" spans="1:9" x14ac:dyDescent="0.35">
      <c r="A249" s="2" t="str">
        <f t="shared" si="15"/>
        <v>RGN</v>
      </c>
      <c r="B249" s="2" t="s">
        <v>113</v>
      </c>
      <c r="C249" s="2" t="s">
        <v>13</v>
      </c>
      <c r="D249" s="2" t="s">
        <v>5</v>
      </c>
      <c r="E249" s="4">
        <f t="shared" si="19"/>
        <v>19</v>
      </c>
      <c r="F249" s="3">
        <f t="shared" si="21"/>
        <v>14</v>
      </c>
      <c r="G249" s="3">
        <f t="shared" si="22"/>
        <v>6</v>
      </c>
      <c r="H249" s="5">
        <f t="shared" si="20"/>
        <v>-8</v>
      </c>
      <c r="I249" s="5">
        <f t="shared" si="23"/>
        <v>27</v>
      </c>
    </row>
    <row r="250" spans="1:9" x14ac:dyDescent="0.35">
      <c r="A250" s="2" t="str">
        <f t="shared" si="15"/>
        <v>RGO</v>
      </c>
      <c r="B250" s="2" t="s">
        <v>113</v>
      </c>
      <c r="C250" s="2" t="s">
        <v>14</v>
      </c>
      <c r="D250" s="2" t="s">
        <v>2</v>
      </c>
      <c r="E250" s="4">
        <f t="shared" si="19"/>
        <v>15</v>
      </c>
      <c r="F250" s="3">
        <f t="shared" si="21"/>
        <v>15</v>
      </c>
      <c r="G250" s="3">
        <f t="shared" si="22"/>
        <v>3</v>
      </c>
      <c r="H250" s="5">
        <f t="shared" si="20"/>
        <v>-12</v>
      </c>
      <c r="I250" s="5">
        <f t="shared" si="23"/>
        <v>27</v>
      </c>
    </row>
    <row r="251" spans="1:9" x14ac:dyDescent="0.35">
      <c r="A251" s="2" t="str">
        <f t="shared" si="15"/>
        <v>RGP</v>
      </c>
      <c r="B251" s="2" t="s">
        <v>113</v>
      </c>
      <c r="C251" s="2" t="s">
        <v>15</v>
      </c>
      <c r="D251" s="2" t="s">
        <v>19</v>
      </c>
      <c r="E251" s="4">
        <f t="shared" si="19"/>
        <v>5</v>
      </c>
      <c r="F251" s="3">
        <f t="shared" si="21"/>
        <v>16</v>
      </c>
      <c r="G251" s="3">
        <f t="shared" si="22"/>
        <v>20</v>
      </c>
      <c r="H251" s="5">
        <f t="shared" si="20"/>
        <v>4</v>
      </c>
      <c r="I251" s="5">
        <f t="shared" si="23"/>
        <v>1</v>
      </c>
    </row>
    <row r="252" spans="1:9" x14ac:dyDescent="0.35">
      <c r="A252" s="2" t="str">
        <f t="shared" si="15"/>
        <v>RGQ</v>
      </c>
      <c r="B252" s="2" t="s">
        <v>113</v>
      </c>
      <c r="C252" s="2" t="s">
        <v>16</v>
      </c>
      <c r="D252" s="2" t="s">
        <v>18</v>
      </c>
      <c r="E252" s="4">
        <f t="shared" si="19"/>
        <v>3</v>
      </c>
      <c r="F252" s="3">
        <f t="shared" si="21"/>
        <v>17</v>
      </c>
      <c r="G252" s="3">
        <f t="shared" si="22"/>
        <v>19</v>
      </c>
      <c r="H252" s="5">
        <f t="shared" si="20"/>
        <v>2</v>
      </c>
      <c r="I252" s="5">
        <f t="shared" si="23"/>
        <v>1</v>
      </c>
    </row>
    <row r="253" spans="1:9" x14ac:dyDescent="0.35">
      <c r="A253" s="2" t="str">
        <f t="shared" si="15"/>
        <v>RGR</v>
      </c>
      <c r="B253" s="2" t="s">
        <v>113</v>
      </c>
      <c r="C253" s="2" t="s">
        <v>17</v>
      </c>
      <c r="D253" s="2" t="s">
        <v>8</v>
      </c>
      <c r="E253" s="4">
        <f t="shared" si="19"/>
        <v>18</v>
      </c>
      <c r="F253" s="3">
        <f t="shared" si="21"/>
        <v>18</v>
      </c>
      <c r="G253" s="3">
        <f t="shared" si="22"/>
        <v>9</v>
      </c>
      <c r="H253" s="5">
        <f t="shared" si="20"/>
        <v>-9</v>
      </c>
      <c r="I253" s="5">
        <f t="shared" si="23"/>
        <v>27</v>
      </c>
    </row>
    <row r="254" spans="1:9" x14ac:dyDescent="0.35">
      <c r="A254" s="2" t="str">
        <f t="shared" si="15"/>
        <v>RGS</v>
      </c>
      <c r="B254" s="2" t="s">
        <v>113</v>
      </c>
      <c r="C254" s="2" t="s">
        <v>18</v>
      </c>
      <c r="D254" s="2" t="s">
        <v>0</v>
      </c>
      <c r="E254" s="4">
        <f t="shared" si="19"/>
        <v>10</v>
      </c>
      <c r="F254" s="3">
        <f t="shared" si="21"/>
        <v>19</v>
      </c>
      <c r="G254" s="3">
        <f t="shared" si="22"/>
        <v>2</v>
      </c>
      <c r="H254" s="5">
        <f t="shared" si="20"/>
        <v>-17</v>
      </c>
      <c r="I254" s="5">
        <f t="shared" si="23"/>
        <v>27</v>
      </c>
    </row>
    <row r="255" spans="1:9" x14ac:dyDescent="0.35">
      <c r="A255" s="2" t="str">
        <f t="shared" si="15"/>
        <v>RGT</v>
      </c>
      <c r="B255" s="2" t="s">
        <v>113</v>
      </c>
      <c r="C255" s="2" t="s">
        <v>19</v>
      </c>
      <c r="D255" s="2" t="s">
        <v>12</v>
      </c>
      <c r="E255" s="4">
        <f t="shared" si="19"/>
        <v>20</v>
      </c>
      <c r="F255" s="3">
        <f t="shared" si="21"/>
        <v>20</v>
      </c>
      <c r="G255" s="3">
        <f t="shared" si="22"/>
        <v>13</v>
      </c>
      <c r="H255" s="5">
        <f t="shared" si="20"/>
        <v>-7</v>
      </c>
      <c r="I255" s="5">
        <f t="shared" si="23"/>
        <v>27</v>
      </c>
    </row>
    <row r="256" spans="1:9" x14ac:dyDescent="0.35">
      <c r="A256" s="2" t="str">
        <f t="shared" si="15"/>
        <v>RGU</v>
      </c>
      <c r="B256" s="2" t="s">
        <v>113</v>
      </c>
      <c r="C256" s="2" t="s">
        <v>20</v>
      </c>
      <c r="D256" s="2" t="s">
        <v>6</v>
      </c>
      <c r="E256" s="4">
        <f t="shared" si="19"/>
        <v>13</v>
      </c>
      <c r="F256" s="3">
        <f t="shared" si="21"/>
        <v>21</v>
      </c>
      <c r="G256" s="3">
        <f t="shared" si="22"/>
        <v>7</v>
      </c>
      <c r="H256" s="5">
        <f t="shared" si="20"/>
        <v>-14</v>
      </c>
      <c r="I256" s="5">
        <f t="shared" si="23"/>
        <v>27</v>
      </c>
    </row>
    <row r="257" spans="1:9" x14ac:dyDescent="0.35">
      <c r="A257" s="2" t="str">
        <f t="shared" si="15"/>
        <v>RGV</v>
      </c>
      <c r="B257" s="2" t="s">
        <v>113</v>
      </c>
      <c r="C257" s="2" t="s">
        <v>21</v>
      </c>
      <c r="D257" s="2" t="s">
        <v>22</v>
      </c>
      <c r="E257" s="4">
        <f t="shared" si="19"/>
        <v>2</v>
      </c>
      <c r="F257" s="3">
        <f t="shared" si="21"/>
        <v>22</v>
      </c>
      <c r="G257" s="3">
        <f t="shared" si="22"/>
        <v>23</v>
      </c>
      <c r="H257" s="5">
        <f t="shared" si="20"/>
        <v>1</v>
      </c>
      <c r="I257" s="5">
        <f t="shared" si="23"/>
        <v>1</v>
      </c>
    </row>
    <row r="258" spans="1:9" x14ac:dyDescent="0.35">
      <c r="A258" s="2" t="str">
        <f t="shared" si="15"/>
        <v>RGW</v>
      </c>
      <c r="B258" s="2" t="s">
        <v>113</v>
      </c>
      <c r="C258" s="2" t="s">
        <v>22</v>
      </c>
      <c r="D258" s="2" t="s">
        <v>16</v>
      </c>
      <c r="E258" s="4">
        <f t="shared" ref="E258:E261" si="24">H258+I258</f>
        <v>21</v>
      </c>
      <c r="F258" s="3">
        <f t="shared" si="21"/>
        <v>23</v>
      </c>
      <c r="G258" s="3">
        <f t="shared" si="22"/>
        <v>17</v>
      </c>
      <c r="H258" s="5">
        <f t="shared" ref="H258:H261" si="25">G258-F258</f>
        <v>-6</v>
      </c>
      <c r="I258" s="5">
        <f t="shared" si="23"/>
        <v>27</v>
      </c>
    </row>
    <row r="259" spans="1:9" x14ac:dyDescent="0.35">
      <c r="A259" s="2" t="str">
        <f t="shared" si="15"/>
        <v>RGX</v>
      </c>
      <c r="B259" s="2" t="s">
        <v>113</v>
      </c>
      <c r="C259" s="2" t="s">
        <v>23</v>
      </c>
      <c r="D259" s="2" t="s">
        <v>21</v>
      </c>
      <c r="E259" s="4">
        <f t="shared" si="24"/>
        <v>25</v>
      </c>
      <c r="F259" s="3">
        <f t="shared" si="21"/>
        <v>24</v>
      </c>
      <c r="G259" s="3">
        <f t="shared" si="22"/>
        <v>22</v>
      </c>
      <c r="H259" s="5">
        <f t="shared" si="25"/>
        <v>-2</v>
      </c>
      <c r="I259" s="5">
        <f t="shared" si="23"/>
        <v>27</v>
      </c>
    </row>
    <row r="260" spans="1:9" x14ac:dyDescent="0.35">
      <c r="A260" s="2" t="str">
        <f t="shared" si="15"/>
        <v>RGY</v>
      </c>
      <c r="B260" s="2" t="s">
        <v>113</v>
      </c>
      <c r="C260" s="2" t="s">
        <v>24</v>
      </c>
      <c r="D260" s="2" t="s">
        <v>14</v>
      </c>
      <c r="E260" s="4">
        <f t="shared" si="24"/>
        <v>17</v>
      </c>
      <c r="F260" s="3">
        <f t="shared" ref="F260:F261" si="26">VLOOKUP(C260,nLet2Num,2,FALSE)</f>
        <v>25</v>
      </c>
      <c r="G260" s="3">
        <f t="shared" ref="G260:G261" si="27">VLOOKUP(D260,nLet2Num,2,FALSE)</f>
        <v>15</v>
      </c>
      <c r="H260" s="5">
        <f t="shared" si="25"/>
        <v>-10</v>
      </c>
      <c r="I260" s="5">
        <f t="shared" si="23"/>
        <v>27</v>
      </c>
    </row>
    <row r="261" spans="1:9" x14ac:dyDescent="0.35">
      <c r="A261" s="2" t="str">
        <f t="shared" si="15"/>
        <v>RGZ</v>
      </c>
      <c r="B261" s="2" t="s">
        <v>113</v>
      </c>
      <c r="C261" s="2" t="s">
        <v>25</v>
      </c>
      <c r="D261" s="2" t="s">
        <v>20</v>
      </c>
      <c r="E261" s="4">
        <f t="shared" si="24"/>
        <v>22</v>
      </c>
      <c r="F261" s="3">
        <f t="shared" si="26"/>
        <v>26</v>
      </c>
      <c r="G261" s="3">
        <f t="shared" si="27"/>
        <v>21</v>
      </c>
      <c r="H261" s="5">
        <f t="shared" si="25"/>
        <v>-5</v>
      </c>
      <c r="I261" s="5">
        <f t="shared" ref="I261" si="28">IF(H261&lt;0,27,1)</f>
        <v>27</v>
      </c>
    </row>
    <row r="262" spans="1:9" x14ac:dyDescent="0.35"/>
  </sheetData>
  <sheetProtection sheet="1" objects="1" scenarios="1"/>
  <sortState xmlns:xlrd2="http://schemas.microsoft.com/office/spreadsheetml/2017/richdata2" ref="C236:D261">
    <sortCondition ref="C236:C261"/>
  </sortState>
  <mergeCells count="1">
    <mergeCell ref="A1:I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7"/>
  <dimension ref="A1:E54"/>
  <sheetViews>
    <sheetView showGridLines="0" showRowColHeaders="0" workbookViewId="0">
      <selection sqref="A1:D1"/>
    </sheetView>
  </sheetViews>
  <sheetFormatPr defaultColWidth="0" defaultRowHeight="14.5" zeroHeight="1" x14ac:dyDescent="0.35"/>
  <cols>
    <col min="1" max="4" width="9.7265625" customWidth="1"/>
    <col min="5" max="5" width="9.1796875" customWidth="1"/>
    <col min="6" max="16384" width="9.1796875" hidden="1"/>
  </cols>
  <sheetData>
    <row r="1" spans="1:4" x14ac:dyDescent="0.35">
      <c r="A1" s="101" t="s">
        <v>37</v>
      </c>
      <c r="B1" s="102"/>
      <c r="C1" s="102"/>
      <c r="D1" s="103"/>
    </row>
    <row r="2" spans="1:4" x14ac:dyDescent="0.35">
      <c r="A2" s="2" t="str">
        <f t="shared" ref="A2:A40" si="0">B2&amp;"_"&amp;C2</f>
        <v>ThinB_A</v>
      </c>
      <c r="B2" s="2" t="s">
        <v>104</v>
      </c>
      <c r="C2" s="2" t="s">
        <v>1</v>
      </c>
      <c r="D2" s="2" t="s">
        <v>4</v>
      </c>
    </row>
    <row r="3" spans="1:4" x14ac:dyDescent="0.35">
      <c r="A3" s="2" t="str">
        <f t="shared" si="0"/>
        <v>ThinB_B</v>
      </c>
      <c r="B3" s="2" t="s">
        <v>104</v>
      </c>
      <c r="C3" s="2" t="s">
        <v>0</v>
      </c>
      <c r="D3" s="2" t="s">
        <v>13</v>
      </c>
    </row>
    <row r="4" spans="1:4" x14ac:dyDescent="0.35">
      <c r="A4" s="2" t="str">
        <f t="shared" si="0"/>
        <v>ThinB_C</v>
      </c>
      <c r="B4" s="2" t="s">
        <v>104</v>
      </c>
      <c r="C4" s="2" t="s">
        <v>2</v>
      </c>
      <c r="D4" s="2" t="s">
        <v>10</v>
      </c>
    </row>
    <row r="5" spans="1:4" x14ac:dyDescent="0.35">
      <c r="A5" s="2" t="str">
        <f t="shared" si="0"/>
        <v>ThinB_D</v>
      </c>
      <c r="B5" s="2" t="s">
        <v>104</v>
      </c>
      <c r="C5" s="2" t="s">
        <v>3</v>
      </c>
      <c r="D5" s="2" t="s">
        <v>16</v>
      </c>
    </row>
    <row r="6" spans="1:4" x14ac:dyDescent="0.35">
      <c r="A6" s="2" t="str">
        <f t="shared" si="0"/>
        <v>ThinB_E</v>
      </c>
      <c r="B6" s="2" t="s">
        <v>104</v>
      </c>
      <c r="C6" s="2" t="s">
        <v>4</v>
      </c>
      <c r="D6" s="2" t="s">
        <v>1</v>
      </c>
    </row>
    <row r="7" spans="1:4" x14ac:dyDescent="0.35">
      <c r="A7" s="2" t="str">
        <f t="shared" si="0"/>
        <v>ThinB_F</v>
      </c>
      <c r="B7" s="2" t="s">
        <v>104</v>
      </c>
      <c r="C7" s="2" t="s">
        <v>5</v>
      </c>
      <c r="D7" s="2" t="s">
        <v>20</v>
      </c>
    </row>
    <row r="8" spans="1:4" x14ac:dyDescent="0.35">
      <c r="A8" s="2" t="str">
        <f t="shared" si="0"/>
        <v>ThinB_G</v>
      </c>
      <c r="B8" s="2" t="s">
        <v>104</v>
      </c>
      <c r="C8" s="2" t="s">
        <v>6</v>
      </c>
      <c r="D8" s="2" t="s">
        <v>24</v>
      </c>
    </row>
    <row r="9" spans="1:4" x14ac:dyDescent="0.35">
      <c r="A9" s="2" t="str">
        <f t="shared" si="0"/>
        <v>ThinB_H</v>
      </c>
      <c r="B9" s="2" t="s">
        <v>104</v>
      </c>
      <c r="C9" s="2" t="s">
        <v>7</v>
      </c>
      <c r="D9" s="2" t="s">
        <v>22</v>
      </c>
    </row>
    <row r="10" spans="1:4" x14ac:dyDescent="0.35">
      <c r="A10" s="2" t="str">
        <f t="shared" si="0"/>
        <v>ThinB_I</v>
      </c>
      <c r="B10" s="2" t="s">
        <v>104</v>
      </c>
      <c r="C10" s="2" t="s">
        <v>8</v>
      </c>
      <c r="D10" s="2" t="s">
        <v>9</v>
      </c>
    </row>
    <row r="11" spans="1:4" x14ac:dyDescent="0.35">
      <c r="A11" s="2" t="str">
        <f t="shared" si="0"/>
        <v>ThinB_J</v>
      </c>
      <c r="B11" s="2" t="s">
        <v>104</v>
      </c>
      <c r="C11" s="2" t="s">
        <v>9</v>
      </c>
      <c r="D11" s="2" t="s">
        <v>8</v>
      </c>
    </row>
    <row r="12" spans="1:4" x14ac:dyDescent="0.35">
      <c r="A12" s="2" t="str">
        <f t="shared" si="0"/>
        <v>ThinB_K</v>
      </c>
      <c r="B12" s="2" t="s">
        <v>104</v>
      </c>
      <c r="C12" s="2" t="s">
        <v>10</v>
      </c>
      <c r="D12" s="2" t="s">
        <v>2</v>
      </c>
    </row>
    <row r="13" spans="1:4" x14ac:dyDescent="0.35">
      <c r="A13" s="2" t="str">
        <f t="shared" si="0"/>
        <v>ThinB_L</v>
      </c>
      <c r="B13" s="2" t="s">
        <v>104</v>
      </c>
      <c r="C13" s="2" t="s">
        <v>11</v>
      </c>
      <c r="D13" s="2" t="s">
        <v>14</v>
      </c>
    </row>
    <row r="14" spans="1:4" x14ac:dyDescent="0.35">
      <c r="A14" s="2" t="str">
        <f t="shared" si="0"/>
        <v>ThinB_M</v>
      </c>
      <c r="B14" s="2" t="s">
        <v>104</v>
      </c>
      <c r="C14" s="2" t="s">
        <v>12</v>
      </c>
      <c r="D14" s="2" t="s">
        <v>15</v>
      </c>
    </row>
    <row r="15" spans="1:4" x14ac:dyDescent="0.35">
      <c r="A15" s="2" t="str">
        <f t="shared" si="0"/>
        <v>ThinB_N</v>
      </c>
      <c r="B15" s="2" t="s">
        <v>104</v>
      </c>
      <c r="C15" s="2" t="s">
        <v>13</v>
      </c>
      <c r="D15" s="2" t="s">
        <v>0</v>
      </c>
    </row>
    <row r="16" spans="1:4" x14ac:dyDescent="0.35">
      <c r="A16" s="2" t="str">
        <f t="shared" si="0"/>
        <v>ThinB_O</v>
      </c>
      <c r="B16" s="2" t="s">
        <v>104</v>
      </c>
      <c r="C16" s="2" t="s">
        <v>14</v>
      </c>
      <c r="D16" s="2" t="s">
        <v>11</v>
      </c>
    </row>
    <row r="17" spans="1:4" x14ac:dyDescent="0.35">
      <c r="A17" s="2" t="str">
        <f t="shared" si="0"/>
        <v>ThinB_P</v>
      </c>
      <c r="B17" s="2" t="s">
        <v>104</v>
      </c>
      <c r="C17" s="2" t="s">
        <v>15</v>
      </c>
      <c r="D17" s="2" t="s">
        <v>12</v>
      </c>
    </row>
    <row r="18" spans="1:4" x14ac:dyDescent="0.35">
      <c r="A18" s="2" t="str">
        <f t="shared" si="0"/>
        <v>ThinB_Q</v>
      </c>
      <c r="B18" s="2" t="s">
        <v>104</v>
      </c>
      <c r="C18" s="2" t="s">
        <v>16</v>
      </c>
      <c r="D18" s="2" t="s">
        <v>3</v>
      </c>
    </row>
    <row r="19" spans="1:4" x14ac:dyDescent="0.35">
      <c r="A19" s="2" t="str">
        <f t="shared" si="0"/>
        <v>ThinB_R</v>
      </c>
      <c r="B19" s="2" t="s">
        <v>104</v>
      </c>
      <c r="C19" s="2" t="s">
        <v>17</v>
      </c>
      <c r="D19" s="2" t="s">
        <v>23</v>
      </c>
    </row>
    <row r="20" spans="1:4" x14ac:dyDescent="0.35">
      <c r="A20" s="2" t="str">
        <f t="shared" si="0"/>
        <v>ThinB_S</v>
      </c>
      <c r="B20" s="2" t="s">
        <v>104</v>
      </c>
      <c r="C20" s="2" t="s">
        <v>18</v>
      </c>
      <c r="D20" s="2" t="s">
        <v>25</v>
      </c>
    </row>
    <row r="21" spans="1:4" x14ac:dyDescent="0.35">
      <c r="A21" s="2" t="str">
        <f t="shared" si="0"/>
        <v>ThinB_T</v>
      </c>
      <c r="B21" s="2" t="s">
        <v>104</v>
      </c>
      <c r="C21" s="2" t="s">
        <v>19</v>
      </c>
      <c r="D21" s="2" t="s">
        <v>21</v>
      </c>
    </row>
    <row r="22" spans="1:4" x14ac:dyDescent="0.35">
      <c r="A22" s="2" t="str">
        <f t="shared" si="0"/>
        <v>ThinB_U</v>
      </c>
      <c r="B22" s="2" t="s">
        <v>104</v>
      </c>
      <c r="C22" s="2" t="s">
        <v>20</v>
      </c>
      <c r="D22" s="2" t="s">
        <v>5</v>
      </c>
    </row>
    <row r="23" spans="1:4" x14ac:dyDescent="0.35">
      <c r="A23" s="2" t="str">
        <f t="shared" si="0"/>
        <v>ThinB_V</v>
      </c>
      <c r="B23" s="2" t="s">
        <v>104</v>
      </c>
      <c r="C23" s="2" t="s">
        <v>21</v>
      </c>
      <c r="D23" s="2" t="s">
        <v>19</v>
      </c>
    </row>
    <row r="24" spans="1:4" x14ac:dyDescent="0.35">
      <c r="A24" s="2" t="str">
        <f t="shared" si="0"/>
        <v>ThinB_W</v>
      </c>
      <c r="B24" s="2" t="s">
        <v>104</v>
      </c>
      <c r="C24" s="2" t="s">
        <v>22</v>
      </c>
      <c r="D24" s="2" t="s">
        <v>7</v>
      </c>
    </row>
    <row r="25" spans="1:4" x14ac:dyDescent="0.35">
      <c r="A25" s="2" t="str">
        <f t="shared" si="0"/>
        <v>ThinB_X</v>
      </c>
      <c r="B25" s="2" t="s">
        <v>104</v>
      </c>
      <c r="C25" s="2" t="s">
        <v>23</v>
      </c>
      <c r="D25" s="2" t="s">
        <v>17</v>
      </c>
    </row>
    <row r="26" spans="1:4" x14ac:dyDescent="0.35">
      <c r="A26" s="2" t="str">
        <f t="shared" si="0"/>
        <v>ThinB_Y</v>
      </c>
      <c r="B26" s="2" t="s">
        <v>104</v>
      </c>
      <c r="C26" s="2" t="s">
        <v>24</v>
      </c>
      <c r="D26" s="2" t="s">
        <v>6</v>
      </c>
    </row>
    <row r="27" spans="1:4" x14ac:dyDescent="0.35">
      <c r="A27" s="2" t="str">
        <f t="shared" si="0"/>
        <v>ThinB_Z</v>
      </c>
      <c r="B27" s="2" t="s">
        <v>104</v>
      </c>
      <c r="C27" s="2" t="s">
        <v>25</v>
      </c>
      <c r="D27" s="2" t="s">
        <v>18</v>
      </c>
    </row>
    <row r="28" spans="1:4" x14ac:dyDescent="0.35">
      <c r="A28" s="2" t="str">
        <f t="shared" si="0"/>
        <v>ThinC_A</v>
      </c>
      <c r="B28" s="2" t="s">
        <v>105</v>
      </c>
      <c r="C28" s="2" t="s">
        <v>1</v>
      </c>
      <c r="D28" s="2" t="s">
        <v>17</v>
      </c>
    </row>
    <row r="29" spans="1:4" x14ac:dyDescent="0.35">
      <c r="A29" s="2" t="str">
        <f t="shared" si="0"/>
        <v>ThinC_B</v>
      </c>
      <c r="B29" s="2" t="s">
        <v>105</v>
      </c>
      <c r="C29" s="2" t="s">
        <v>0</v>
      </c>
      <c r="D29" s="2" t="s">
        <v>3</v>
      </c>
    </row>
    <row r="30" spans="1:4" x14ac:dyDescent="0.35">
      <c r="A30" s="2" t="str">
        <f t="shared" si="0"/>
        <v>ThinC_C</v>
      </c>
      <c r="B30" s="2" t="s">
        <v>105</v>
      </c>
      <c r="C30" s="2" t="s">
        <v>2</v>
      </c>
      <c r="D30" s="2" t="s">
        <v>14</v>
      </c>
    </row>
    <row r="31" spans="1:4" x14ac:dyDescent="0.35">
      <c r="A31" s="2" t="str">
        <f t="shared" si="0"/>
        <v>ThinC_D</v>
      </c>
      <c r="B31" s="2" t="s">
        <v>105</v>
      </c>
      <c r="C31" s="2" t="s">
        <v>3</v>
      </c>
      <c r="D31" s="2" t="s">
        <v>0</v>
      </c>
    </row>
    <row r="32" spans="1:4" x14ac:dyDescent="0.35">
      <c r="A32" s="2" t="str">
        <f t="shared" si="0"/>
        <v>ThinC_E</v>
      </c>
      <c r="B32" s="2" t="s">
        <v>105</v>
      </c>
      <c r="C32" s="2" t="s">
        <v>4</v>
      </c>
      <c r="D32" s="2" t="s">
        <v>9</v>
      </c>
    </row>
    <row r="33" spans="1:4" x14ac:dyDescent="0.35">
      <c r="A33" s="2" t="str">
        <f t="shared" si="0"/>
        <v>ThinC_F</v>
      </c>
      <c r="B33" s="2" t="s">
        <v>105</v>
      </c>
      <c r="C33" s="2" t="s">
        <v>5</v>
      </c>
      <c r="D33" s="2" t="s">
        <v>13</v>
      </c>
    </row>
    <row r="34" spans="1:4" x14ac:dyDescent="0.35">
      <c r="A34" s="2" t="str">
        <f t="shared" si="0"/>
        <v>ThinC_G</v>
      </c>
      <c r="B34" s="2" t="s">
        <v>105</v>
      </c>
      <c r="C34" s="2" t="s">
        <v>6</v>
      </c>
      <c r="D34" s="2" t="s">
        <v>19</v>
      </c>
    </row>
    <row r="35" spans="1:4" x14ac:dyDescent="0.35">
      <c r="A35" s="2" t="str">
        <f t="shared" si="0"/>
        <v>ThinC_H</v>
      </c>
      <c r="B35" s="2" t="s">
        <v>105</v>
      </c>
      <c r="C35" s="2" t="s">
        <v>7</v>
      </c>
      <c r="D35" s="2" t="s">
        <v>10</v>
      </c>
    </row>
    <row r="36" spans="1:4" x14ac:dyDescent="0.35">
      <c r="A36" s="2" t="str">
        <f t="shared" si="0"/>
        <v>ThinC_I</v>
      </c>
      <c r="B36" s="2" t="s">
        <v>105</v>
      </c>
      <c r="C36" s="2" t="s">
        <v>8</v>
      </c>
      <c r="D36" s="2" t="s">
        <v>21</v>
      </c>
    </row>
    <row r="37" spans="1:4" x14ac:dyDescent="0.35">
      <c r="A37" s="2" t="str">
        <f t="shared" si="0"/>
        <v>ThinC_J</v>
      </c>
      <c r="B37" s="2" t="s">
        <v>105</v>
      </c>
      <c r="C37" s="2" t="s">
        <v>9</v>
      </c>
      <c r="D37" s="2" t="s">
        <v>4</v>
      </c>
    </row>
    <row r="38" spans="1:4" x14ac:dyDescent="0.35">
      <c r="A38" s="2" t="str">
        <f t="shared" si="0"/>
        <v>ThinC_K</v>
      </c>
      <c r="B38" s="2" t="s">
        <v>105</v>
      </c>
      <c r="C38" s="2" t="s">
        <v>10</v>
      </c>
      <c r="D38" s="2" t="s">
        <v>7</v>
      </c>
    </row>
    <row r="39" spans="1:4" x14ac:dyDescent="0.35">
      <c r="A39" s="2" t="str">
        <f t="shared" si="0"/>
        <v>ThinC_L</v>
      </c>
      <c r="B39" s="2" t="s">
        <v>105</v>
      </c>
      <c r="C39" s="2" t="s">
        <v>11</v>
      </c>
      <c r="D39" s="2" t="s">
        <v>12</v>
      </c>
    </row>
    <row r="40" spans="1:4" x14ac:dyDescent="0.35">
      <c r="A40" s="2" t="str">
        <f t="shared" si="0"/>
        <v>ThinC_M</v>
      </c>
      <c r="B40" s="2" t="s">
        <v>105</v>
      </c>
      <c r="C40" s="2" t="s">
        <v>12</v>
      </c>
      <c r="D40" s="2" t="s">
        <v>11</v>
      </c>
    </row>
    <row r="41" spans="1:4" x14ac:dyDescent="0.35">
      <c r="A41" s="2" t="str">
        <f t="shared" ref="A41:A53" si="1">B41&amp;"_"&amp;C41</f>
        <v>ThinC_N</v>
      </c>
      <c r="B41" s="2" t="s">
        <v>105</v>
      </c>
      <c r="C41" s="2" t="s">
        <v>13</v>
      </c>
      <c r="D41" s="2" t="s">
        <v>5</v>
      </c>
    </row>
    <row r="42" spans="1:4" x14ac:dyDescent="0.35">
      <c r="A42" s="2" t="str">
        <f t="shared" si="1"/>
        <v>ThinC_O</v>
      </c>
      <c r="B42" s="2" t="s">
        <v>105</v>
      </c>
      <c r="C42" s="2" t="s">
        <v>14</v>
      </c>
      <c r="D42" s="2" t="s">
        <v>2</v>
      </c>
    </row>
    <row r="43" spans="1:4" x14ac:dyDescent="0.35">
      <c r="A43" s="2" t="str">
        <f t="shared" si="1"/>
        <v>ThinC_P</v>
      </c>
      <c r="B43" s="2" t="s">
        <v>105</v>
      </c>
      <c r="C43" s="2" t="s">
        <v>15</v>
      </c>
      <c r="D43" s="2" t="s">
        <v>22</v>
      </c>
    </row>
    <row r="44" spans="1:4" x14ac:dyDescent="0.35">
      <c r="A44" s="2" t="str">
        <f t="shared" si="1"/>
        <v>ThinC_Q</v>
      </c>
      <c r="B44" s="2" t="s">
        <v>105</v>
      </c>
      <c r="C44" s="2" t="s">
        <v>16</v>
      </c>
      <c r="D44" s="2" t="s">
        <v>25</v>
      </c>
    </row>
    <row r="45" spans="1:4" x14ac:dyDescent="0.35">
      <c r="A45" s="2" t="str">
        <f t="shared" si="1"/>
        <v>ThinC_R</v>
      </c>
      <c r="B45" s="2" t="s">
        <v>105</v>
      </c>
      <c r="C45" s="2" t="s">
        <v>17</v>
      </c>
      <c r="D45" s="2" t="s">
        <v>1</v>
      </c>
    </row>
    <row r="46" spans="1:4" x14ac:dyDescent="0.35">
      <c r="A46" s="2" t="str">
        <f t="shared" si="1"/>
        <v>ThinC_S</v>
      </c>
      <c r="B46" s="2" t="s">
        <v>105</v>
      </c>
      <c r="C46" s="2" t="s">
        <v>18</v>
      </c>
      <c r="D46" s="2" t="s">
        <v>23</v>
      </c>
    </row>
    <row r="47" spans="1:4" x14ac:dyDescent="0.35">
      <c r="A47" s="2" t="str">
        <f t="shared" si="1"/>
        <v>ThinC_T</v>
      </c>
      <c r="B47" s="2" t="s">
        <v>105</v>
      </c>
      <c r="C47" s="2" t="s">
        <v>19</v>
      </c>
      <c r="D47" s="2" t="s">
        <v>6</v>
      </c>
    </row>
    <row r="48" spans="1:4" x14ac:dyDescent="0.35">
      <c r="A48" s="2" t="str">
        <f t="shared" si="1"/>
        <v>ThinC_U</v>
      </c>
      <c r="B48" s="2" t="s">
        <v>105</v>
      </c>
      <c r="C48" s="2" t="s">
        <v>20</v>
      </c>
      <c r="D48" s="2" t="s">
        <v>24</v>
      </c>
    </row>
    <row r="49" spans="1:4" x14ac:dyDescent="0.35">
      <c r="A49" s="2" t="str">
        <f t="shared" si="1"/>
        <v>ThinC_V</v>
      </c>
      <c r="B49" s="2" t="s">
        <v>105</v>
      </c>
      <c r="C49" s="2" t="s">
        <v>21</v>
      </c>
      <c r="D49" s="2" t="s">
        <v>8</v>
      </c>
    </row>
    <row r="50" spans="1:4" x14ac:dyDescent="0.35">
      <c r="A50" s="2" t="str">
        <f t="shared" si="1"/>
        <v>ThinC_W</v>
      </c>
      <c r="B50" s="2" t="s">
        <v>105</v>
      </c>
      <c r="C50" s="2" t="s">
        <v>22</v>
      </c>
      <c r="D50" s="2" t="s">
        <v>15</v>
      </c>
    </row>
    <row r="51" spans="1:4" x14ac:dyDescent="0.35">
      <c r="A51" s="2" t="str">
        <f t="shared" si="1"/>
        <v>ThinC_X</v>
      </c>
      <c r="B51" s="2" t="s">
        <v>105</v>
      </c>
      <c r="C51" s="2" t="s">
        <v>23</v>
      </c>
      <c r="D51" s="2" t="s">
        <v>18</v>
      </c>
    </row>
    <row r="52" spans="1:4" x14ac:dyDescent="0.35">
      <c r="A52" s="2" t="str">
        <f t="shared" si="1"/>
        <v>ThinC_Y</v>
      </c>
      <c r="B52" s="2" t="s">
        <v>105</v>
      </c>
      <c r="C52" s="2" t="s">
        <v>24</v>
      </c>
      <c r="D52" s="2" t="s">
        <v>20</v>
      </c>
    </row>
    <row r="53" spans="1:4" x14ac:dyDescent="0.35">
      <c r="A53" s="2" t="str">
        <f t="shared" si="1"/>
        <v>ThinC_Z</v>
      </c>
      <c r="B53" s="2" t="s">
        <v>105</v>
      </c>
      <c r="C53" s="2" t="s">
        <v>25</v>
      </c>
      <c r="D53" s="2" t="s">
        <v>16</v>
      </c>
    </row>
    <row r="54" spans="1:4" x14ac:dyDescent="0.35"/>
  </sheetData>
  <sheetProtection sheet="1" objects="1" scenarios="1"/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104</vt:i4>
      </vt:variant>
    </vt:vector>
  </HeadingPairs>
  <TitlesOfParts>
    <vt:vector size="113" baseType="lpstr">
      <vt:lpstr>About</vt:lpstr>
      <vt:lpstr>Enigma</vt:lpstr>
      <vt:lpstr>Settings</vt:lpstr>
      <vt:lpstr>Keyboard</vt:lpstr>
      <vt:lpstr>Results</vt:lpstr>
      <vt:lpstr>Wk</vt:lpstr>
      <vt:lpstr>Wk_Rotors</vt:lpstr>
      <vt:lpstr>Wk_Rotors_Reverse</vt:lpstr>
      <vt:lpstr>Wk_Reflectors</vt:lpstr>
      <vt:lpstr>nCurPosRotorGreek</vt:lpstr>
      <vt:lpstr>nCurPosRotorLeft</vt:lpstr>
      <vt:lpstr>nCurPosRotorMiddle</vt:lpstr>
      <vt:lpstr>nCurPosRotorRight</vt:lpstr>
      <vt:lpstr>nDash</vt:lpstr>
      <vt:lpstr>nInitialPositionsAToZ</vt:lpstr>
      <vt:lpstr>nInputLetter</vt:lpstr>
      <vt:lpstr>nKeyboardLetter</vt:lpstr>
      <vt:lpstr>nLampLetter</vt:lpstr>
      <vt:lpstr>nLampLetter2</vt:lpstr>
      <vt:lpstr>nLet2Num</vt:lpstr>
      <vt:lpstr>nMessageInput</vt:lpstr>
      <vt:lpstr>nMessageOutput</vt:lpstr>
      <vt:lpstr>nNum2Let</vt:lpstr>
      <vt:lpstr>nOutputLetter</vt:lpstr>
      <vt:lpstr>nPlug</vt:lpstr>
      <vt:lpstr>nPlug01</vt:lpstr>
      <vt:lpstr>nPlug02</vt:lpstr>
      <vt:lpstr>nPlug03</vt:lpstr>
      <vt:lpstr>nPlug04</vt:lpstr>
      <vt:lpstr>nPlug05</vt:lpstr>
      <vt:lpstr>nPlug06</vt:lpstr>
      <vt:lpstr>nPlug07</vt:lpstr>
      <vt:lpstr>nPlug08</vt:lpstr>
      <vt:lpstr>nPlug09</vt:lpstr>
      <vt:lpstr>nPlug10</vt:lpstr>
      <vt:lpstr>nRefl_In</vt:lpstr>
      <vt:lpstr>nRefl_Out</vt:lpstr>
      <vt:lpstr>nReflector</vt:lpstr>
      <vt:lpstr>nReflectorsValid</vt:lpstr>
      <vt:lpstr>nReflectorWide</vt:lpstr>
      <vt:lpstr>nResGreek</vt:lpstr>
      <vt:lpstr>nResInput</vt:lpstr>
      <vt:lpstr>nResLeft</vt:lpstr>
      <vt:lpstr>nResMiddle</vt:lpstr>
      <vt:lpstr>nResOutput</vt:lpstr>
      <vt:lpstr>nResRight</vt:lpstr>
      <vt:lpstr>nRFT</vt:lpstr>
      <vt:lpstr>nRG_ConIn</vt:lpstr>
      <vt:lpstr>nRG_ConOut</vt:lpstr>
      <vt:lpstr>nRG_SigIn</vt:lpstr>
      <vt:lpstr>nRG_SigOut</vt:lpstr>
      <vt:lpstr>nRingSettingGreek</vt:lpstr>
      <vt:lpstr>nRingSettingLeft</vt:lpstr>
      <vt:lpstr>nRingSettingMiddle</vt:lpstr>
      <vt:lpstr>nRingSettingRight</vt:lpstr>
      <vt:lpstr>nRingSettings1To26</vt:lpstr>
      <vt:lpstr>nRL_ConIn</vt:lpstr>
      <vt:lpstr>nRL_ConOut</vt:lpstr>
      <vt:lpstr>nRL_SigIn</vt:lpstr>
      <vt:lpstr>nRL_SigOut</vt:lpstr>
      <vt:lpstr>nRM_ConIn</vt:lpstr>
      <vt:lpstr>NRM_ConOut</vt:lpstr>
      <vt:lpstr>nRM_SigIn</vt:lpstr>
      <vt:lpstr>nRM_SigOut</vt:lpstr>
      <vt:lpstr>nRotor</vt:lpstr>
      <vt:lpstr>nRotorGreek</vt:lpstr>
      <vt:lpstr>nRotorGreekHistory</vt:lpstr>
      <vt:lpstr>nRotorGreekIndex</vt:lpstr>
      <vt:lpstr>nRotorGreekInit</vt:lpstr>
      <vt:lpstr>nRotorLeft</vt:lpstr>
      <vt:lpstr>nRotorLeftHistory</vt:lpstr>
      <vt:lpstr>nRotorLeftIndex</vt:lpstr>
      <vt:lpstr>nRotorLeftInit</vt:lpstr>
      <vt:lpstr>nRotorMiddle</vt:lpstr>
      <vt:lpstr>nRotorMiddleHistory</vt:lpstr>
      <vt:lpstr>nRotorMiddleIndex</vt:lpstr>
      <vt:lpstr>nRotorMiddleInit</vt:lpstr>
      <vt:lpstr>nRotorRev</vt:lpstr>
      <vt:lpstr>nRotorRight</vt:lpstr>
      <vt:lpstr>nRotorRightHistory</vt:lpstr>
      <vt:lpstr>nRotorRightIndex</vt:lpstr>
      <vt:lpstr>nRotorRightInit</vt:lpstr>
      <vt:lpstr>nRotors1To5</vt:lpstr>
      <vt:lpstr>nRotorsGreekValid</vt:lpstr>
      <vt:lpstr>nRotorsValid</vt:lpstr>
      <vt:lpstr>nRR_ConIn</vt:lpstr>
      <vt:lpstr>nRR_ConOut</vt:lpstr>
      <vt:lpstr>nRR_SigIn</vt:lpstr>
      <vt:lpstr>nRR_SigOut</vt:lpstr>
      <vt:lpstr>nRRG_ConIn</vt:lpstr>
      <vt:lpstr>nRRG_ConOut</vt:lpstr>
      <vt:lpstr>nRRG_SigIn</vt:lpstr>
      <vt:lpstr>nRRG_SigOut</vt:lpstr>
      <vt:lpstr>nRRL_ConIn</vt:lpstr>
      <vt:lpstr>nRRL_ConOut</vt:lpstr>
      <vt:lpstr>nRRL_SigIn</vt:lpstr>
      <vt:lpstr>nRRL_SigOut</vt:lpstr>
      <vt:lpstr>nRRM_ConIn</vt:lpstr>
      <vt:lpstr>nRRM_ConOut</vt:lpstr>
      <vt:lpstr>nRRM_SigIn</vt:lpstr>
      <vt:lpstr>nRRM_SigOut</vt:lpstr>
      <vt:lpstr>nRRR_ConIn</vt:lpstr>
      <vt:lpstr>nRRR_ConOut</vt:lpstr>
      <vt:lpstr>nRRR_SigIn</vt:lpstr>
      <vt:lpstr>nRRR_SigOut</vt:lpstr>
      <vt:lpstr>nRS_A</vt:lpstr>
      <vt:lpstr>nRS_N</vt:lpstr>
      <vt:lpstr>nSpacing</vt:lpstr>
      <vt:lpstr>nSpacingValid</vt:lpstr>
      <vt:lpstr>nStepRotorLeft</vt:lpstr>
      <vt:lpstr>nStepRotorMiddle</vt:lpstr>
      <vt:lpstr>nTurnover</vt:lpstr>
      <vt:lpstr>nTurnover2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EcglafA</dc:creator>
  <cp:lastModifiedBy>Alberto Bernasconi</cp:lastModifiedBy>
  <cp:lastPrinted>2012-12-13T15:05:56Z</cp:lastPrinted>
  <dcterms:created xsi:type="dcterms:W3CDTF">2012-06-02T21:05:27Z</dcterms:created>
  <dcterms:modified xsi:type="dcterms:W3CDTF">2024-06-18T18:22:42Z</dcterms:modified>
</cp:coreProperties>
</file>