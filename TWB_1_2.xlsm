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berto\Desktop\Enigma_TWB\EnigmaM4_1_0\2024\"/>
    </mc:Choice>
  </mc:AlternateContent>
  <xr:revisionPtr revIDLastSave="0" documentId="13_ncr:1_{AA2CA385-C839-4F56-B00B-FAB451EA4E04}" xr6:coauthVersionLast="47" xr6:coauthVersionMax="47" xr10:uidLastSave="{00000000-0000-0000-0000-000000000000}"/>
  <bookViews>
    <workbookView xWindow="-110" yWindow="-110" windowWidth="19420" windowHeight="10300" tabRatio="825" firstSheet="5" activeTab="14" xr2:uid="{00000000-000D-0000-FFFF-FFFF00000000}"/>
  </bookViews>
  <sheets>
    <sheet name="About" sheetId="40" r:id="rId1"/>
    <sheet name="Enigma01" sheetId="1" r:id="rId2"/>
    <sheet name="Enigma02" sheetId="22" r:id="rId3"/>
    <sheet name="Enigma03" sheetId="23" r:id="rId4"/>
    <sheet name="Enigma04" sheetId="24" r:id="rId5"/>
    <sheet name="Enigma05" sheetId="25" r:id="rId6"/>
    <sheet name="Enigma06" sheetId="26" r:id="rId7"/>
    <sheet name="Enigma07" sheetId="27" r:id="rId8"/>
    <sheet name="Enigma08" sheetId="28" r:id="rId9"/>
    <sheet name="Enigma09" sheetId="29" r:id="rId10"/>
    <sheet name="Enigma10" sheetId="36" r:id="rId11"/>
    <sheet name="Enigma11" sheetId="37" r:id="rId12"/>
    <sheet name="Enigma12" sheetId="38" r:id="rId13"/>
    <sheet name="Wires" sheetId="31" r:id="rId14"/>
    <sheet name="Settings" sheetId="39" r:id="rId15"/>
    <sheet name="Tables" sheetId="2" r:id="rId16"/>
    <sheet name="Rotors" sheetId="3" r:id="rId17"/>
    <sheet name="RotorsReverse" sheetId="8" r:id="rId18"/>
    <sheet name="Reflectors" sheetId="9" r:id="rId19"/>
  </sheets>
  <functionGroups builtInGroupCount="19"/>
  <definedNames>
    <definedName name="n_CounterFrom">Settings!$B$34</definedName>
    <definedName name="n_CounterPositions">Wires!$B$2</definedName>
    <definedName name="n_CounterTo">Settings!$B$35</definedName>
    <definedName name="n_CurrentInputLetter">Settings!$B$26</definedName>
    <definedName name="n_CurrentWire">Settings!$B$27</definedName>
    <definedName name="n_DisplayLiveWires">Settings!$C$29</definedName>
    <definedName name="n_IL01">Settings!$D$2</definedName>
    <definedName name="n_IL02">Settings!$D$3</definedName>
    <definedName name="n_IL03">Settings!$D$4</definedName>
    <definedName name="n_IL04">Settings!$D$5</definedName>
    <definedName name="n_IL05">Settings!$D$6</definedName>
    <definedName name="n_IL06">Settings!$D$7</definedName>
    <definedName name="n_IL07">Settings!$D$8</definedName>
    <definedName name="n_IL08">Settings!$D$9</definedName>
    <definedName name="n_IL09">Settings!$D$10</definedName>
    <definedName name="n_IL10">Settings!$D$11</definedName>
    <definedName name="n_IL11">Settings!$D$12</definedName>
    <definedName name="n_IL12">Settings!$D$13</definedName>
    <definedName name="n_OL01">Settings!$F$2</definedName>
    <definedName name="n_OL02">Settings!$F$3</definedName>
    <definedName name="n_OL03">Settings!$F$4</definedName>
    <definedName name="n_OL04">Settings!$F$5</definedName>
    <definedName name="n_OL05">Settings!$F$6</definedName>
    <definedName name="n_OL06">Settings!$F$7</definedName>
    <definedName name="n_OL07">Settings!$F$8</definedName>
    <definedName name="n_OL08">Settings!$F$9</definedName>
    <definedName name="n_OL09">Settings!$F$10</definedName>
    <definedName name="n_OL10">Settings!$F$11</definedName>
    <definedName name="n_OL11">Settings!$F$12</definedName>
    <definedName name="n_OL12">Settings!$F$13</definedName>
    <definedName name="n_Reflector">Settings!$B$23</definedName>
    <definedName name="n_RingPosL">Settings!$A$21</definedName>
    <definedName name="n_RingPosM">Settings!$B$21</definedName>
    <definedName name="n_RingPosR">Settings!$C$21</definedName>
    <definedName name="n_RO01">Settings!$H$2</definedName>
    <definedName name="n_RO02">Settings!$H$3</definedName>
    <definedName name="n_RO03">Settings!$H$4</definedName>
    <definedName name="n_RO04">Settings!$H$5</definedName>
    <definedName name="n_RO05">Settings!$H$6</definedName>
    <definedName name="n_RO06">Settings!$H$7</definedName>
    <definedName name="n_RO07">Settings!$H$8</definedName>
    <definedName name="n_RO08">Settings!$H$9</definedName>
    <definedName name="n_RO09">Settings!$H$10</definedName>
    <definedName name="n_RO10">Settings!$H$11</definedName>
    <definedName name="n_RO11">Settings!$H$12</definedName>
    <definedName name="n_RO12">Settings!$H$13</definedName>
    <definedName name="n_RotorL">Settings!$A$17</definedName>
    <definedName name="n_RotorM">Settings!$B$17</definedName>
    <definedName name="n_RotorR">Settings!$C$17</definedName>
    <definedName name="n_RowOffset">Settings!$A$50</definedName>
    <definedName name="n_WiresSheetZoom">Settings!$C$31</definedName>
    <definedName name="nAvailableReflectors">Tables!$S$2:$S$4</definedName>
    <definedName name="nAvailableRotors">Tables!$Q$2:$Q$9</definedName>
    <definedName name="nBooleanChoiceYesNo">Tables!$U$2:$U$3</definedName>
    <definedName name="nCharOffset" localSheetId="2">Enigma02!$C$1</definedName>
    <definedName name="nCharOffset" localSheetId="3">Enigma03!$C$1</definedName>
    <definedName name="nCharOffset" localSheetId="4">Enigma04!$C$1</definedName>
    <definedName name="nCharOffset" localSheetId="5">Enigma05!$C$1</definedName>
    <definedName name="nCharOffset" localSheetId="6">Enigma06!$C$1</definedName>
    <definedName name="nCharOffset" localSheetId="7">Enigma07!$C$1</definedName>
    <definedName name="nCharOffset" localSheetId="8">Enigma08!$C$1</definedName>
    <definedName name="nCharOffset" localSheetId="9">Enigma09!$C$1</definedName>
    <definedName name="nCharOffset" localSheetId="10">Enigma10!$C$1</definedName>
    <definedName name="nCharOffset" localSheetId="11">Enigma11!$C$1</definedName>
    <definedName name="nCharOffset" localSheetId="12">Enigma12!$C$1</definedName>
    <definedName name="nCharOffset">Enigma01!$C$1</definedName>
    <definedName name="nCounter">Settings!$A$38</definedName>
    <definedName name="nCurPosL" localSheetId="2">Enigma02!$E$18</definedName>
    <definedName name="nCurPosL" localSheetId="3">Enigma03!$E$18</definedName>
    <definedName name="nCurPosL" localSheetId="4">Enigma04!$E$18</definedName>
    <definedName name="nCurPosL" localSheetId="5">Enigma05!$E$18</definedName>
    <definedName name="nCurPosL" localSheetId="6">Enigma06!$E$18</definedName>
    <definedName name="nCurPosL" localSheetId="7">Enigma07!$E$18</definedName>
    <definedName name="nCurPosL" localSheetId="8">Enigma08!$E$18</definedName>
    <definedName name="nCurPosL" localSheetId="9">Enigma09!$E$18</definedName>
    <definedName name="nCurPosL" localSheetId="10">Enigma10!$E$18</definedName>
    <definedName name="nCurPosL" localSheetId="11">Enigma11!$E$18</definedName>
    <definedName name="nCurPosL" localSheetId="12">Enigma12!$E$18</definedName>
    <definedName name="nCurPosL">Enigma01!$E$18</definedName>
    <definedName name="nCurPosM" localSheetId="2">Enigma02!$E$12</definedName>
    <definedName name="nCurPosM" localSheetId="3">Enigma03!$E$12</definedName>
    <definedName name="nCurPosM" localSheetId="4">Enigma04!$E$12</definedName>
    <definedName name="nCurPosM" localSheetId="5">Enigma05!$E$12</definedName>
    <definedName name="nCurPosM" localSheetId="6">Enigma06!$E$12</definedName>
    <definedName name="nCurPosM" localSheetId="7">Enigma07!$E$12</definedName>
    <definedName name="nCurPosM" localSheetId="8">Enigma08!$E$12</definedName>
    <definedName name="nCurPosM" localSheetId="9">Enigma09!$E$12</definedName>
    <definedName name="nCurPosM" localSheetId="10">Enigma10!$E$12</definedName>
    <definedName name="nCurPosM" localSheetId="11">Enigma11!$E$12</definedName>
    <definedName name="nCurPosM" localSheetId="12">Enigma12!$E$12</definedName>
    <definedName name="nCurPosM">Enigma01!$E$12</definedName>
    <definedName name="nCurPosR" localSheetId="2">Enigma02!$E$6</definedName>
    <definedName name="nCurPosR" localSheetId="3">Enigma03!$E$6</definedName>
    <definedName name="nCurPosR" localSheetId="4">Enigma04!$E$6</definedName>
    <definedName name="nCurPosR" localSheetId="5">Enigma05!$E$6</definedName>
    <definedName name="nCurPosR" localSheetId="6">Enigma06!$E$6</definedName>
    <definedName name="nCurPosR" localSheetId="7">Enigma07!$E$6</definedName>
    <definedName name="nCurPosR" localSheetId="8">Enigma08!$E$6</definedName>
    <definedName name="nCurPosR" localSheetId="9">Enigma09!$E$6</definedName>
    <definedName name="nCurPosR" localSheetId="10">Enigma10!$E$6</definedName>
    <definedName name="nCurPosR" localSheetId="11">Enigma11!$E$6</definedName>
    <definedName name="nCurPosR" localSheetId="12">Enigma12!$E$6</definedName>
    <definedName name="nCurPosR">Enigma01!$E$6</definedName>
    <definedName name="nLetter26Lowercase">Tables!$O$3:$O$28</definedName>
    <definedName name="nLetter26Uppercase">Tables!$M$3:$M$28</definedName>
    <definedName name="nLettersUppercase">Tables!$M$2:$M$28</definedName>
    <definedName name="nNextLetter">Tables!$G$2:$H$27</definedName>
    <definedName name="nNum2Let">Tables!$D$2:$E$79</definedName>
    <definedName name="nReflector" localSheetId="2">Enigma02!$D$23</definedName>
    <definedName name="nReflector" localSheetId="3">Enigma03!$D$23</definedName>
    <definedName name="nReflector" localSheetId="4">Enigma04!$D$23</definedName>
    <definedName name="nReflector" localSheetId="5">Enigma05!$D$23</definedName>
    <definedName name="nReflector" localSheetId="6">Enigma06!$D$23</definedName>
    <definedName name="nReflector" localSheetId="7">Enigma07!$D$23</definedName>
    <definedName name="nReflector" localSheetId="8">Enigma08!$D$23</definedName>
    <definedName name="nReflector" localSheetId="9">Enigma09!$D$23</definedName>
    <definedName name="nReflector" localSheetId="10">Enigma10!$D$23</definedName>
    <definedName name="nReflector" localSheetId="11">Enigma11!$D$23</definedName>
    <definedName name="nReflector" localSheetId="12">Enigma12!$D$23</definedName>
    <definedName name="nReflector">Enigma01!$D$23</definedName>
    <definedName name="nReflectorWide">Reflectors!$A$2:$D$79</definedName>
    <definedName name="nRingOffset">Tables!$J$2:$K$27</definedName>
    <definedName name="nRingOffsetL" localSheetId="2">Enigma02!$D$19</definedName>
    <definedName name="nRingOffsetL" localSheetId="3">Enigma03!$D$19</definedName>
    <definedName name="nRingOffsetL" localSheetId="4">Enigma04!$D$19</definedName>
    <definedName name="nRingOffsetL" localSheetId="5">Enigma05!$D$19</definedName>
    <definedName name="nRingOffsetL" localSheetId="6">Enigma06!$D$19</definedName>
    <definedName name="nRingOffsetL" localSheetId="7">Enigma07!$D$19</definedName>
    <definedName name="nRingOffsetL" localSheetId="8">Enigma08!$D$19</definedName>
    <definedName name="nRingOffsetL" localSheetId="9">Enigma09!$D$19</definedName>
    <definedName name="nRingOffsetL" localSheetId="10">Enigma10!$D$19</definedName>
    <definedName name="nRingOffsetL" localSheetId="11">Enigma11!$D$19</definedName>
    <definedName name="nRingOffsetL" localSheetId="12">Enigma12!$D$19</definedName>
    <definedName name="nRingOffsetL">Enigma01!$D$19</definedName>
    <definedName name="nRingOffsetM" localSheetId="2">Enigma02!$D$13</definedName>
    <definedName name="nRingOffsetM" localSheetId="3">Enigma03!$D$13</definedName>
    <definedName name="nRingOffsetM" localSheetId="4">Enigma04!$D$13</definedName>
    <definedName name="nRingOffsetM" localSheetId="5">Enigma05!$D$13</definedName>
    <definedName name="nRingOffsetM" localSheetId="6">Enigma06!$D$13</definedName>
    <definedName name="nRingOffsetM" localSheetId="7">Enigma07!$D$13</definedName>
    <definedName name="nRingOffsetM" localSheetId="8">Enigma08!$D$13</definedName>
    <definedName name="nRingOffsetM" localSheetId="9">Enigma09!$D$13</definedName>
    <definedName name="nRingOffsetM" localSheetId="10">Enigma10!$D$13</definedName>
    <definedName name="nRingOffsetM" localSheetId="11">Enigma11!$D$13</definedName>
    <definedName name="nRingOffsetM" localSheetId="12">Enigma12!$D$13</definedName>
    <definedName name="nRingOffsetM">Enigma01!$D$13</definedName>
    <definedName name="nRingOffsetR" localSheetId="2">Enigma02!$D$7</definedName>
    <definedName name="nRingOffsetR" localSheetId="3">Enigma03!$D$7</definedName>
    <definedName name="nRingOffsetR" localSheetId="4">Enigma04!$D$7</definedName>
    <definedName name="nRingOffsetR" localSheetId="5">Enigma05!$D$7</definedName>
    <definedName name="nRingOffsetR" localSheetId="6">Enigma06!$D$7</definedName>
    <definedName name="nRingOffsetR" localSheetId="7">Enigma07!$D$7</definedName>
    <definedName name="nRingOffsetR" localSheetId="8">Enigma08!$D$7</definedName>
    <definedName name="nRingOffsetR" localSheetId="9">Enigma09!$D$7</definedName>
    <definedName name="nRingOffsetR" localSheetId="10">Enigma10!$D$7</definedName>
    <definedName name="nRingOffsetR" localSheetId="11">Enigma11!$D$7</definedName>
    <definedName name="nRingOffsetR" localSheetId="12">Enigma12!$D$7</definedName>
    <definedName name="nRingOffsetR">Enigma01!$D$7</definedName>
    <definedName name="nRotor">Rotors!$A$2:$E$209</definedName>
    <definedName name="nRotorL" localSheetId="2">Enigma02!$C$18</definedName>
    <definedName name="nRotorL" localSheetId="3">Enigma03!$C$18</definedName>
    <definedName name="nRotorL" localSheetId="4">Enigma04!$C$18</definedName>
    <definedName name="nRotorL" localSheetId="5">Enigma05!$C$18</definedName>
    <definedName name="nRotorL" localSheetId="6">Enigma06!$C$18</definedName>
    <definedName name="nRotorL" localSheetId="7">Enigma07!$C$18</definedName>
    <definedName name="nRotorL" localSheetId="8">Enigma08!$C$18</definedName>
    <definedName name="nRotorL" localSheetId="9">Enigma09!$C$18</definedName>
    <definedName name="nRotorL" localSheetId="10">Enigma10!$C$18</definedName>
    <definedName name="nRotorL" localSheetId="11">Enigma11!$C$18</definedName>
    <definedName name="nRotorL" localSheetId="12">Enigma12!$C$18</definedName>
    <definedName name="nRotorL">Enigma01!$C$18</definedName>
    <definedName name="nRotorL_Rev" localSheetId="2">Enigma02!$C$27</definedName>
    <definedName name="nRotorL_Rev" localSheetId="3">Enigma03!$C$27</definedName>
    <definedName name="nRotorL_Rev" localSheetId="4">Enigma04!$C$27</definedName>
    <definedName name="nRotorL_Rev" localSheetId="5">Enigma05!$C$27</definedName>
    <definedName name="nRotorL_Rev" localSheetId="6">Enigma06!$C$27</definedName>
    <definedName name="nRotorL_Rev" localSheetId="7">Enigma07!$C$27</definedName>
    <definedName name="nRotorL_Rev" localSheetId="8">Enigma08!$C$27</definedName>
    <definedName name="nRotorL_Rev" localSheetId="9">Enigma09!$C$27</definedName>
    <definedName name="nRotorL_Rev" localSheetId="10">Enigma10!$C$27</definedName>
    <definedName name="nRotorL_Rev" localSheetId="11">Enigma11!$C$27</definedName>
    <definedName name="nRotorL_Rev" localSheetId="12">Enigma12!$C$27</definedName>
    <definedName name="nRotorL_Rev">Enigma01!$C$27</definedName>
    <definedName name="nRotorM" localSheetId="2">Enigma02!$C$12</definedName>
    <definedName name="nRotorM" localSheetId="3">Enigma03!$C$12</definedName>
    <definedName name="nRotorM" localSheetId="4">Enigma04!$C$12</definedName>
    <definedName name="nRotorM" localSheetId="5">Enigma05!$C$12</definedName>
    <definedName name="nRotorM" localSheetId="6">Enigma06!$C$12</definedName>
    <definedName name="nRotorM" localSheetId="7">Enigma07!$C$12</definedName>
    <definedName name="nRotorM" localSheetId="8">Enigma08!$C$12</definedName>
    <definedName name="nRotorM" localSheetId="9">Enigma09!$C$12</definedName>
    <definedName name="nRotorM" localSheetId="10">Enigma10!$C$12</definedName>
    <definedName name="nRotorM" localSheetId="11">Enigma11!$C$12</definedName>
    <definedName name="nRotorM" localSheetId="12">Enigma12!$C$12</definedName>
    <definedName name="nRotorM">Enigma01!$C$12</definedName>
    <definedName name="nRotorM_Rev" localSheetId="2">Enigma02!$C$33</definedName>
    <definedName name="nRotorM_Rev" localSheetId="3">Enigma03!$C$33</definedName>
    <definedName name="nRotorM_Rev" localSheetId="4">Enigma04!$C$33</definedName>
    <definedName name="nRotorM_Rev" localSheetId="5">Enigma05!$C$33</definedName>
    <definedName name="nRotorM_Rev" localSheetId="6">Enigma06!$C$33</definedName>
    <definedName name="nRotorM_Rev" localSheetId="7">Enigma07!$C$33</definedName>
    <definedName name="nRotorM_Rev" localSheetId="8">Enigma08!$C$33</definedName>
    <definedName name="nRotorM_Rev" localSheetId="9">Enigma09!$C$33</definedName>
    <definedName name="nRotorM_Rev" localSheetId="10">Enigma10!$C$33</definedName>
    <definedName name="nRotorM_Rev" localSheetId="11">Enigma11!$C$33</definedName>
    <definedName name="nRotorM_Rev" localSheetId="12">Enigma12!$C$33</definedName>
    <definedName name="nRotorM_Rev">Enigma01!$C$33</definedName>
    <definedName name="nRotorR" localSheetId="2">Enigma02!$C$6</definedName>
    <definedName name="nRotorR" localSheetId="3">Enigma03!$C$6</definedName>
    <definedName name="nRotorR" localSheetId="4">Enigma04!$C$6</definedName>
    <definedName name="nRotorR" localSheetId="5">Enigma05!$C$6</definedName>
    <definedName name="nRotorR" localSheetId="6">Enigma06!$C$6</definedName>
    <definedName name="nRotorR" localSheetId="7">Enigma07!$C$6</definedName>
    <definedName name="nRotorR" localSheetId="8">Enigma08!$C$6</definedName>
    <definedName name="nRotorR" localSheetId="9">Enigma09!$C$6</definedName>
    <definedName name="nRotorR" localSheetId="10">Enigma10!$C$6</definedName>
    <definedName name="nRotorR" localSheetId="11">Enigma11!$C$6</definedName>
    <definedName name="nRotorR" localSheetId="12">Enigma12!$C$6</definedName>
    <definedName name="nRotorR">Enigma01!$C$6</definedName>
    <definedName name="nRotorR_Rev" localSheetId="2">Enigma02!$C$39</definedName>
    <definedName name="nRotorR_Rev" localSheetId="3">Enigma03!$C$39</definedName>
    <definedName name="nRotorR_Rev" localSheetId="4">Enigma04!$C$39</definedName>
    <definedName name="nRotorR_Rev" localSheetId="5">Enigma05!$C$39</definedName>
    <definedName name="nRotorR_Rev" localSheetId="6">Enigma06!$C$39</definedName>
    <definedName name="nRotorR_Rev" localSheetId="7">Enigma07!$C$39</definedName>
    <definedName name="nRotorR_Rev" localSheetId="8">Enigma08!$C$39</definedName>
    <definedName name="nRotorR_Rev" localSheetId="9">Enigma09!$C$39</definedName>
    <definedName name="nRotorR_Rev" localSheetId="10">Enigma10!$C$39</definedName>
    <definedName name="nRotorR_Rev" localSheetId="11">Enigma11!$C$39</definedName>
    <definedName name="nRotorR_Rev" localSheetId="12">Enigma12!$C$39</definedName>
    <definedName name="nRotorR_Rev">Enigma01!$C$39</definedName>
    <definedName name="nRotorRev">RotorsReverse!$A$2:$E$209</definedName>
    <definedName name="nWireLetter">Settings!$A$48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31" l="1"/>
  <c r="C23" i="38" l="1"/>
  <c r="C19" i="38"/>
  <c r="C18" i="38"/>
  <c r="C13" i="38"/>
  <c r="C12" i="38"/>
  <c r="C7" i="38"/>
  <c r="C6" i="38"/>
  <c r="C23" i="37"/>
  <c r="C19" i="37"/>
  <c r="C18" i="37"/>
  <c r="C13" i="37"/>
  <c r="C12" i="37"/>
  <c r="C7" i="37"/>
  <c r="C6" i="37"/>
  <c r="C23" i="36"/>
  <c r="C19" i="36"/>
  <c r="C18" i="36"/>
  <c r="C13" i="36"/>
  <c r="C12" i="36"/>
  <c r="C7" i="36"/>
  <c r="C6" i="36"/>
  <c r="C23" i="29"/>
  <c r="C19" i="29"/>
  <c r="C18" i="29"/>
  <c r="C13" i="29"/>
  <c r="C12" i="29"/>
  <c r="C7" i="29"/>
  <c r="C6" i="29"/>
  <c r="C23" i="28"/>
  <c r="C19" i="28"/>
  <c r="C18" i="28"/>
  <c r="C13" i="28"/>
  <c r="C12" i="28"/>
  <c r="C7" i="28"/>
  <c r="C6" i="28"/>
  <c r="C23" i="27"/>
  <c r="C19" i="27"/>
  <c r="C18" i="27"/>
  <c r="C13" i="27"/>
  <c r="C12" i="27"/>
  <c r="C7" i="27"/>
  <c r="C6" i="27"/>
  <c r="C23" i="26"/>
  <c r="C19" i="26"/>
  <c r="C18" i="26"/>
  <c r="C13" i="26"/>
  <c r="C12" i="26"/>
  <c r="C7" i="26"/>
  <c r="C6" i="26"/>
  <c r="C23" i="25"/>
  <c r="C19" i="25"/>
  <c r="C18" i="25"/>
  <c r="C13" i="25"/>
  <c r="C12" i="25"/>
  <c r="C7" i="25"/>
  <c r="C6" i="25"/>
  <c r="C23" i="24"/>
  <c r="C19" i="24"/>
  <c r="C18" i="24"/>
  <c r="C13" i="24"/>
  <c r="C12" i="24"/>
  <c r="C7" i="24"/>
  <c r="C6" i="24"/>
  <c r="C23" i="23"/>
  <c r="C19" i="23"/>
  <c r="C18" i="23"/>
  <c r="C13" i="23"/>
  <c r="C12" i="23"/>
  <c r="C7" i="23"/>
  <c r="C6" i="23"/>
  <c r="C23" i="22"/>
  <c r="C19" i="22"/>
  <c r="C18" i="22"/>
  <c r="C13" i="22"/>
  <c r="C12" i="22"/>
  <c r="C7" i="22"/>
  <c r="C6" i="22"/>
  <c r="C6" i="1"/>
  <c r="C12" i="1"/>
  <c r="C18" i="1"/>
  <c r="C23" i="1"/>
  <c r="C7" i="1"/>
  <c r="C13" i="1"/>
  <c r="C19" i="1"/>
  <c r="D3" i="38"/>
  <c r="D3" i="37"/>
  <c r="D3" i="36"/>
  <c r="D3" i="29"/>
  <c r="D3" i="28"/>
  <c r="D3" i="27"/>
  <c r="D3" i="26"/>
  <c r="D2" i="26"/>
  <c r="D3" i="25"/>
  <c r="D3" i="24"/>
  <c r="D3" i="23"/>
  <c r="D3" i="22"/>
  <c r="D3" i="1"/>
  <c r="D27" i="31"/>
  <c r="D25" i="31"/>
  <c r="D23" i="31"/>
  <c r="D21" i="31"/>
  <c r="D19" i="31"/>
  <c r="D17" i="31"/>
  <c r="D15" i="31"/>
  <c r="D13" i="31"/>
  <c r="D11" i="31"/>
  <c r="D9" i="31"/>
  <c r="D7" i="31"/>
  <c r="D5" i="31"/>
  <c r="D26" i="31"/>
  <c r="D24" i="31"/>
  <c r="D22" i="31"/>
  <c r="D20" i="31"/>
  <c r="D18" i="31"/>
  <c r="D16" i="31"/>
  <c r="D14" i="31"/>
  <c r="D12" i="31"/>
  <c r="D10" i="31"/>
  <c r="D8" i="31"/>
  <c r="D6" i="31"/>
  <c r="D4" i="31"/>
  <c r="A48" i="39"/>
  <c r="C44" i="39"/>
  <c r="C46" i="39" s="1"/>
  <c r="C41" i="39" s="1"/>
  <c r="B43" i="39"/>
  <c r="B44" i="39" s="1"/>
  <c r="B46" i="39" s="1"/>
  <c r="A43" i="39"/>
  <c r="A44" i="39" s="1"/>
  <c r="A46" i="39" s="1"/>
  <c r="B41" i="39" l="1"/>
  <c r="A41" i="39"/>
  <c r="AF26" i="31"/>
  <c r="BE26" i="31"/>
  <c r="BD26" i="31"/>
  <c r="BC26" i="31"/>
  <c r="BB26" i="31"/>
  <c r="BA26" i="31"/>
  <c r="AZ26" i="31"/>
  <c r="AY26" i="31"/>
  <c r="AX26" i="31"/>
  <c r="AW26" i="31"/>
  <c r="AV26" i="31"/>
  <c r="AU26" i="31"/>
  <c r="AT26" i="31"/>
  <c r="AS26" i="31"/>
  <c r="AR26" i="31"/>
  <c r="AQ26" i="31"/>
  <c r="AP26" i="31"/>
  <c r="AO26" i="31"/>
  <c r="AN26" i="31"/>
  <c r="AM26" i="31"/>
  <c r="AL26" i="31"/>
  <c r="AK26" i="31"/>
  <c r="AJ26" i="31"/>
  <c r="AI26" i="31"/>
  <c r="AH26" i="31"/>
  <c r="AG26" i="31"/>
  <c r="C39" i="38"/>
  <c r="C33" i="38"/>
  <c r="C27" i="38"/>
  <c r="D23" i="38"/>
  <c r="D19" i="38"/>
  <c r="D13" i="38"/>
  <c r="D7" i="38"/>
  <c r="AE5" i="38"/>
  <c r="AD5" i="38"/>
  <c r="AC5" i="38"/>
  <c r="AB5" i="38"/>
  <c r="AA5" i="38"/>
  <c r="Z5" i="38"/>
  <c r="Y5" i="38"/>
  <c r="X5" i="38"/>
  <c r="W5" i="38"/>
  <c r="V5" i="38"/>
  <c r="U5" i="38"/>
  <c r="T5" i="38"/>
  <c r="S5" i="38"/>
  <c r="R5" i="38"/>
  <c r="Q5" i="38"/>
  <c r="P5" i="38"/>
  <c r="O5" i="38"/>
  <c r="N5" i="38"/>
  <c r="M5" i="38"/>
  <c r="L5" i="38"/>
  <c r="K5" i="38"/>
  <c r="J5" i="38"/>
  <c r="I5" i="38"/>
  <c r="H5" i="38"/>
  <c r="G5" i="38"/>
  <c r="F5" i="38"/>
  <c r="D2" i="38"/>
  <c r="A11" i="38" s="1"/>
  <c r="A12" i="38" s="1"/>
  <c r="D12" i="38" s="1"/>
  <c r="D1" i="38"/>
  <c r="BE24" i="31"/>
  <c r="BD24" i="31"/>
  <c r="BC24" i="31"/>
  <c r="BB24" i="31"/>
  <c r="BA24" i="31"/>
  <c r="AZ24" i="31"/>
  <c r="AY24" i="31"/>
  <c r="AX24" i="31"/>
  <c r="AW24" i="31"/>
  <c r="AV24" i="31"/>
  <c r="AU24" i="31"/>
  <c r="AT24" i="31"/>
  <c r="AS24" i="31"/>
  <c r="AR24" i="31"/>
  <c r="AQ24" i="31"/>
  <c r="AP24" i="31"/>
  <c r="AO24" i="31"/>
  <c r="AN24" i="31"/>
  <c r="AM24" i="31"/>
  <c r="AL24" i="31"/>
  <c r="AK24" i="31"/>
  <c r="AJ24" i="31"/>
  <c r="AI24" i="31"/>
  <c r="AH24" i="31"/>
  <c r="AG24" i="31"/>
  <c r="AF24" i="31"/>
  <c r="C39" i="37"/>
  <c r="C33" i="37"/>
  <c r="C27" i="37"/>
  <c r="D23" i="37"/>
  <c r="D19" i="37"/>
  <c r="D13" i="37"/>
  <c r="D7" i="37"/>
  <c r="AE5" i="37"/>
  <c r="AD5" i="37"/>
  <c r="AC5" i="37"/>
  <c r="AB5" i="37"/>
  <c r="AA5" i="37"/>
  <c r="Z5" i="37"/>
  <c r="Y5" i="37"/>
  <c r="X5" i="37"/>
  <c r="W5" i="37"/>
  <c r="V5" i="37"/>
  <c r="U5" i="37"/>
  <c r="T5" i="37"/>
  <c r="S5" i="37"/>
  <c r="R5" i="37"/>
  <c r="Q5" i="37"/>
  <c r="P5" i="37"/>
  <c r="O5" i="37"/>
  <c r="N5" i="37"/>
  <c r="M5" i="37"/>
  <c r="L5" i="37"/>
  <c r="K5" i="37"/>
  <c r="J5" i="37"/>
  <c r="I5" i="37"/>
  <c r="H5" i="37"/>
  <c r="G5" i="37"/>
  <c r="F5" i="37"/>
  <c r="D2" i="37"/>
  <c r="D6" i="37" s="1"/>
  <c r="D1" i="37"/>
  <c r="AF22" i="31"/>
  <c r="BE22" i="31"/>
  <c r="BD22" i="31"/>
  <c r="BC22" i="31"/>
  <c r="BB22" i="31"/>
  <c r="BA22" i="31"/>
  <c r="AZ22" i="31"/>
  <c r="AY22" i="31"/>
  <c r="AX22" i="31"/>
  <c r="AW22" i="31"/>
  <c r="AV22" i="31"/>
  <c r="AU22" i="31"/>
  <c r="AT22" i="31"/>
  <c r="AS22" i="31"/>
  <c r="AR22" i="31"/>
  <c r="AQ22" i="31"/>
  <c r="AP22" i="31"/>
  <c r="AO22" i="31"/>
  <c r="AN22" i="31"/>
  <c r="AM22" i="31"/>
  <c r="AL22" i="31"/>
  <c r="AK22" i="31"/>
  <c r="AJ22" i="31"/>
  <c r="AI22" i="31"/>
  <c r="AH22" i="31"/>
  <c r="AG22" i="31"/>
  <c r="B2" i="31" l="1"/>
  <c r="A11" i="37"/>
  <c r="A12" i="37" s="1"/>
  <c r="D12" i="37" s="1"/>
  <c r="E12" i="37" s="1"/>
  <c r="D33" i="38"/>
  <c r="E12" i="38"/>
  <c r="A17" i="37"/>
  <c r="A18" i="37" s="1"/>
  <c r="D18" i="37" s="1"/>
  <c r="D27" i="37" s="1"/>
  <c r="A17" i="38"/>
  <c r="A18" i="38" s="1"/>
  <c r="D18" i="38" s="1"/>
  <c r="D6" i="38"/>
  <c r="D39" i="37"/>
  <c r="E6" i="37"/>
  <c r="AA7" i="37" s="1"/>
  <c r="AA8" i="37" s="1"/>
  <c r="AA9" i="37" s="1"/>
  <c r="BC9" i="37" s="1"/>
  <c r="C39" i="36"/>
  <c r="C33" i="36"/>
  <c r="C27" i="36"/>
  <c r="D23" i="36"/>
  <c r="D19" i="36"/>
  <c r="D13" i="36"/>
  <c r="D7" i="36"/>
  <c r="AE5" i="36"/>
  <c r="AD5" i="36"/>
  <c r="AC5" i="36"/>
  <c r="AB5" i="36"/>
  <c r="AA5" i="36"/>
  <c r="Z5" i="36"/>
  <c r="Y5" i="36"/>
  <c r="X5" i="36"/>
  <c r="W5" i="36"/>
  <c r="V5" i="36"/>
  <c r="U5" i="36"/>
  <c r="T5" i="36"/>
  <c r="S5" i="36"/>
  <c r="R5" i="36"/>
  <c r="Q5" i="36"/>
  <c r="P5" i="36"/>
  <c r="O5" i="36"/>
  <c r="N5" i="36"/>
  <c r="M5" i="36"/>
  <c r="L5" i="36"/>
  <c r="K5" i="36"/>
  <c r="J5" i="36"/>
  <c r="I5" i="36"/>
  <c r="H5" i="36"/>
  <c r="G5" i="36"/>
  <c r="F5" i="36"/>
  <c r="D2" i="36"/>
  <c r="A17" i="36" s="1"/>
  <c r="A18" i="36" s="1"/>
  <c r="D18" i="36" s="1"/>
  <c r="D27" i="36" s="1"/>
  <c r="D1" i="36"/>
  <c r="D33" i="37" l="1"/>
  <c r="X7" i="37"/>
  <c r="X8" i="37" s="1"/>
  <c r="X9" i="37" s="1"/>
  <c r="AZ9" i="37" s="1"/>
  <c r="AZ7" i="37" s="1"/>
  <c r="Y7" i="37"/>
  <c r="Y8" i="37" s="1"/>
  <c r="Y9" i="37" s="1"/>
  <c r="BA9" i="37" s="1"/>
  <c r="BA8" i="37" s="1"/>
  <c r="E18" i="37"/>
  <c r="E27" i="37" s="1"/>
  <c r="D39" i="38"/>
  <c r="E6" i="38"/>
  <c r="F12" i="38"/>
  <c r="E33" i="38"/>
  <c r="D27" i="38"/>
  <c r="E18" i="38"/>
  <c r="AB7" i="37"/>
  <c r="AB8" i="37" s="1"/>
  <c r="AB9" i="37" s="1"/>
  <c r="BD9" i="37" s="1"/>
  <c r="BD7" i="37" s="1"/>
  <c r="AE7" i="37"/>
  <c r="AE8" i="37" s="1"/>
  <c r="AE9" i="37" s="1"/>
  <c r="BG9" i="37" s="1"/>
  <c r="BG7" i="37" s="1"/>
  <c r="Z7" i="37"/>
  <c r="Z8" i="37" s="1"/>
  <c r="Z9" i="37" s="1"/>
  <c r="BB9" i="37" s="1"/>
  <c r="BB7" i="37" s="1"/>
  <c r="AD7" i="37"/>
  <c r="AD8" i="37" s="1"/>
  <c r="AD9" i="37" s="1"/>
  <c r="BF9" i="37" s="1"/>
  <c r="BF8" i="37" s="1"/>
  <c r="W7" i="37"/>
  <c r="W8" i="37" s="1"/>
  <c r="W9" i="37" s="1"/>
  <c r="AY9" i="37" s="1"/>
  <c r="AY8" i="37" s="1"/>
  <c r="G7" i="37"/>
  <c r="G8" i="37" s="1"/>
  <c r="G9" i="37" s="1"/>
  <c r="AI9" i="37" s="1"/>
  <c r="AI8" i="37" s="1"/>
  <c r="R7" i="37"/>
  <c r="R8" i="37" s="1"/>
  <c r="R9" i="37" s="1"/>
  <c r="AT9" i="37" s="1"/>
  <c r="AT7" i="37" s="1"/>
  <c r="V7" i="37"/>
  <c r="V8" i="37" s="1"/>
  <c r="V9" i="37" s="1"/>
  <c r="AX9" i="37" s="1"/>
  <c r="AX7" i="37" s="1"/>
  <c r="U7" i="37"/>
  <c r="U8" i="37" s="1"/>
  <c r="U9" i="37" s="1"/>
  <c r="AW9" i="37" s="1"/>
  <c r="AW8" i="37" s="1"/>
  <c r="J7" i="37"/>
  <c r="J8" i="37" s="1"/>
  <c r="J9" i="37" s="1"/>
  <c r="AL9" i="37" s="1"/>
  <c r="AL8" i="37" s="1"/>
  <c r="F7" i="37"/>
  <c r="F8" i="37" s="1"/>
  <c r="F9" i="37" s="1"/>
  <c r="AH9" i="37" s="1"/>
  <c r="BC7" i="37"/>
  <c r="BC8" i="37"/>
  <c r="E33" i="37"/>
  <c r="F12" i="37"/>
  <c r="E39" i="37"/>
  <c r="F6" i="37"/>
  <c r="T7" i="37"/>
  <c r="T8" i="37" s="1"/>
  <c r="T9" i="37" s="1"/>
  <c r="AV9" i="37" s="1"/>
  <c r="AC7" i="37"/>
  <c r="AC8" i="37" s="1"/>
  <c r="AC9" i="37" s="1"/>
  <c r="BE9" i="37" s="1"/>
  <c r="L7" i="37"/>
  <c r="L8" i="37" s="1"/>
  <c r="L9" i="37" s="1"/>
  <c r="AN9" i="37" s="1"/>
  <c r="M7" i="37"/>
  <c r="M8" i="37" s="1"/>
  <c r="M9" i="37" s="1"/>
  <c r="AO9" i="37" s="1"/>
  <c r="S7" i="37"/>
  <c r="S8" i="37" s="1"/>
  <c r="S9" i="37" s="1"/>
  <c r="AU9" i="37" s="1"/>
  <c r="P7" i="37"/>
  <c r="P8" i="37" s="1"/>
  <c r="P9" i="37" s="1"/>
  <c r="AR9" i="37" s="1"/>
  <c r="K7" i="37"/>
  <c r="K8" i="37" s="1"/>
  <c r="K9" i="37" s="1"/>
  <c r="AM9" i="37" s="1"/>
  <c r="I7" i="37"/>
  <c r="I8" i="37" s="1"/>
  <c r="I9" i="37" s="1"/>
  <c r="AK9" i="37" s="1"/>
  <c r="H7" i="37"/>
  <c r="H8" i="37" s="1"/>
  <c r="H9" i="37" s="1"/>
  <c r="AJ9" i="37" s="1"/>
  <c r="N7" i="37"/>
  <c r="N8" i="37" s="1"/>
  <c r="N9" i="37" s="1"/>
  <c r="AP9" i="37" s="1"/>
  <c r="Q7" i="37"/>
  <c r="Q8" i="37" s="1"/>
  <c r="Q9" i="37" s="1"/>
  <c r="AS9" i="37" s="1"/>
  <c r="O7" i="37"/>
  <c r="O8" i="37" s="1"/>
  <c r="O9" i="37" s="1"/>
  <c r="AQ9" i="37" s="1"/>
  <c r="A11" i="36"/>
  <c r="A12" i="36" s="1"/>
  <c r="D12" i="36" s="1"/>
  <c r="D33" i="36" s="1"/>
  <c r="D6" i="36"/>
  <c r="D39" i="36" s="1"/>
  <c r="E18" i="36"/>
  <c r="F18" i="37" l="1"/>
  <c r="F27" i="37" s="1"/>
  <c r="G27" i="37" s="1"/>
  <c r="H27" i="37" s="1"/>
  <c r="I27" i="37" s="1"/>
  <c r="J27" i="37" s="1"/>
  <c r="K27" i="37" s="1"/>
  <c r="L27" i="37" s="1"/>
  <c r="M27" i="37" s="1"/>
  <c r="N27" i="37" s="1"/>
  <c r="O27" i="37" s="1"/>
  <c r="P27" i="37" s="1"/>
  <c r="Q27" i="37" s="1"/>
  <c r="R27" i="37" s="1"/>
  <c r="S27" i="37" s="1"/>
  <c r="T27" i="37" s="1"/>
  <c r="U27" i="37" s="1"/>
  <c r="V27" i="37" s="1"/>
  <c r="W27" i="37" s="1"/>
  <c r="X27" i="37" s="1"/>
  <c r="Y27" i="37" s="1"/>
  <c r="Z27" i="37" s="1"/>
  <c r="AA27" i="37" s="1"/>
  <c r="AB27" i="37" s="1"/>
  <c r="AC27" i="37" s="1"/>
  <c r="AD27" i="37" s="1"/>
  <c r="AE27" i="37" s="1"/>
  <c r="AZ8" i="37"/>
  <c r="BA7" i="37"/>
  <c r="BF7" i="37"/>
  <c r="BB8" i="37"/>
  <c r="AL7" i="37"/>
  <c r="BG8" i="37"/>
  <c r="E27" i="38"/>
  <c r="F18" i="38"/>
  <c r="BD8" i="37"/>
  <c r="G12" i="38"/>
  <c r="H12" i="38" s="1"/>
  <c r="I12" i="38" s="1"/>
  <c r="J12" i="38" s="1"/>
  <c r="K12" i="38" s="1"/>
  <c r="L12" i="38" s="1"/>
  <c r="M12" i="38" s="1"/>
  <c r="N12" i="38" s="1"/>
  <c r="O12" i="38" s="1"/>
  <c r="P12" i="38" s="1"/>
  <c r="Q12" i="38" s="1"/>
  <c r="R12" i="38" s="1"/>
  <c r="S12" i="38" s="1"/>
  <c r="T12" i="38" s="1"/>
  <c r="U12" i="38" s="1"/>
  <c r="V12" i="38" s="1"/>
  <c r="W12" i="38" s="1"/>
  <c r="X12" i="38" s="1"/>
  <c r="Y12" i="38" s="1"/>
  <c r="Z12" i="38" s="1"/>
  <c r="AA12" i="38" s="1"/>
  <c r="AB12" i="38" s="1"/>
  <c r="AC12" i="38" s="1"/>
  <c r="AD12" i="38" s="1"/>
  <c r="AE12" i="38" s="1"/>
  <c r="F33" i="38"/>
  <c r="G33" i="38" s="1"/>
  <c r="H33" i="38" s="1"/>
  <c r="I33" i="38" s="1"/>
  <c r="J33" i="38" s="1"/>
  <c r="K33" i="38" s="1"/>
  <c r="L33" i="38" s="1"/>
  <c r="M33" i="38" s="1"/>
  <c r="N33" i="38" s="1"/>
  <c r="O33" i="38" s="1"/>
  <c r="P33" i="38" s="1"/>
  <c r="Q33" i="38" s="1"/>
  <c r="R33" i="38" s="1"/>
  <c r="S33" i="38" s="1"/>
  <c r="T33" i="38" s="1"/>
  <c r="U33" i="38" s="1"/>
  <c r="V33" i="38" s="1"/>
  <c r="W33" i="38" s="1"/>
  <c r="X33" i="38" s="1"/>
  <c r="Y33" i="38" s="1"/>
  <c r="Z33" i="38" s="1"/>
  <c r="AA33" i="38" s="1"/>
  <c r="AB33" i="38" s="1"/>
  <c r="AC33" i="38" s="1"/>
  <c r="AD33" i="38" s="1"/>
  <c r="AE33" i="38" s="1"/>
  <c r="E39" i="38"/>
  <c r="F6" i="38"/>
  <c r="X7" i="38"/>
  <c r="X8" i="38" s="1"/>
  <c r="X9" i="38" s="1"/>
  <c r="AZ9" i="38" s="1"/>
  <c r="N7" i="38"/>
  <c r="N8" i="38" s="1"/>
  <c r="N9" i="38" s="1"/>
  <c r="AP9" i="38" s="1"/>
  <c r="U7" i="38"/>
  <c r="U8" i="38" s="1"/>
  <c r="U9" i="38" s="1"/>
  <c r="AW9" i="38" s="1"/>
  <c r="H7" i="38"/>
  <c r="H8" i="38" s="1"/>
  <c r="H9" i="38" s="1"/>
  <c r="AJ9" i="38" s="1"/>
  <c r="F7" i="38"/>
  <c r="F8" i="38" s="1"/>
  <c r="F9" i="38" s="1"/>
  <c r="P7" i="38"/>
  <c r="P8" i="38" s="1"/>
  <c r="P9" i="38" s="1"/>
  <c r="AR9" i="38" s="1"/>
  <c r="M7" i="38"/>
  <c r="M8" i="38" s="1"/>
  <c r="M9" i="38" s="1"/>
  <c r="AO9" i="38" s="1"/>
  <c r="AD7" i="38"/>
  <c r="AD8" i="38" s="1"/>
  <c r="AD9" i="38" s="1"/>
  <c r="BF9" i="38" s="1"/>
  <c r="AC7" i="38"/>
  <c r="AC8" i="38" s="1"/>
  <c r="AC9" i="38" s="1"/>
  <c r="BE9" i="38" s="1"/>
  <c r="S7" i="38"/>
  <c r="S8" i="38" s="1"/>
  <c r="S9" i="38" s="1"/>
  <c r="AU9" i="38" s="1"/>
  <c r="J7" i="38"/>
  <c r="J8" i="38" s="1"/>
  <c r="J9" i="38" s="1"/>
  <c r="AL9" i="38" s="1"/>
  <c r="I7" i="38"/>
  <c r="I8" i="38" s="1"/>
  <c r="I9" i="38" s="1"/>
  <c r="AK9" i="38" s="1"/>
  <c r="G7" i="38"/>
  <c r="G8" i="38" s="1"/>
  <c r="G9" i="38" s="1"/>
  <c r="AI9" i="38" s="1"/>
  <c r="AA7" i="38"/>
  <c r="AA8" i="38" s="1"/>
  <c r="AA9" i="38" s="1"/>
  <c r="BC9" i="38" s="1"/>
  <c r="AB7" i="38"/>
  <c r="AB8" i="38" s="1"/>
  <c r="AB9" i="38" s="1"/>
  <c r="BD9" i="38" s="1"/>
  <c r="W7" i="38"/>
  <c r="W8" i="38" s="1"/>
  <c r="W9" i="38" s="1"/>
  <c r="AY9" i="38" s="1"/>
  <c r="O7" i="38"/>
  <c r="O8" i="38" s="1"/>
  <c r="O9" i="38" s="1"/>
  <c r="AQ9" i="38" s="1"/>
  <c r="L7" i="38"/>
  <c r="L8" i="38" s="1"/>
  <c r="L9" i="38" s="1"/>
  <c r="AN9" i="38" s="1"/>
  <c r="Q7" i="38"/>
  <c r="Q8" i="38" s="1"/>
  <c r="Q9" i="38" s="1"/>
  <c r="AS9" i="38" s="1"/>
  <c r="T7" i="38"/>
  <c r="T8" i="38" s="1"/>
  <c r="T9" i="38" s="1"/>
  <c r="AV9" i="38" s="1"/>
  <c r="Y7" i="38"/>
  <c r="Y8" i="38" s="1"/>
  <c r="Y9" i="38" s="1"/>
  <c r="BA9" i="38" s="1"/>
  <c r="R7" i="38"/>
  <c r="R8" i="38" s="1"/>
  <c r="R9" i="38" s="1"/>
  <c r="AT9" i="38" s="1"/>
  <c r="V7" i="38"/>
  <c r="V8" i="38" s="1"/>
  <c r="V9" i="38" s="1"/>
  <c r="AX9" i="38" s="1"/>
  <c r="Z7" i="38"/>
  <c r="Z8" i="38" s="1"/>
  <c r="Z9" i="38" s="1"/>
  <c r="BB9" i="38" s="1"/>
  <c r="AE7" i="38"/>
  <c r="AE8" i="38" s="1"/>
  <c r="AE9" i="38" s="1"/>
  <c r="BG9" i="38" s="1"/>
  <c r="K7" i="38"/>
  <c r="K8" i="38" s="1"/>
  <c r="K9" i="38" s="1"/>
  <c r="AM9" i="38" s="1"/>
  <c r="AX8" i="37"/>
  <c r="AT8" i="37"/>
  <c r="AI7" i="37"/>
  <c r="AY7" i="37"/>
  <c r="AW7" i="37"/>
  <c r="AU8" i="37"/>
  <c r="AU7" i="37"/>
  <c r="AQ8" i="37"/>
  <c r="AQ7" i="37"/>
  <c r="AO7" i="37"/>
  <c r="AO8" i="37"/>
  <c r="G12" i="37"/>
  <c r="H12" i="37" s="1"/>
  <c r="I12" i="37" s="1"/>
  <c r="J12" i="37" s="1"/>
  <c r="K12" i="37" s="1"/>
  <c r="L12" i="37" s="1"/>
  <c r="M12" i="37" s="1"/>
  <c r="N12" i="37" s="1"/>
  <c r="O12" i="37" s="1"/>
  <c r="P12" i="37" s="1"/>
  <c r="Q12" i="37" s="1"/>
  <c r="R12" i="37" s="1"/>
  <c r="S12" i="37" s="1"/>
  <c r="T12" i="37" s="1"/>
  <c r="U12" i="37" s="1"/>
  <c r="V12" i="37" s="1"/>
  <c r="W12" i="37" s="1"/>
  <c r="X12" i="37" s="1"/>
  <c r="Y12" i="37" s="1"/>
  <c r="Z12" i="37" s="1"/>
  <c r="AA12" i="37" s="1"/>
  <c r="AB12" i="37" s="1"/>
  <c r="AC12" i="37" s="1"/>
  <c r="AD12" i="37" s="1"/>
  <c r="AE12" i="37" s="1"/>
  <c r="F33" i="37"/>
  <c r="G33" i="37" s="1"/>
  <c r="H33" i="37" s="1"/>
  <c r="I33" i="37" s="1"/>
  <c r="J33" i="37" s="1"/>
  <c r="K33" i="37" s="1"/>
  <c r="L33" i="37" s="1"/>
  <c r="M33" i="37" s="1"/>
  <c r="N33" i="37" s="1"/>
  <c r="O33" i="37" s="1"/>
  <c r="P33" i="37" s="1"/>
  <c r="Q33" i="37" s="1"/>
  <c r="R33" i="37" s="1"/>
  <c r="S33" i="37" s="1"/>
  <c r="T33" i="37" s="1"/>
  <c r="U33" i="37" s="1"/>
  <c r="V33" i="37" s="1"/>
  <c r="W33" i="37" s="1"/>
  <c r="X33" i="37" s="1"/>
  <c r="Y33" i="37" s="1"/>
  <c r="Z33" i="37" s="1"/>
  <c r="AA33" i="37" s="1"/>
  <c r="AB33" i="37" s="1"/>
  <c r="AC33" i="37" s="1"/>
  <c r="AD33" i="37" s="1"/>
  <c r="AE33" i="37" s="1"/>
  <c r="AS7" i="37"/>
  <c r="AS8" i="37"/>
  <c r="AN8" i="37"/>
  <c r="AN7" i="37"/>
  <c r="AR7" i="37"/>
  <c r="AR8" i="37"/>
  <c r="AH8" i="37"/>
  <c r="AH7" i="37"/>
  <c r="AF9" i="37"/>
  <c r="AJ8" i="37"/>
  <c r="AJ7" i="37"/>
  <c r="AV8" i="37"/>
  <c r="AV7" i="37"/>
  <c r="AP8" i="37"/>
  <c r="AP7" i="37"/>
  <c r="AK8" i="37"/>
  <c r="AK7" i="37"/>
  <c r="F39" i="37"/>
  <c r="G39" i="37" s="1"/>
  <c r="H39" i="37" s="1"/>
  <c r="I39" i="37" s="1"/>
  <c r="J39" i="37" s="1"/>
  <c r="K39" i="37" s="1"/>
  <c r="L39" i="37" s="1"/>
  <c r="M39" i="37" s="1"/>
  <c r="N39" i="37" s="1"/>
  <c r="O39" i="37" s="1"/>
  <c r="P39" i="37" s="1"/>
  <c r="Q39" i="37" s="1"/>
  <c r="R39" i="37" s="1"/>
  <c r="S39" i="37" s="1"/>
  <c r="T39" i="37" s="1"/>
  <c r="U39" i="37" s="1"/>
  <c r="V39" i="37" s="1"/>
  <c r="W39" i="37" s="1"/>
  <c r="X39" i="37" s="1"/>
  <c r="Y39" i="37" s="1"/>
  <c r="Z39" i="37" s="1"/>
  <c r="AA39" i="37" s="1"/>
  <c r="AB39" i="37" s="1"/>
  <c r="AC39" i="37" s="1"/>
  <c r="AD39" i="37" s="1"/>
  <c r="AE39" i="37" s="1"/>
  <c r="G6" i="37"/>
  <c r="H6" i="37" s="1"/>
  <c r="I6" i="37" s="1"/>
  <c r="J6" i="37" s="1"/>
  <c r="K6" i="37" s="1"/>
  <c r="L6" i="37" s="1"/>
  <c r="M6" i="37" s="1"/>
  <c r="N6" i="37" s="1"/>
  <c r="O6" i="37" s="1"/>
  <c r="P6" i="37" s="1"/>
  <c r="Q6" i="37" s="1"/>
  <c r="R6" i="37" s="1"/>
  <c r="S6" i="37" s="1"/>
  <c r="T6" i="37" s="1"/>
  <c r="U6" i="37" s="1"/>
  <c r="V6" i="37" s="1"/>
  <c r="W6" i="37" s="1"/>
  <c r="X6" i="37" s="1"/>
  <c r="Y6" i="37" s="1"/>
  <c r="Z6" i="37" s="1"/>
  <c r="AA6" i="37" s="1"/>
  <c r="AB6" i="37" s="1"/>
  <c r="AC6" i="37" s="1"/>
  <c r="AD6" i="37" s="1"/>
  <c r="AE6" i="37" s="1"/>
  <c r="BE7" i="37"/>
  <c r="BE8" i="37"/>
  <c r="E6" i="36"/>
  <c r="E39" i="36" s="1"/>
  <c r="AM7" i="37"/>
  <c r="AM8" i="37"/>
  <c r="E12" i="36"/>
  <c r="E33" i="36" s="1"/>
  <c r="E27" i="36"/>
  <c r="F18" i="36"/>
  <c r="E79" i="31"/>
  <c r="F79" i="31" s="1"/>
  <c r="G79" i="31" s="1"/>
  <c r="H79" i="31" s="1"/>
  <c r="I79" i="31" s="1"/>
  <c r="J79" i="31" s="1"/>
  <c r="K79" i="31" s="1"/>
  <c r="L79" i="31" s="1"/>
  <c r="M79" i="31" s="1"/>
  <c r="N79" i="31" s="1"/>
  <c r="O79" i="31" s="1"/>
  <c r="P79" i="31" s="1"/>
  <c r="Q79" i="31" s="1"/>
  <c r="R79" i="31" s="1"/>
  <c r="S79" i="31" s="1"/>
  <c r="T79" i="31" s="1"/>
  <c r="U79" i="31" s="1"/>
  <c r="V79" i="31" s="1"/>
  <c r="W79" i="31" s="1"/>
  <c r="E77" i="31"/>
  <c r="F77" i="31" s="1"/>
  <c r="E75" i="31"/>
  <c r="F75" i="31" s="1"/>
  <c r="G75" i="31" s="1"/>
  <c r="H75" i="31" s="1"/>
  <c r="I75" i="31" s="1"/>
  <c r="J75" i="31" s="1"/>
  <c r="K75" i="31" s="1"/>
  <c r="L75" i="31" s="1"/>
  <c r="M75" i="31" s="1"/>
  <c r="N75" i="31" s="1"/>
  <c r="O75" i="31" s="1"/>
  <c r="P75" i="31" s="1"/>
  <c r="Q75" i="31" s="1"/>
  <c r="R75" i="31" s="1"/>
  <c r="S75" i="31" s="1"/>
  <c r="T75" i="31" s="1"/>
  <c r="U75" i="31" s="1"/>
  <c r="V75" i="31" s="1"/>
  <c r="W75" i="31" s="1"/>
  <c r="X75" i="31" s="1"/>
  <c r="Y75" i="31" s="1"/>
  <c r="Z75" i="31" s="1"/>
  <c r="AA75" i="31" s="1"/>
  <c r="AB75" i="31" s="1"/>
  <c r="AC75" i="31" s="1"/>
  <c r="AD75" i="31" s="1"/>
  <c r="BE75" i="31" s="1"/>
  <c r="E73" i="31"/>
  <c r="F73" i="31" s="1"/>
  <c r="E71" i="31"/>
  <c r="F71" i="31" s="1"/>
  <c r="G71" i="31" s="1"/>
  <c r="H71" i="31" s="1"/>
  <c r="I71" i="31" s="1"/>
  <c r="J71" i="31" s="1"/>
  <c r="K71" i="31" s="1"/>
  <c r="L71" i="31" s="1"/>
  <c r="M71" i="31" s="1"/>
  <c r="N71" i="31" s="1"/>
  <c r="O71" i="31" s="1"/>
  <c r="P71" i="31" s="1"/>
  <c r="Q71" i="31" s="1"/>
  <c r="R71" i="31" s="1"/>
  <c r="S71" i="31" s="1"/>
  <c r="T71" i="31" s="1"/>
  <c r="U71" i="31" s="1"/>
  <c r="V71" i="31" s="1"/>
  <c r="W71" i="31" s="1"/>
  <c r="X71" i="31" s="1"/>
  <c r="Y71" i="31" s="1"/>
  <c r="Z71" i="31" s="1"/>
  <c r="AA71" i="31" s="1"/>
  <c r="AB71" i="31" s="1"/>
  <c r="AC71" i="31" s="1"/>
  <c r="AD71" i="31" s="1"/>
  <c r="BE71" i="31" s="1"/>
  <c r="E69" i="31"/>
  <c r="F69" i="31" s="1"/>
  <c r="AG68" i="31" s="1"/>
  <c r="E67" i="31"/>
  <c r="E65" i="31"/>
  <c r="E63" i="31"/>
  <c r="E61" i="31"/>
  <c r="F61" i="31" s="1"/>
  <c r="E59" i="31"/>
  <c r="E57" i="31"/>
  <c r="E55" i="31"/>
  <c r="AF55" i="31" s="1"/>
  <c r="E53" i="31"/>
  <c r="E51" i="31"/>
  <c r="AF50" i="31" s="1"/>
  <c r="E49" i="31"/>
  <c r="AF48" i="31" s="1"/>
  <c r="E47" i="31"/>
  <c r="F47" i="31" s="1"/>
  <c r="G47" i="31" s="1"/>
  <c r="H47" i="31" s="1"/>
  <c r="I47" i="31" s="1"/>
  <c r="J47" i="31" s="1"/>
  <c r="K47" i="31" s="1"/>
  <c r="L47" i="31" s="1"/>
  <c r="M47" i="31" s="1"/>
  <c r="N47" i="31" s="1"/>
  <c r="O47" i="31" s="1"/>
  <c r="P47" i="31" s="1"/>
  <c r="Q47" i="31" s="1"/>
  <c r="R47" i="31" s="1"/>
  <c r="S47" i="31" s="1"/>
  <c r="T47" i="31" s="1"/>
  <c r="U47" i="31" s="1"/>
  <c r="AV47" i="31" s="1"/>
  <c r="E45" i="31"/>
  <c r="F45" i="31" s="1"/>
  <c r="G45" i="31" s="1"/>
  <c r="AH44" i="31" s="1"/>
  <c r="E43" i="31"/>
  <c r="E41" i="31"/>
  <c r="F41" i="31" s="1"/>
  <c r="G41" i="31" s="1"/>
  <c r="E39" i="31"/>
  <c r="F39" i="31" s="1"/>
  <c r="E37" i="31"/>
  <c r="E35" i="31"/>
  <c r="E33" i="31"/>
  <c r="F33" i="31" s="1"/>
  <c r="G33" i="31" s="1"/>
  <c r="H33" i="31" s="1"/>
  <c r="I33" i="31" s="1"/>
  <c r="J33" i="31" s="1"/>
  <c r="K33" i="31" s="1"/>
  <c r="L33" i="31" s="1"/>
  <c r="M33" i="31" s="1"/>
  <c r="N33" i="31" s="1"/>
  <c r="O33" i="31" s="1"/>
  <c r="P33" i="31" s="1"/>
  <c r="Q33" i="31" s="1"/>
  <c r="R33" i="31" s="1"/>
  <c r="S33" i="31" s="1"/>
  <c r="T33" i="31" s="1"/>
  <c r="U33" i="31" s="1"/>
  <c r="V33" i="31" s="1"/>
  <c r="W33" i="31" s="1"/>
  <c r="X33" i="31" s="1"/>
  <c r="Y33" i="31" s="1"/>
  <c r="Z33" i="31" s="1"/>
  <c r="AA33" i="31" s="1"/>
  <c r="AB33" i="31" s="1"/>
  <c r="AC33" i="31" s="1"/>
  <c r="AD33" i="31" s="1"/>
  <c r="BE32" i="31" s="1"/>
  <c r="E31" i="31"/>
  <c r="F31" i="31" s="1"/>
  <c r="G31" i="31" s="1"/>
  <c r="H31" i="31" s="1"/>
  <c r="I31" i="31" s="1"/>
  <c r="J31" i="31" s="1"/>
  <c r="K31" i="31" s="1"/>
  <c r="L31" i="31" s="1"/>
  <c r="M31" i="31" s="1"/>
  <c r="N31" i="31" s="1"/>
  <c r="O31" i="31" s="1"/>
  <c r="P31" i="31" s="1"/>
  <c r="Q31" i="31" s="1"/>
  <c r="R31" i="31" s="1"/>
  <c r="S31" i="31" s="1"/>
  <c r="T31" i="31" s="1"/>
  <c r="U31" i="31" s="1"/>
  <c r="V31" i="31" s="1"/>
  <c r="W31" i="31" s="1"/>
  <c r="X31" i="31" s="1"/>
  <c r="Y31" i="31" s="1"/>
  <c r="Z31" i="31" s="1"/>
  <c r="AA31" i="31" s="1"/>
  <c r="AB31" i="31" s="1"/>
  <c r="AC31" i="31" s="1"/>
  <c r="AD31" i="31" s="1"/>
  <c r="BE31" i="31" s="1"/>
  <c r="E29" i="31"/>
  <c r="F29" i="31" s="1"/>
  <c r="G29" i="31" s="1"/>
  <c r="H29" i="31" s="1"/>
  <c r="I29" i="31" s="1"/>
  <c r="J29" i="31" s="1"/>
  <c r="K29" i="31" s="1"/>
  <c r="L29" i="31" s="1"/>
  <c r="M29" i="31" s="1"/>
  <c r="N29" i="31" s="1"/>
  <c r="O29" i="31" s="1"/>
  <c r="P29" i="31" s="1"/>
  <c r="Q29" i="31" s="1"/>
  <c r="R29" i="31" s="1"/>
  <c r="S29" i="31" s="1"/>
  <c r="T29" i="31" s="1"/>
  <c r="U29" i="31" s="1"/>
  <c r="V29" i="31" s="1"/>
  <c r="W29" i="31" s="1"/>
  <c r="X29" i="31" s="1"/>
  <c r="Y29" i="31" s="1"/>
  <c r="Z29" i="31" s="1"/>
  <c r="AA29" i="31" s="1"/>
  <c r="AB29" i="31" s="1"/>
  <c r="AC29" i="31" s="1"/>
  <c r="AD29" i="31" s="1"/>
  <c r="BE29" i="31" s="1"/>
  <c r="AO30" i="31" l="1"/>
  <c r="AM31" i="31"/>
  <c r="AL30" i="31"/>
  <c r="AQ31" i="31"/>
  <c r="AF40" i="31"/>
  <c r="F55" i="31"/>
  <c r="G55" i="31" s="1"/>
  <c r="AG33" i="31"/>
  <c r="AF33" i="31"/>
  <c r="AK33" i="31"/>
  <c r="AH71" i="31"/>
  <c r="BA74" i="31"/>
  <c r="AR70" i="31"/>
  <c r="AK74" i="31"/>
  <c r="AF45" i="31"/>
  <c r="AX71" i="31"/>
  <c r="AH32" i="31"/>
  <c r="AO47" i="31"/>
  <c r="AK30" i="31"/>
  <c r="AI32" i="31"/>
  <c r="AF49" i="31"/>
  <c r="AQ75" i="31"/>
  <c r="AQ46" i="31"/>
  <c r="AM32" i="31"/>
  <c r="AF39" i="31"/>
  <c r="AJ79" i="31"/>
  <c r="E1" i="37"/>
  <c r="B12" i="39" s="1"/>
  <c r="G18" i="37"/>
  <c r="H18" i="37" s="1"/>
  <c r="I18" i="37" s="1"/>
  <c r="J18" i="37" s="1"/>
  <c r="K18" i="37" s="1"/>
  <c r="L18" i="37" s="1"/>
  <c r="M18" i="37" s="1"/>
  <c r="N18" i="37" s="1"/>
  <c r="O18" i="37" s="1"/>
  <c r="P18" i="37" s="1"/>
  <c r="Q18" i="37" s="1"/>
  <c r="R18" i="37" s="1"/>
  <c r="S18" i="37" s="1"/>
  <c r="T18" i="37" s="1"/>
  <c r="U18" i="37" s="1"/>
  <c r="V18" i="37" s="1"/>
  <c r="W18" i="37" s="1"/>
  <c r="X18" i="37" s="1"/>
  <c r="Y18" i="37" s="1"/>
  <c r="Z18" i="37" s="1"/>
  <c r="AA18" i="37" s="1"/>
  <c r="AB18" i="37" s="1"/>
  <c r="AC18" i="37" s="1"/>
  <c r="AD18" i="37" s="1"/>
  <c r="AE18" i="37" s="1"/>
  <c r="BE28" i="31"/>
  <c r="AV28" i="31"/>
  <c r="AL28" i="31"/>
  <c r="BD29" i="31"/>
  <c r="AS29" i="31"/>
  <c r="AK29" i="31"/>
  <c r="BA30" i="31"/>
  <c r="BC31" i="31"/>
  <c r="AU32" i="31"/>
  <c r="AS33" i="31"/>
  <c r="AF77" i="31"/>
  <c r="AK32" i="31"/>
  <c r="AV32" i="31"/>
  <c r="AI33" i="31"/>
  <c r="AT33" i="31"/>
  <c r="AF46" i="31"/>
  <c r="AT46" i="31"/>
  <c r="AR47" i="31"/>
  <c r="AS70" i="31"/>
  <c r="AI71" i="31"/>
  <c r="AY71" i="31"/>
  <c r="AL74" i="31"/>
  <c r="BB74" i="31"/>
  <c r="AR75" i="31"/>
  <c r="AJ78" i="31"/>
  <c r="AP79" i="31"/>
  <c r="BD28" i="31"/>
  <c r="AT28" i="31"/>
  <c r="AJ28" i="31"/>
  <c r="BA29" i="31"/>
  <c r="AR29" i="31"/>
  <c r="AJ29" i="31"/>
  <c r="BB30" i="31"/>
  <c r="BB28" i="31"/>
  <c r="AZ29" i="31"/>
  <c r="BE30" i="31"/>
  <c r="AR31" i="31"/>
  <c r="AY32" i="31"/>
  <c r="AW33" i="31"/>
  <c r="AH46" i="31"/>
  <c r="AF47" i="31"/>
  <c r="AF60" i="31"/>
  <c r="AT70" i="31"/>
  <c r="AJ71" i="31"/>
  <c r="AZ71" i="31"/>
  <c r="AR74" i="31"/>
  <c r="AH75" i="31"/>
  <c r="AX75" i="31"/>
  <c r="AL78" i="31"/>
  <c r="AR79" i="31"/>
  <c r="AS30" i="31"/>
  <c r="AH31" i="31"/>
  <c r="AU31" i="31"/>
  <c r="AF32" i="31"/>
  <c r="AN32" i="31"/>
  <c r="BC32" i="31"/>
  <c r="AL33" i="31"/>
  <c r="BA33" i="31"/>
  <c r="AJ70" i="31"/>
  <c r="AZ70" i="31"/>
  <c r="AP71" i="31"/>
  <c r="AF72" i="31"/>
  <c r="AS74" i="31"/>
  <c r="AI75" i="31"/>
  <c r="AY75" i="31"/>
  <c r="AR78" i="31"/>
  <c r="AI46" i="31"/>
  <c r="AG47" i="31"/>
  <c r="AG55" i="31"/>
  <c r="AG28" i="31"/>
  <c r="AX28" i="31"/>
  <c r="AO28" i="31"/>
  <c r="AG29" i="31"/>
  <c r="AX29" i="31"/>
  <c r="AN29" i="31"/>
  <c r="AG30" i="31"/>
  <c r="AT30" i="31"/>
  <c r="AI31" i="31"/>
  <c r="AY31" i="31"/>
  <c r="AG32" i="31"/>
  <c r="AO32" i="31"/>
  <c r="BD32" i="31"/>
  <c r="AM33" i="31"/>
  <c r="BB33" i="31"/>
  <c r="AF38" i="31"/>
  <c r="F49" i="31"/>
  <c r="G49" i="31" s="1"/>
  <c r="AL46" i="31"/>
  <c r="AJ47" i="31"/>
  <c r="AK70" i="31"/>
  <c r="BA70" i="31"/>
  <c r="AQ71" i="31"/>
  <c r="AF73" i="31"/>
  <c r="AT74" i="31"/>
  <c r="AJ75" i="31"/>
  <c r="AZ75" i="31"/>
  <c r="AT78" i="31"/>
  <c r="AQ28" i="31"/>
  <c r="AI28" i="31"/>
  <c r="AQ29" i="31"/>
  <c r="AI29" i="31"/>
  <c r="AF28" i="31"/>
  <c r="AY28" i="31"/>
  <c r="AP28" i="31"/>
  <c r="AF29" i="31"/>
  <c r="AY29" i="31"/>
  <c r="AP29" i="31"/>
  <c r="AH28" i="31"/>
  <c r="AW28" i="31"/>
  <c r="AN28" i="31"/>
  <c r="AH29" i="31"/>
  <c r="AV29" i="31"/>
  <c r="AL29" i="31"/>
  <c r="AJ30" i="31"/>
  <c r="AW30" i="31"/>
  <c r="AJ31" i="31"/>
  <c r="AZ31" i="31"/>
  <c r="AQ32" i="31"/>
  <c r="AO33" i="31"/>
  <c r="BE33" i="31"/>
  <c r="AP46" i="31"/>
  <c r="AN47" i="31"/>
  <c r="AL70" i="31"/>
  <c r="BB70" i="31"/>
  <c r="AR71" i="31"/>
  <c r="AJ74" i="31"/>
  <c r="AZ74" i="31"/>
  <c r="AP75" i="31"/>
  <c r="AF76" i="31"/>
  <c r="AH79" i="31"/>
  <c r="M7" i="36"/>
  <c r="M8" i="36" s="1"/>
  <c r="M9" i="36" s="1"/>
  <c r="AO9" i="36" s="1"/>
  <c r="AO8" i="36" s="1"/>
  <c r="H7" i="36"/>
  <c r="H8" i="36" s="1"/>
  <c r="H9" i="36" s="1"/>
  <c r="AJ9" i="36" s="1"/>
  <c r="AJ7" i="36" s="1"/>
  <c r="U7" i="36"/>
  <c r="U8" i="36" s="1"/>
  <c r="U9" i="36" s="1"/>
  <c r="AW9" i="36" s="1"/>
  <c r="AW8" i="36" s="1"/>
  <c r="N7" i="36"/>
  <c r="N8" i="36" s="1"/>
  <c r="N9" i="36" s="1"/>
  <c r="AP9" i="36" s="1"/>
  <c r="AP7" i="36" s="1"/>
  <c r="S7" i="36"/>
  <c r="S8" i="36" s="1"/>
  <c r="S9" i="36" s="1"/>
  <c r="AU9" i="36" s="1"/>
  <c r="AU8" i="36" s="1"/>
  <c r="G7" i="36"/>
  <c r="G8" i="36" s="1"/>
  <c r="G9" i="36" s="1"/>
  <c r="AI9" i="36" s="1"/>
  <c r="AI8" i="36" s="1"/>
  <c r="AA7" i="36"/>
  <c r="AA8" i="36" s="1"/>
  <c r="AA9" i="36" s="1"/>
  <c r="BC9" i="36" s="1"/>
  <c r="BC7" i="36" s="1"/>
  <c r="Q7" i="36"/>
  <c r="Q8" i="36" s="1"/>
  <c r="Q9" i="36" s="1"/>
  <c r="AS9" i="36" s="1"/>
  <c r="AS8" i="36" s="1"/>
  <c r="O7" i="36"/>
  <c r="O8" i="36" s="1"/>
  <c r="O9" i="36" s="1"/>
  <c r="AQ9" i="36" s="1"/>
  <c r="AQ8" i="36" s="1"/>
  <c r="T7" i="36"/>
  <c r="T8" i="36" s="1"/>
  <c r="T9" i="36" s="1"/>
  <c r="AV9" i="36" s="1"/>
  <c r="AV8" i="36" s="1"/>
  <c r="F6" i="36"/>
  <c r="G6" i="36" s="1"/>
  <c r="H6" i="36" s="1"/>
  <c r="I6" i="36" s="1"/>
  <c r="J6" i="36" s="1"/>
  <c r="K6" i="36" s="1"/>
  <c r="L6" i="36" s="1"/>
  <c r="M6" i="36" s="1"/>
  <c r="N6" i="36" s="1"/>
  <c r="O6" i="36" s="1"/>
  <c r="P6" i="36" s="1"/>
  <c r="Q6" i="36" s="1"/>
  <c r="R6" i="36" s="1"/>
  <c r="S6" i="36" s="1"/>
  <c r="T6" i="36" s="1"/>
  <c r="U6" i="36" s="1"/>
  <c r="V6" i="36" s="1"/>
  <c r="W6" i="36" s="1"/>
  <c r="X6" i="36" s="1"/>
  <c r="Y6" i="36" s="1"/>
  <c r="Z6" i="36" s="1"/>
  <c r="AA6" i="36" s="1"/>
  <c r="AB6" i="36" s="1"/>
  <c r="AC6" i="36" s="1"/>
  <c r="AD6" i="36" s="1"/>
  <c r="AE6" i="36" s="1"/>
  <c r="X7" i="36"/>
  <c r="X8" i="36" s="1"/>
  <c r="X9" i="36" s="1"/>
  <c r="AZ9" i="36" s="1"/>
  <c r="AZ7" i="36" s="1"/>
  <c r="AB7" i="36"/>
  <c r="AB8" i="36" s="1"/>
  <c r="AB9" i="36" s="1"/>
  <c r="BD9" i="36" s="1"/>
  <c r="BD7" i="36" s="1"/>
  <c r="F12" i="36"/>
  <c r="AX8" i="38"/>
  <c r="AX7" i="38"/>
  <c r="AT7" i="38"/>
  <c r="AT8" i="38"/>
  <c r="BC8" i="38"/>
  <c r="BC7" i="38"/>
  <c r="AR7" i="38"/>
  <c r="AR8" i="38"/>
  <c r="AH9" i="38"/>
  <c r="AF9" i="38"/>
  <c r="AK7" i="38"/>
  <c r="AK8" i="38"/>
  <c r="Z7" i="36"/>
  <c r="Z8" i="36" s="1"/>
  <c r="Z9" i="36" s="1"/>
  <c r="BB9" i="36" s="1"/>
  <c r="BB7" i="36" s="1"/>
  <c r="AD7" i="36"/>
  <c r="AD8" i="36" s="1"/>
  <c r="AD9" i="36" s="1"/>
  <c r="BF9" i="36" s="1"/>
  <c r="BF8" i="36" s="1"/>
  <c r="W7" i="36"/>
  <c r="W8" i="36" s="1"/>
  <c r="W9" i="36" s="1"/>
  <c r="AY9" i="36" s="1"/>
  <c r="AY8" i="36" s="1"/>
  <c r="AS7" i="38"/>
  <c r="AS8" i="38"/>
  <c r="AL7" i="38"/>
  <c r="AL8" i="38"/>
  <c r="AW8" i="38"/>
  <c r="AW7" i="38"/>
  <c r="F27" i="38"/>
  <c r="G27" i="38" s="1"/>
  <c r="H27" i="38" s="1"/>
  <c r="I27" i="38" s="1"/>
  <c r="J27" i="38" s="1"/>
  <c r="K27" i="38" s="1"/>
  <c r="L27" i="38" s="1"/>
  <c r="M27" i="38" s="1"/>
  <c r="N27" i="38" s="1"/>
  <c r="O27" i="38" s="1"/>
  <c r="P27" i="38" s="1"/>
  <c r="Q27" i="38" s="1"/>
  <c r="R27" i="38" s="1"/>
  <c r="S27" i="38" s="1"/>
  <c r="T27" i="38" s="1"/>
  <c r="U27" i="38" s="1"/>
  <c r="V27" i="38" s="1"/>
  <c r="W27" i="38" s="1"/>
  <c r="X27" i="38" s="1"/>
  <c r="Y27" i="38" s="1"/>
  <c r="Z27" i="38" s="1"/>
  <c r="AA27" i="38" s="1"/>
  <c r="AB27" i="38" s="1"/>
  <c r="AC27" i="38" s="1"/>
  <c r="AD27" i="38" s="1"/>
  <c r="AE27" i="38" s="1"/>
  <c r="G18" i="38"/>
  <c r="H18" i="38" s="1"/>
  <c r="I18" i="38" s="1"/>
  <c r="J18" i="38" s="1"/>
  <c r="K18" i="38" s="1"/>
  <c r="L18" i="38" s="1"/>
  <c r="M18" i="38" s="1"/>
  <c r="N18" i="38" s="1"/>
  <c r="O18" i="38" s="1"/>
  <c r="P18" i="38" s="1"/>
  <c r="Q18" i="38" s="1"/>
  <c r="R18" i="38" s="1"/>
  <c r="S18" i="38" s="1"/>
  <c r="T18" i="38" s="1"/>
  <c r="U18" i="38" s="1"/>
  <c r="V18" i="38" s="1"/>
  <c r="W18" i="38" s="1"/>
  <c r="X18" i="38" s="1"/>
  <c r="Y18" i="38" s="1"/>
  <c r="Z18" i="38" s="1"/>
  <c r="AA18" i="38" s="1"/>
  <c r="AB18" i="38" s="1"/>
  <c r="AC18" i="38" s="1"/>
  <c r="AD18" i="38" s="1"/>
  <c r="AE18" i="38" s="1"/>
  <c r="E1" i="38"/>
  <c r="B13" i="39" s="1"/>
  <c r="AO8" i="38"/>
  <c r="AO7" i="38"/>
  <c r="AE7" i="36"/>
  <c r="AE8" i="36" s="1"/>
  <c r="AE9" i="36" s="1"/>
  <c r="BG9" i="36" s="1"/>
  <c r="BG8" i="36" s="1"/>
  <c r="R7" i="36"/>
  <c r="R8" i="36" s="1"/>
  <c r="R9" i="36" s="1"/>
  <c r="AT9" i="36" s="1"/>
  <c r="AT7" i="36" s="1"/>
  <c r="K7" i="36"/>
  <c r="K8" i="36" s="1"/>
  <c r="K9" i="36" s="1"/>
  <c r="AM9" i="36" s="1"/>
  <c r="AM7" i="36" s="1"/>
  <c r="AV8" i="38"/>
  <c r="AV7" i="38"/>
  <c r="AJ7" i="38"/>
  <c r="AJ8" i="38"/>
  <c r="I7" i="36"/>
  <c r="I8" i="36" s="1"/>
  <c r="I9" i="36" s="1"/>
  <c r="AK9" i="36" s="1"/>
  <c r="AK7" i="36" s="1"/>
  <c r="V7" i="36"/>
  <c r="V8" i="36" s="1"/>
  <c r="V9" i="36" s="1"/>
  <c r="AX9" i="36" s="1"/>
  <c r="AX8" i="36" s="1"/>
  <c r="AC7" i="36"/>
  <c r="AC8" i="36" s="1"/>
  <c r="AC9" i="36" s="1"/>
  <c r="BE9" i="36" s="1"/>
  <c r="BE8" i="36" s="1"/>
  <c r="AM8" i="38"/>
  <c r="AM7" i="38"/>
  <c r="AN8" i="38"/>
  <c r="AN7" i="38"/>
  <c r="AU8" i="38"/>
  <c r="AU7" i="38"/>
  <c r="AP8" i="38"/>
  <c r="AP7" i="38"/>
  <c r="BD8" i="38"/>
  <c r="BD7" i="38"/>
  <c r="AI7" i="38"/>
  <c r="AI8" i="38"/>
  <c r="BG7" i="38"/>
  <c r="BG8" i="38"/>
  <c r="AQ7" i="38"/>
  <c r="AQ8" i="38"/>
  <c r="BE8" i="38"/>
  <c r="BE7" i="38"/>
  <c r="AZ7" i="38"/>
  <c r="AZ8" i="38"/>
  <c r="BA7" i="38"/>
  <c r="BA8" i="38"/>
  <c r="BB7" i="38"/>
  <c r="BB8" i="38"/>
  <c r="AY7" i="38"/>
  <c r="AY8" i="38"/>
  <c r="BF8" i="38"/>
  <c r="BF7" i="38"/>
  <c r="F39" i="38"/>
  <c r="G39" i="38" s="1"/>
  <c r="H39" i="38" s="1"/>
  <c r="I39" i="38" s="1"/>
  <c r="J39" i="38" s="1"/>
  <c r="K39" i="38" s="1"/>
  <c r="L39" i="38" s="1"/>
  <c r="M39" i="38" s="1"/>
  <c r="N39" i="38" s="1"/>
  <c r="O39" i="38" s="1"/>
  <c r="P39" i="38" s="1"/>
  <c r="Q39" i="38" s="1"/>
  <c r="R39" i="38" s="1"/>
  <c r="S39" i="38" s="1"/>
  <c r="T39" i="38" s="1"/>
  <c r="U39" i="38" s="1"/>
  <c r="V39" i="38" s="1"/>
  <c r="W39" i="38" s="1"/>
  <c r="X39" i="38" s="1"/>
  <c r="Y39" i="38" s="1"/>
  <c r="Z39" i="38" s="1"/>
  <c r="AA39" i="38" s="1"/>
  <c r="AB39" i="38" s="1"/>
  <c r="AC39" i="38" s="1"/>
  <c r="AD39" i="38" s="1"/>
  <c r="AE39" i="38" s="1"/>
  <c r="G6" i="38"/>
  <c r="H6" i="38" s="1"/>
  <c r="I6" i="38" s="1"/>
  <c r="J6" i="38" s="1"/>
  <c r="K6" i="38" s="1"/>
  <c r="L6" i="38" s="1"/>
  <c r="M6" i="38" s="1"/>
  <c r="N6" i="38" s="1"/>
  <c r="O6" i="38" s="1"/>
  <c r="P6" i="38" s="1"/>
  <c r="Q6" i="38" s="1"/>
  <c r="R6" i="38" s="1"/>
  <c r="S6" i="38" s="1"/>
  <c r="T6" i="38" s="1"/>
  <c r="U6" i="38" s="1"/>
  <c r="V6" i="38" s="1"/>
  <c r="W6" i="38" s="1"/>
  <c r="X6" i="38" s="1"/>
  <c r="Y6" i="38" s="1"/>
  <c r="Z6" i="38" s="1"/>
  <c r="AA6" i="38" s="1"/>
  <c r="AB6" i="38" s="1"/>
  <c r="AC6" i="38" s="1"/>
  <c r="AD6" i="38" s="1"/>
  <c r="AE6" i="38" s="1"/>
  <c r="L7" i="36"/>
  <c r="L8" i="36" s="1"/>
  <c r="L9" i="36" s="1"/>
  <c r="AN9" i="36" s="1"/>
  <c r="AN8" i="36" s="1"/>
  <c r="P7" i="36"/>
  <c r="P8" i="36" s="1"/>
  <c r="P9" i="36" s="1"/>
  <c r="AR9" i="36" s="1"/>
  <c r="AR8" i="36" s="1"/>
  <c r="J7" i="36"/>
  <c r="J8" i="36" s="1"/>
  <c r="J9" i="36" s="1"/>
  <c r="AL9" i="36" s="1"/>
  <c r="AL7" i="36" s="1"/>
  <c r="F7" i="36"/>
  <c r="F8" i="36" s="1"/>
  <c r="F9" i="36" s="1"/>
  <c r="AH9" i="36" s="1"/>
  <c r="Y7" i="36"/>
  <c r="Y8" i="36" s="1"/>
  <c r="Y9" i="36" s="1"/>
  <c r="BA9" i="36" s="1"/>
  <c r="BA8" i="36" s="1"/>
  <c r="X11" i="37"/>
  <c r="P11" i="37"/>
  <c r="H11" i="37"/>
  <c r="AE11" i="37"/>
  <c r="W11" i="37"/>
  <c r="O11" i="37"/>
  <c r="G11" i="37"/>
  <c r="AD11" i="37"/>
  <c r="V11" i="37"/>
  <c r="N11" i="37"/>
  <c r="F11" i="37"/>
  <c r="AB11" i="37"/>
  <c r="T11" i="37"/>
  <c r="L11" i="37"/>
  <c r="S11" i="37"/>
  <c r="R11" i="37"/>
  <c r="I11" i="37"/>
  <c r="Q11" i="37"/>
  <c r="Z11" i="37"/>
  <c r="AC11" i="37"/>
  <c r="M11" i="37"/>
  <c r="J11" i="37"/>
  <c r="AA11" i="37"/>
  <c r="K11" i="37"/>
  <c r="Y11" i="37"/>
  <c r="U11" i="37"/>
  <c r="F27" i="36"/>
  <c r="G27" i="36" s="1"/>
  <c r="H27" i="36" s="1"/>
  <c r="I27" i="36" s="1"/>
  <c r="J27" i="36" s="1"/>
  <c r="K27" i="36" s="1"/>
  <c r="L27" i="36" s="1"/>
  <c r="M27" i="36" s="1"/>
  <c r="N27" i="36" s="1"/>
  <c r="O27" i="36" s="1"/>
  <c r="P27" i="36" s="1"/>
  <c r="Q27" i="36" s="1"/>
  <c r="R27" i="36" s="1"/>
  <c r="S27" i="36" s="1"/>
  <c r="T27" i="36" s="1"/>
  <c r="U27" i="36" s="1"/>
  <c r="V27" i="36" s="1"/>
  <c r="W27" i="36" s="1"/>
  <c r="X27" i="36" s="1"/>
  <c r="Y27" i="36" s="1"/>
  <c r="Z27" i="36" s="1"/>
  <c r="AA27" i="36" s="1"/>
  <c r="AB27" i="36" s="1"/>
  <c r="AC27" i="36" s="1"/>
  <c r="AD27" i="36" s="1"/>
  <c r="AE27" i="36" s="1"/>
  <c r="G18" i="36"/>
  <c r="H18" i="36" s="1"/>
  <c r="I18" i="36" s="1"/>
  <c r="J18" i="36" s="1"/>
  <c r="K18" i="36" s="1"/>
  <c r="L18" i="36" s="1"/>
  <c r="M18" i="36" s="1"/>
  <c r="N18" i="36" s="1"/>
  <c r="O18" i="36" s="1"/>
  <c r="P18" i="36" s="1"/>
  <c r="Q18" i="36" s="1"/>
  <c r="R18" i="36" s="1"/>
  <c r="S18" i="36" s="1"/>
  <c r="T18" i="36" s="1"/>
  <c r="U18" i="36" s="1"/>
  <c r="V18" i="36" s="1"/>
  <c r="W18" i="36" s="1"/>
  <c r="X18" i="36" s="1"/>
  <c r="Y18" i="36" s="1"/>
  <c r="Z18" i="36" s="1"/>
  <c r="AA18" i="36" s="1"/>
  <c r="AB18" i="36" s="1"/>
  <c r="AC18" i="36" s="1"/>
  <c r="AD18" i="36" s="1"/>
  <c r="AE18" i="36" s="1"/>
  <c r="F35" i="31"/>
  <c r="AF35" i="31"/>
  <c r="AF34" i="31"/>
  <c r="F43" i="31"/>
  <c r="AF42" i="31"/>
  <c r="AF43" i="31"/>
  <c r="G73" i="31"/>
  <c r="AG73" i="31"/>
  <c r="AG72" i="31"/>
  <c r="F65" i="31"/>
  <c r="AF65" i="31"/>
  <c r="AF64" i="31"/>
  <c r="F37" i="31"/>
  <c r="AF37" i="31"/>
  <c r="AF36" i="31"/>
  <c r="AM30" i="31"/>
  <c r="AU30" i="31"/>
  <c r="BC30" i="31"/>
  <c r="AK31" i="31"/>
  <c r="AS31" i="31"/>
  <c r="BA31" i="31"/>
  <c r="AW32" i="31"/>
  <c r="AU33" i="31"/>
  <c r="BC33" i="31"/>
  <c r="G39" i="31"/>
  <c r="AG39" i="31"/>
  <c r="AG38" i="31"/>
  <c r="F53" i="31"/>
  <c r="AF53" i="31"/>
  <c r="BC28" i="31"/>
  <c r="AU28" i="31"/>
  <c r="AM28" i="31"/>
  <c r="AW29" i="31"/>
  <c r="AO29" i="31"/>
  <c r="AF30" i="31"/>
  <c r="AN30" i="31"/>
  <c r="AV30" i="31"/>
  <c r="BD30" i="31"/>
  <c r="AL31" i="31"/>
  <c r="AT31" i="31"/>
  <c r="BB31" i="31"/>
  <c r="AP32" i="31"/>
  <c r="AX32" i="31"/>
  <c r="AN33" i="31"/>
  <c r="AV33" i="31"/>
  <c r="BD33" i="31"/>
  <c r="H41" i="31"/>
  <c r="AH41" i="31"/>
  <c r="BA28" i="31"/>
  <c r="AS28" i="31"/>
  <c r="AK28" i="31"/>
  <c r="BC29" i="31"/>
  <c r="AU29" i="31"/>
  <c r="AM29" i="31"/>
  <c r="AH30" i="31"/>
  <c r="AP30" i="31"/>
  <c r="AX30" i="31"/>
  <c r="AF31" i="31"/>
  <c r="AN31" i="31"/>
  <c r="AV31" i="31"/>
  <c r="BD31" i="31"/>
  <c r="AJ32" i="31"/>
  <c r="AR32" i="31"/>
  <c r="AZ32" i="31"/>
  <c r="AH33" i="31"/>
  <c r="AP33" i="31"/>
  <c r="AX33" i="31"/>
  <c r="AG40" i="31"/>
  <c r="AF41" i="31"/>
  <c r="H45" i="31"/>
  <c r="AH45" i="31"/>
  <c r="AZ28" i="31"/>
  <c r="AR28" i="31"/>
  <c r="BB29" i="31"/>
  <c r="AT29" i="31"/>
  <c r="AI30" i="31"/>
  <c r="AQ30" i="31"/>
  <c r="AY30" i="31"/>
  <c r="AG31" i="31"/>
  <c r="AO31" i="31"/>
  <c r="AW31" i="31"/>
  <c r="AS32" i="31"/>
  <c r="BA32" i="31"/>
  <c r="AQ33" i="31"/>
  <c r="AY33" i="31"/>
  <c r="AH40" i="31"/>
  <c r="AG41" i="31"/>
  <c r="V47" i="31"/>
  <c r="AV46" i="31"/>
  <c r="F59" i="31"/>
  <c r="AF59" i="31"/>
  <c r="AF58" i="31"/>
  <c r="AF52" i="31"/>
  <c r="AR30" i="31"/>
  <c r="AZ30" i="31"/>
  <c r="AP31" i="31"/>
  <c r="AX31" i="31"/>
  <c r="AL32" i="31"/>
  <c r="AT32" i="31"/>
  <c r="BB32" i="31"/>
  <c r="AJ33" i="31"/>
  <c r="AR33" i="31"/>
  <c r="AZ33" i="31"/>
  <c r="AF44" i="31"/>
  <c r="AJ46" i="31"/>
  <c r="AR46" i="31"/>
  <c r="AH47" i="31"/>
  <c r="AP47" i="31"/>
  <c r="G61" i="31"/>
  <c r="AG61" i="31"/>
  <c r="G77" i="31"/>
  <c r="AG77" i="31"/>
  <c r="AG76" i="31"/>
  <c r="AF68" i="31"/>
  <c r="F51" i="31"/>
  <c r="AG44" i="31"/>
  <c r="AK46" i="31"/>
  <c r="AS46" i="31"/>
  <c r="AI47" i="31"/>
  <c r="AQ47" i="31"/>
  <c r="F63" i="31"/>
  <c r="AF63" i="31"/>
  <c r="AF62" i="31"/>
  <c r="X79" i="31"/>
  <c r="AX78" i="31"/>
  <c r="AX79" i="31"/>
  <c r="AG45" i="31"/>
  <c r="AM46" i="31"/>
  <c r="AU46" i="31"/>
  <c r="AK47" i="31"/>
  <c r="AS47" i="31"/>
  <c r="AF54" i="31"/>
  <c r="F67" i="31"/>
  <c r="AF67" i="31"/>
  <c r="AF66" i="31"/>
  <c r="AG60" i="31"/>
  <c r="AF69" i="31"/>
  <c r="H55" i="31"/>
  <c r="AH55" i="31"/>
  <c r="AH54" i="31"/>
  <c r="AN46" i="31"/>
  <c r="AL47" i="31"/>
  <c r="AT47" i="31"/>
  <c r="G69" i="31"/>
  <c r="AG69" i="31"/>
  <c r="F57" i="31"/>
  <c r="AF56" i="31"/>
  <c r="AG46" i="31"/>
  <c r="AO46" i="31"/>
  <c r="AM47" i="31"/>
  <c r="AU47" i="31"/>
  <c r="AF51" i="31"/>
  <c r="AF57" i="31"/>
  <c r="AF61" i="31"/>
  <c r="AK78" i="31"/>
  <c r="AS78" i="31"/>
  <c r="AI79" i="31"/>
  <c r="AQ79" i="31"/>
  <c r="AM70" i="31"/>
  <c r="AU70" i="31"/>
  <c r="BC70" i="31"/>
  <c r="AK71" i="31"/>
  <c r="AS71" i="31"/>
  <c r="BA71" i="31"/>
  <c r="AM74" i="31"/>
  <c r="AU74" i="31"/>
  <c r="BC74" i="31"/>
  <c r="AK75" i="31"/>
  <c r="AS75" i="31"/>
  <c r="BA75" i="31"/>
  <c r="AM78" i="31"/>
  <c r="AU78" i="31"/>
  <c r="AK79" i="31"/>
  <c r="AS79" i="31"/>
  <c r="AF70" i="31"/>
  <c r="AN70" i="31"/>
  <c r="AV70" i="31"/>
  <c r="BD70" i="31"/>
  <c r="AL71" i="31"/>
  <c r="AT71" i="31"/>
  <c r="BB71" i="31"/>
  <c r="AF74" i="31"/>
  <c r="AN74" i="31"/>
  <c r="AV74" i="31"/>
  <c r="BD74" i="31"/>
  <c r="AL75" i="31"/>
  <c r="AT75" i="31"/>
  <c r="BB75" i="31"/>
  <c r="AF78" i="31"/>
  <c r="AN78" i="31"/>
  <c r="AV78" i="31"/>
  <c r="AL79" i="31"/>
  <c r="AT79" i="31"/>
  <c r="AG70" i="31"/>
  <c r="AO70" i="31"/>
  <c r="AW70" i="31"/>
  <c r="BE70" i="31"/>
  <c r="AM71" i="31"/>
  <c r="AU71" i="31"/>
  <c r="BC71" i="31"/>
  <c r="AG74" i="31"/>
  <c r="AO74" i="31"/>
  <c r="AW74" i="31"/>
  <c r="BE74" i="31"/>
  <c r="AM75" i="31"/>
  <c r="AU75" i="31"/>
  <c r="BC75" i="31"/>
  <c r="AG78" i="31"/>
  <c r="AO78" i="31"/>
  <c r="AW78" i="31"/>
  <c r="AM79" i="31"/>
  <c r="AU79" i="31"/>
  <c r="AH70" i="31"/>
  <c r="AP70" i="31"/>
  <c r="AX70" i="31"/>
  <c r="AF71" i="31"/>
  <c r="AN71" i="31"/>
  <c r="AV71" i="31"/>
  <c r="BD71" i="31"/>
  <c r="AH74" i="31"/>
  <c r="AP74" i="31"/>
  <c r="AX74" i="31"/>
  <c r="AF75" i="31"/>
  <c r="AN75" i="31"/>
  <c r="AV75" i="31"/>
  <c r="BD75" i="31"/>
  <c r="AH78" i="31"/>
  <c r="AP78" i="31"/>
  <c r="AF79" i="31"/>
  <c r="AN79" i="31"/>
  <c r="AV79" i="31"/>
  <c r="AI70" i="31"/>
  <c r="AQ70" i="31"/>
  <c r="AY70" i="31"/>
  <c r="AG71" i="31"/>
  <c r="AO71" i="31"/>
  <c r="AW71" i="31"/>
  <c r="AI74" i="31"/>
  <c r="AQ74" i="31"/>
  <c r="AY74" i="31"/>
  <c r="AG75" i="31"/>
  <c r="AO75" i="31"/>
  <c r="AW75" i="31"/>
  <c r="AI78" i="31"/>
  <c r="AQ78" i="31"/>
  <c r="AG79" i="31"/>
  <c r="AO79" i="31"/>
  <c r="AW79" i="31"/>
  <c r="AG54" i="31" l="1"/>
  <c r="AG48" i="31"/>
  <c r="AG49" i="31"/>
  <c r="AO7" i="36"/>
  <c r="AJ8" i="36"/>
  <c r="AW7" i="36"/>
  <c r="F39" i="36"/>
  <c r="G39" i="36" s="1"/>
  <c r="H39" i="36" s="1"/>
  <c r="I39" i="36" s="1"/>
  <c r="J39" i="36" s="1"/>
  <c r="K39" i="36" s="1"/>
  <c r="L39" i="36" s="1"/>
  <c r="M39" i="36" s="1"/>
  <c r="N39" i="36" s="1"/>
  <c r="O39" i="36" s="1"/>
  <c r="P39" i="36" s="1"/>
  <c r="Q39" i="36" s="1"/>
  <c r="R39" i="36" s="1"/>
  <c r="S39" i="36" s="1"/>
  <c r="T39" i="36" s="1"/>
  <c r="U39" i="36" s="1"/>
  <c r="V39" i="36" s="1"/>
  <c r="W39" i="36" s="1"/>
  <c r="X39" i="36" s="1"/>
  <c r="Y39" i="36" s="1"/>
  <c r="Z39" i="36" s="1"/>
  <c r="AA39" i="36" s="1"/>
  <c r="AB39" i="36" s="1"/>
  <c r="AC39" i="36" s="1"/>
  <c r="AD39" i="36" s="1"/>
  <c r="AE39" i="36" s="1"/>
  <c r="AP8" i="36"/>
  <c r="E1" i="36"/>
  <c r="B11" i="39" s="1"/>
  <c r="AI7" i="36"/>
  <c r="AU7" i="36"/>
  <c r="AV7" i="36"/>
  <c r="AS7" i="36"/>
  <c r="AQ7" i="36"/>
  <c r="BC8" i="36"/>
  <c r="G12" i="36"/>
  <c r="H12" i="36" s="1"/>
  <c r="I12" i="36" s="1"/>
  <c r="J12" i="36" s="1"/>
  <c r="K12" i="36" s="1"/>
  <c r="L12" i="36" s="1"/>
  <c r="M12" i="36" s="1"/>
  <c r="N12" i="36" s="1"/>
  <c r="O12" i="36" s="1"/>
  <c r="P12" i="36" s="1"/>
  <c r="Q12" i="36" s="1"/>
  <c r="R12" i="36" s="1"/>
  <c r="S12" i="36" s="1"/>
  <c r="T12" i="36" s="1"/>
  <c r="U12" i="36" s="1"/>
  <c r="V12" i="36" s="1"/>
  <c r="W12" i="36" s="1"/>
  <c r="X12" i="36" s="1"/>
  <c r="Y12" i="36" s="1"/>
  <c r="Z12" i="36" s="1"/>
  <c r="AA12" i="36" s="1"/>
  <c r="AB12" i="36" s="1"/>
  <c r="AC12" i="36" s="1"/>
  <c r="AD12" i="36" s="1"/>
  <c r="AE12" i="36" s="1"/>
  <c r="BD8" i="36"/>
  <c r="AX7" i="36"/>
  <c r="F33" i="36"/>
  <c r="G33" i="36" s="1"/>
  <c r="H33" i="36" s="1"/>
  <c r="I33" i="36" s="1"/>
  <c r="J33" i="36" s="1"/>
  <c r="K33" i="36" s="1"/>
  <c r="L33" i="36" s="1"/>
  <c r="M33" i="36" s="1"/>
  <c r="N33" i="36" s="1"/>
  <c r="O33" i="36" s="1"/>
  <c r="P33" i="36" s="1"/>
  <c r="Q33" i="36" s="1"/>
  <c r="R33" i="36" s="1"/>
  <c r="S33" i="36" s="1"/>
  <c r="T33" i="36" s="1"/>
  <c r="U33" i="36" s="1"/>
  <c r="V33" i="36" s="1"/>
  <c r="W33" i="36" s="1"/>
  <c r="X33" i="36" s="1"/>
  <c r="Y33" i="36" s="1"/>
  <c r="Z33" i="36" s="1"/>
  <c r="AA33" i="36" s="1"/>
  <c r="AB33" i="36" s="1"/>
  <c r="AC33" i="36" s="1"/>
  <c r="AD33" i="36" s="1"/>
  <c r="AE33" i="36" s="1"/>
  <c r="BG7" i="36"/>
  <c r="AZ8" i="36"/>
  <c r="AK8" i="36"/>
  <c r="BF7" i="36"/>
  <c r="BE7" i="36"/>
  <c r="AR7" i="36"/>
  <c r="AT8" i="36"/>
  <c r="AN7" i="36"/>
  <c r="AL8" i="36"/>
  <c r="AM8" i="36"/>
  <c r="AY7" i="36"/>
  <c r="BB8" i="36"/>
  <c r="BA7" i="36"/>
  <c r="AD11" i="38"/>
  <c r="V11" i="38"/>
  <c r="N11" i="38"/>
  <c r="F11" i="38"/>
  <c r="AA11" i="38"/>
  <c r="R11" i="38"/>
  <c r="I11" i="38"/>
  <c r="Z11" i="38"/>
  <c r="Q11" i="38"/>
  <c r="H11" i="38"/>
  <c r="Y11" i="38"/>
  <c r="P11" i="38"/>
  <c r="G11" i="38"/>
  <c r="X11" i="38"/>
  <c r="O11" i="38"/>
  <c r="AE11" i="38"/>
  <c r="U11" i="38"/>
  <c r="L11" i="38"/>
  <c r="T11" i="38"/>
  <c r="S11" i="38"/>
  <c r="M11" i="38"/>
  <c r="K11" i="38"/>
  <c r="J11" i="38"/>
  <c r="AC11" i="38"/>
  <c r="AB11" i="38"/>
  <c r="W11" i="38"/>
  <c r="AH8" i="38"/>
  <c r="AH7" i="38"/>
  <c r="AA13" i="37"/>
  <c r="AA14" i="37" s="1"/>
  <c r="AA15" i="37" s="1"/>
  <c r="BC15" i="37" s="1"/>
  <c r="L13" i="37"/>
  <c r="L14" i="37" s="1"/>
  <c r="L15" i="37" s="1"/>
  <c r="AN15" i="37" s="1"/>
  <c r="M13" i="37"/>
  <c r="M14" i="37" s="1"/>
  <c r="M15" i="37" s="1"/>
  <c r="AO15" i="37" s="1"/>
  <c r="T13" i="37"/>
  <c r="T14" i="37" s="1"/>
  <c r="T15" i="37" s="1"/>
  <c r="AV15" i="37" s="1"/>
  <c r="W13" i="37"/>
  <c r="W14" i="37" s="1"/>
  <c r="W15" i="37" s="1"/>
  <c r="AY15" i="37" s="1"/>
  <c r="AF9" i="36"/>
  <c r="F11" i="36" s="1"/>
  <c r="AC13" i="37"/>
  <c r="AC14" i="37" s="1"/>
  <c r="AC15" i="37" s="1"/>
  <c r="BE15" i="37" s="1"/>
  <c r="AB13" i="37"/>
  <c r="AB14" i="37" s="1"/>
  <c r="AB15" i="37" s="1"/>
  <c r="BD15" i="37" s="1"/>
  <c r="AE13" i="37"/>
  <c r="AE14" i="37" s="1"/>
  <c r="AE15" i="37" s="1"/>
  <c r="BG15" i="37" s="1"/>
  <c r="S13" i="37"/>
  <c r="S14" i="37" s="1"/>
  <c r="S15" i="37" s="1"/>
  <c r="AU15" i="37" s="1"/>
  <c r="J13" i="37"/>
  <c r="J14" i="37" s="1"/>
  <c r="J15" i="37" s="1"/>
  <c r="AL15" i="37" s="1"/>
  <c r="Z13" i="37"/>
  <c r="Z14" i="37" s="1"/>
  <c r="Z15" i="37" s="1"/>
  <c r="BB15" i="37" s="1"/>
  <c r="F13" i="37"/>
  <c r="F14" i="37" s="1"/>
  <c r="F15" i="37" s="1"/>
  <c r="H13" i="37"/>
  <c r="H14" i="37" s="1"/>
  <c r="H15" i="37" s="1"/>
  <c r="AJ15" i="37" s="1"/>
  <c r="O13" i="37"/>
  <c r="O14" i="37" s="1"/>
  <c r="O15" i="37" s="1"/>
  <c r="AQ15" i="37" s="1"/>
  <c r="U13" i="37"/>
  <c r="U14" i="37" s="1"/>
  <c r="U15" i="37" s="1"/>
  <c r="AW15" i="37" s="1"/>
  <c r="Q13" i="37"/>
  <c r="Q14" i="37" s="1"/>
  <c r="Q15" i="37" s="1"/>
  <c r="AS15" i="37" s="1"/>
  <c r="N13" i="37"/>
  <c r="N14" i="37" s="1"/>
  <c r="N15" i="37" s="1"/>
  <c r="AP15" i="37" s="1"/>
  <c r="P13" i="37"/>
  <c r="P14" i="37" s="1"/>
  <c r="P15" i="37" s="1"/>
  <c r="AR15" i="37" s="1"/>
  <c r="G13" i="37"/>
  <c r="G14" i="37" s="1"/>
  <c r="G15" i="37" s="1"/>
  <c r="AI15" i="37" s="1"/>
  <c r="Y13" i="37"/>
  <c r="Y14" i="37" s="1"/>
  <c r="Y15" i="37" s="1"/>
  <c r="BA15" i="37" s="1"/>
  <c r="I13" i="37"/>
  <c r="I14" i="37" s="1"/>
  <c r="I15" i="37" s="1"/>
  <c r="AK15" i="37" s="1"/>
  <c r="V13" i="37"/>
  <c r="V14" i="37" s="1"/>
  <c r="V15" i="37" s="1"/>
  <c r="AX15" i="37" s="1"/>
  <c r="X13" i="37"/>
  <c r="X14" i="37" s="1"/>
  <c r="X15" i="37" s="1"/>
  <c r="AZ15" i="37" s="1"/>
  <c r="K13" i="37"/>
  <c r="K14" i="37" s="1"/>
  <c r="K15" i="37" s="1"/>
  <c r="AM15" i="37" s="1"/>
  <c r="R13" i="37"/>
  <c r="R14" i="37" s="1"/>
  <c r="R15" i="37" s="1"/>
  <c r="AT15" i="37" s="1"/>
  <c r="AD13" i="37"/>
  <c r="AD14" i="37" s="1"/>
  <c r="AD15" i="37" s="1"/>
  <c r="BF15" i="37" s="1"/>
  <c r="AH8" i="36"/>
  <c r="AH7" i="36"/>
  <c r="I55" i="31"/>
  <c r="AI54" i="31"/>
  <c r="AI55" i="31"/>
  <c r="AG59" i="31"/>
  <c r="AG58" i="31"/>
  <c r="G59" i="31"/>
  <c r="G37" i="31"/>
  <c r="AG36" i="31"/>
  <c r="AG37" i="31"/>
  <c r="H69" i="31"/>
  <c r="AH69" i="31"/>
  <c r="AH68" i="31"/>
  <c r="G63" i="31"/>
  <c r="AG63" i="31"/>
  <c r="AG62" i="31"/>
  <c r="H39" i="31"/>
  <c r="AH39" i="31"/>
  <c r="AH38" i="31"/>
  <c r="G43" i="31"/>
  <c r="AG43" i="31"/>
  <c r="AG42" i="31"/>
  <c r="G67" i="31"/>
  <c r="AG67" i="31"/>
  <c r="AG66" i="31"/>
  <c r="G57" i="31"/>
  <c r="AG57" i="31"/>
  <c r="AG56" i="31"/>
  <c r="W47" i="31"/>
  <c r="AW46" i="31"/>
  <c r="AW47" i="31"/>
  <c r="H73" i="31"/>
  <c r="AH73" i="31"/>
  <c r="AH72" i="31"/>
  <c r="G51" i="31"/>
  <c r="AG50" i="31"/>
  <c r="AG51" i="31"/>
  <c r="H77" i="31"/>
  <c r="AH77" i="31"/>
  <c r="AH76" i="31"/>
  <c r="I41" i="31"/>
  <c r="AI41" i="31"/>
  <c r="AI40" i="31"/>
  <c r="G65" i="31"/>
  <c r="AG65" i="31"/>
  <c r="AG64" i="31"/>
  <c r="H61" i="31"/>
  <c r="AH61" i="31"/>
  <c r="AH60" i="31"/>
  <c r="H49" i="31"/>
  <c r="AH49" i="31"/>
  <c r="AH48" i="31"/>
  <c r="Y79" i="31"/>
  <c r="AY78" i="31"/>
  <c r="AY79" i="31"/>
  <c r="G53" i="31"/>
  <c r="AG52" i="31"/>
  <c r="AG53" i="31"/>
  <c r="I45" i="31"/>
  <c r="AI45" i="31"/>
  <c r="AI44" i="31"/>
  <c r="G35" i="31"/>
  <c r="AG34" i="31"/>
  <c r="AG35" i="31"/>
  <c r="M13" i="38" l="1"/>
  <c r="M14" i="38" s="1"/>
  <c r="M15" i="38" s="1"/>
  <c r="AO15" i="38" s="1"/>
  <c r="G13" i="38"/>
  <c r="G14" i="38" s="1"/>
  <c r="G15" i="38" s="1"/>
  <c r="AI15" i="38" s="1"/>
  <c r="AA13" i="38"/>
  <c r="AA14" i="38" s="1"/>
  <c r="AA15" i="38" s="1"/>
  <c r="BC15" i="38" s="1"/>
  <c r="W13" i="38"/>
  <c r="W14" i="38" s="1"/>
  <c r="W15" i="38" s="1"/>
  <c r="AY15" i="38" s="1"/>
  <c r="L13" i="38"/>
  <c r="L14" i="38" s="1"/>
  <c r="L15" i="38" s="1"/>
  <c r="AN15" i="38" s="1"/>
  <c r="H13" i="38"/>
  <c r="H14" i="38" s="1"/>
  <c r="H15" i="38" s="1"/>
  <c r="AJ15" i="38" s="1"/>
  <c r="V13" i="38"/>
  <c r="V14" i="38" s="1"/>
  <c r="V15" i="38" s="1"/>
  <c r="AX15" i="38" s="1"/>
  <c r="S13" i="38"/>
  <c r="S14" i="38" s="1"/>
  <c r="S15" i="38" s="1"/>
  <c r="AU15" i="38" s="1"/>
  <c r="F13" i="38"/>
  <c r="F14" i="38" s="1"/>
  <c r="F15" i="38" s="1"/>
  <c r="T13" i="38"/>
  <c r="T14" i="38" s="1"/>
  <c r="T15" i="38" s="1"/>
  <c r="AV15" i="38" s="1"/>
  <c r="N13" i="38"/>
  <c r="N14" i="38" s="1"/>
  <c r="N15" i="38" s="1"/>
  <c r="AP15" i="38" s="1"/>
  <c r="M11" i="36"/>
  <c r="M13" i="36" s="1"/>
  <c r="M14" i="36" s="1"/>
  <c r="M15" i="36" s="1"/>
  <c r="AO15" i="36" s="1"/>
  <c r="AB13" i="38"/>
  <c r="AB14" i="38" s="1"/>
  <c r="AB15" i="38" s="1"/>
  <c r="BD15" i="38" s="1"/>
  <c r="U13" i="38"/>
  <c r="U14" i="38" s="1"/>
  <c r="U15" i="38" s="1"/>
  <c r="AW15" i="38" s="1"/>
  <c r="Q13" i="38"/>
  <c r="Q14" i="38" s="1"/>
  <c r="Q15" i="38" s="1"/>
  <c r="AS15" i="38" s="1"/>
  <c r="AD13" i="38"/>
  <c r="AD14" i="38" s="1"/>
  <c r="AD15" i="38" s="1"/>
  <c r="BF15" i="38" s="1"/>
  <c r="AC13" i="38"/>
  <c r="AC14" i="38" s="1"/>
  <c r="AC15" i="38" s="1"/>
  <c r="BE15" i="38" s="1"/>
  <c r="AE13" i="38"/>
  <c r="AE14" i="38" s="1"/>
  <c r="AE15" i="38" s="1"/>
  <c r="BG15" i="38" s="1"/>
  <c r="Z13" i="38"/>
  <c r="Z14" i="38" s="1"/>
  <c r="Z15" i="38" s="1"/>
  <c r="BB15" i="38" s="1"/>
  <c r="P13" i="38"/>
  <c r="P14" i="38" s="1"/>
  <c r="P15" i="38" s="1"/>
  <c r="AR15" i="38" s="1"/>
  <c r="Y13" i="38"/>
  <c r="Y14" i="38" s="1"/>
  <c r="Y15" i="38" s="1"/>
  <c r="BA15" i="38" s="1"/>
  <c r="X11" i="36"/>
  <c r="X13" i="36" s="1"/>
  <c r="X14" i="36" s="1"/>
  <c r="X15" i="36" s="1"/>
  <c r="AZ15" i="36" s="1"/>
  <c r="N11" i="36"/>
  <c r="N13" i="36" s="1"/>
  <c r="N14" i="36" s="1"/>
  <c r="N15" i="36" s="1"/>
  <c r="AP15" i="36" s="1"/>
  <c r="J13" i="38"/>
  <c r="J14" i="38" s="1"/>
  <c r="J15" i="38" s="1"/>
  <c r="AL15" i="38" s="1"/>
  <c r="O13" i="38"/>
  <c r="O14" i="38" s="1"/>
  <c r="O15" i="38" s="1"/>
  <c r="AQ15" i="38" s="1"/>
  <c r="I13" i="38"/>
  <c r="I14" i="38" s="1"/>
  <c r="I15" i="38" s="1"/>
  <c r="AK15" i="38" s="1"/>
  <c r="K13" i="38"/>
  <c r="K14" i="38" s="1"/>
  <c r="K15" i="38" s="1"/>
  <c r="AM15" i="38" s="1"/>
  <c r="X13" i="38"/>
  <c r="X14" i="38" s="1"/>
  <c r="X15" i="38" s="1"/>
  <c r="AZ15" i="38" s="1"/>
  <c r="R13" i="38"/>
  <c r="R14" i="38" s="1"/>
  <c r="R15" i="38" s="1"/>
  <c r="AT15" i="38" s="1"/>
  <c r="AS14" i="37"/>
  <c r="AS13" i="37"/>
  <c r="BF13" i="37"/>
  <c r="BF14" i="37"/>
  <c r="AW13" i="37"/>
  <c r="AW14" i="37"/>
  <c r="BE13" i="37"/>
  <c r="BE14" i="37"/>
  <c r="AP13" i="37"/>
  <c r="AP14" i="37"/>
  <c r="BB14" i="37"/>
  <c r="BB13" i="37"/>
  <c r="BA14" i="37"/>
  <c r="BA13" i="37"/>
  <c r="AQ13" i="37"/>
  <c r="AQ14" i="37"/>
  <c r="AX13" i="37"/>
  <c r="AX14" i="37"/>
  <c r="AT14" i="37"/>
  <c r="AT13" i="37"/>
  <c r="AI14" i="37"/>
  <c r="AI13" i="37"/>
  <c r="AJ14" i="37"/>
  <c r="AJ13" i="37"/>
  <c r="AY13" i="37"/>
  <c r="AY14" i="37"/>
  <c r="AZ14" i="37"/>
  <c r="AZ13" i="37"/>
  <c r="AK14" i="37"/>
  <c r="AK13" i="37"/>
  <c r="AM14" i="37"/>
  <c r="AM13" i="37"/>
  <c r="AR14" i="37"/>
  <c r="AR13" i="37"/>
  <c r="AU14" i="37"/>
  <c r="AU13" i="37"/>
  <c r="AF15" i="37"/>
  <c r="AH15" i="37"/>
  <c r="BG13" i="37"/>
  <c r="BG14" i="37"/>
  <c r="AV13" i="37"/>
  <c r="AV14" i="37"/>
  <c r="BC14" i="37"/>
  <c r="BC13" i="37"/>
  <c r="P11" i="36"/>
  <c r="P13" i="36" s="1"/>
  <c r="P14" i="36" s="1"/>
  <c r="P15" i="36" s="1"/>
  <c r="AR15" i="36" s="1"/>
  <c r="H11" i="36"/>
  <c r="H13" i="36" s="1"/>
  <c r="H14" i="36" s="1"/>
  <c r="H15" i="36" s="1"/>
  <c r="AJ15" i="36" s="1"/>
  <c r="AD11" i="36"/>
  <c r="AD13" i="36" s="1"/>
  <c r="AD14" i="36" s="1"/>
  <c r="AD15" i="36" s="1"/>
  <c r="BF15" i="36" s="1"/>
  <c r="AO13" i="37"/>
  <c r="AO14" i="37"/>
  <c r="Z11" i="36"/>
  <c r="Z13" i="36" s="1"/>
  <c r="Z14" i="36" s="1"/>
  <c r="Z15" i="36" s="1"/>
  <c r="BB15" i="36" s="1"/>
  <c r="Y11" i="36"/>
  <c r="Y13" i="36" s="1"/>
  <c r="Y14" i="36" s="1"/>
  <c r="Y15" i="36" s="1"/>
  <c r="BA15" i="36" s="1"/>
  <c r="V11" i="36"/>
  <c r="V13" i="36" s="1"/>
  <c r="V14" i="36" s="1"/>
  <c r="V15" i="36" s="1"/>
  <c r="AX15" i="36" s="1"/>
  <c r="U11" i="36"/>
  <c r="U13" i="36" s="1"/>
  <c r="U14" i="36" s="1"/>
  <c r="U15" i="36" s="1"/>
  <c r="AW15" i="36" s="1"/>
  <c r="L11" i="36"/>
  <c r="L13" i="36" s="1"/>
  <c r="L14" i="36" s="1"/>
  <c r="L15" i="36" s="1"/>
  <c r="AN15" i="36" s="1"/>
  <c r="O11" i="36"/>
  <c r="O13" i="36" s="1"/>
  <c r="O14" i="36" s="1"/>
  <c r="O15" i="36" s="1"/>
  <c r="AQ15" i="36" s="1"/>
  <c r="I11" i="36"/>
  <c r="I13" i="36" s="1"/>
  <c r="I14" i="36" s="1"/>
  <c r="I15" i="36" s="1"/>
  <c r="AK15" i="36" s="1"/>
  <c r="Q11" i="36"/>
  <c r="Q13" i="36" s="1"/>
  <c r="Q14" i="36" s="1"/>
  <c r="Q15" i="36" s="1"/>
  <c r="AS15" i="36" s="1"/>
  <c r="T11" i="36"/>
  <c r="T13" i="36" s="1"/>
  <c r="T14" i="36" s="1"/>
  <c r="T15" i="36" s="1"/>
  <c r="AV15" i="36" s="1"/>
  <c r="W11" i="36"/>
  <c r="W13" i="36" s="1"/>
  <c r="W14" i="36" s="1"/>
  <c r="W15" i="36" s="1"/>
  <c r="AY15" i="36" s="1"/>
  <c r="S11" i="36"/>
  <c r="S13" i="36" s="1"/>
  <c r="S14" i="36" s="1"/>
  <c r="S15" i="36" s="1"/>
  <c r="AU15" i="36" s="1"/>
  <c r="AN13" i="37"/>
  <c r="AN14" i="37"/>
  <c r="J11" i="36"/>
  <c r="J13" i="36" s="1"/>
  <c r="J14" i="36" s="1"/>
  <c r="J15" i="36" s="1"/>
  <c r="AL15" i="36" s="1"/>
  <c r="AC11" i="36"/>
  <c r="AC13" i="36" s="1"/>
  <c r="AC14" i="36" s="1"/>
  <c r="AC15" i="36" s="1"/>
  <c r="BE15" i="36" s="1"/>
  <c r="AB11" i="36"/>
  <c r="AB13" i="36" s="1"/>
  <c r="AB14" i="36" s="1"/>
  <c r="AB15" i="36" s="1"/>
  <c r="BD15" i="36" s="1"/>
  <c r="AE11" i="36"/>
  <c r="AE13" i="36" s="1"/>
  <c r="AE14" i="36" s="1"/>
  <c r="AE15" i="36" s="1"/>
  <c r="BG15" i="36" s="1"/>
  <c r="AL14" i="37"/>
  <c r="AL13" i="37"/>
  <c r="AA11" i="36"/>
  <c r="AA13" i="36" s="1"/>
  <c r="AA14" i="36" s="1"/>
  <c r="AA15" i="36" s="1"/>
  <c r="BC15" i="36" s="1"/>
  <c r="G11" i="36"/>
  <c r="G13" i="36" s="1"/>
  <c r="G14" i="36" s="1"/>
  <c r="G15" i="36" s="1"/>
  <c r="AI15" i="36" s="1"/>
  <c r="BD13" i="37"/>
  <c r="BD14" i="37"/>
  <c r="K11" i="36"/>
  <c r="K13" i="36" s="1"/>
  <c r="K14" i="36" s="1"/>
  <c r="K15" i="36" s="1"/>
  <c r="AM15" i="36" s="1"/>
  <c r="R11" i="36"/>
  <c r="R13" i="36" s="1"/>
  <c r="R14" i="36" s="1"/>
  <c r="R15" i="36" s="1"/>
  <c r="AT15" i="36" s="1"/>
  <c r="F13" i="36"/>
  <c r="F14" i="36" s="1"/>
  <c r="F15" i="36" s="1"/>
  <c r="H51" i="31"/>
  <c r="AH50" i="31"/>
  <c r="AH51" i="31"/>
  <c r="I49" i="31"/>
  <c r="AI49" i="31"/>
  <c r="AI48" i="31"/>
  <c r="H57" i="31"/>
  <c r="AH56" i="31"/>
  <c r="AH57" i="31"/>
  <c r="I39" i="31"/>
  <c r="AI39" i="31"/>
  <c r="AI38" i="31"/>
  <c r="H53" i="31"/>
  <c r="AH53" i="31"/>
  <c r="AH52" i="31"/>
  <c r="I73" i="31"/>
  <c r="AI73" i="31"/>
  <c r="AI72" i="31"/>
  <c r="H37" i="31"/>
  <c r="AH36" i="31"/>
  <c r="AH37" i="31"/>
  <c r="I61" i="31"/>
  <c r="AI61" i="31"/>
  <c r="AI60" i="31"/>
  <c r="H67" i="31"/>
  <c r="AH66" i="31"/>
  <c r="AH67" i="31"/>
  <c r="H59" i="31"/>
  <c r="AH59" i="31"/>
  <c r="AH58" i="31"/>
  <c r="H35" i="31"/>
  <c r="AH34" i="31"/>
  <c r="AH35" i="31"/>
  <c r="Z79" i="31"/>
  <c r="AZ79" i="31"/>
  <c r="AZ78" i="31"/>
  <c r="X47" i="31"/>
  <c r="AX47" i="31"/>
  <c r="AX46" i="31"/>
  <c r="J41" i="31"/>
  <c r="AJ40" i="31"/>
  <c r="AJ41" i="31"/>
  <c r="I77" i="31"/>
  <c r="AI77" i="31"/>
  <c r="AI76" i="31"/>
  <c r="H63" i="31"/>
  <c r="AH62" i="31"/>
  <c r="AH63" i="31"/>
  <c r="H65" i="31"/>
  <c r="AH65" i="31"/>
  <c r="AH64" i="31"/>
  <c r="H43" i="31"/>
  <c r="AH43" i="31"/>
  <c r="AH42" i="31"/>
  <c r="J45" i="31"/>
  <c r="AJ44" i="31"/>
  <c r="AJ45" i="31"/>
  <c r="I69" i="31"/>
  <c r="AI69" i="31"/>
  <c r="AI68" i="31"/>
  <c r="J55" i="31"/>
  <c r="AJ54" i="31"/>
  <c r="AJ55" i="31"/>
  <c r="AT14" i="38" l="1"/>
  <c r="AT13" i="38"/>
  <c r="AZ14" i="38"/>
  <c r="AZ13" i="38"/>
  <c r="AL14" i="38"/>
  <c r="AL13" i="38"/>
  <c r="AU13" i="38"/>
  <c r="AU14" i="38"/>
  <c r="AR14" i="38"/>
  <c r="AR13" i="38"/>
  <c r="BD13" i="38"/>
  <c r="BD14" i="38"/>
  <c r="BC13" i="38"/>
  <c r="BC14" i="38"/>
  <c r="BB13" i="38"/>
  <c r="BB14" i="38"/>
  <c r="BG13" i="38"/>
  <c r="BG14" i="38"/>
  <c r="AM14" i="38"/>
  <c r="AM13" i="38"/>
  <c r="BE14" i="38"/>
  <c r="BE13" i="38"/>
  <c r="AI14" i="38"/>
  <c r="AI13" i="38"/>
  <c r="AH15" i="38"/>
  <c r="AF15" i="38"/>
  <c r="AQ14" i="38"/>
  <c r="AQ13" i="38"/>
  <c r="BF13" i="38"/>
  <c r="BF14" i="38"/>
  <c r="AP14" i="38"/>
  <c r="AP13" i="38"/>
  <c r="AJ14" i="38"/>
  <c r="AJ13" i="38"/>
  <c r="AO14" i="38"/>
  <c r="AO13" i="38"/>
  <c r="AS14" i="38"/>
  <c r="AS13" i="38"/>
  <c r="AV13" i="38"/>
  <c r="AV14" i="38"/>
  <c r="AN13" i="38"/>
  <c r="AN14" i="38"/>
  <c r="BA13" i="38"/>
  <c r="BA14" i="38"/>
  <c r="AK13" i="38"/>
  <c r="AK14" i="38"/>
  <c r="AX14" i="38"/>
  <c r="AX13" i="38"/>
  <c r="AY13" i="38"/>
  <c r="AY14" i="38"/>
  <c r="AW14" i="38"/>
  <c r="AW13" i="38"/>
  <c r="AH13" i="37"/>
  <c r="AH14" i="37"/>
  <c r="X17" i="37"/>
  <c r="P17" i="37"/>
  <c r="H17" i="37"/>
  <c r="AE17" i="37"/>
  <c r="W17" i="37"/>
  <c r="O17" i="37"/>
  <c r="G17" i="37"/>
  <c r="AD17" i="37"/>
  <c r="V17" i="37"/>
  <c r="N17" i="37"/>
  <c r="F17" i="37"/>
  <c r="AB17" i="37"/>
  <c r="T17" i="37"/>
  <c r="L17" i="37"/>
  <c r="S17" i="37"/>
  <c r="R17" i="37"/>
  <c r="J17" i="37"/>
  <c r="Y17" i="37"/>
  <c r="Q17" i="37"/>
  <c r="AC17" i="37"/>
  <c r="M17" i="37"/>
  <c r="Z17" i="37"/>
  <c r="AA17" i="37"/>
  <c r="K17" i="37"/>
  <c r="I17" i="37"/>
  <c r="U17" i="37"/>
  <c r="AI14" i="36"/>
  <c r="AI13" i="36"/>
  <c r="AM14" i="36"/>
  <c r="AM13" i="36"/>
  <c r="BE13" i="36"/>
  <c r="BE14" i="36"/>
  <c r="AY13" i="36"/>
  <c r="AY14" i="36"/>
  <c r="BF13" i="36"/>
  <c r="BF14" i="36"/>
  <c r="AL14" i="36"/>
  <c r="AL13" i="36"/>
  <c r="AU14" i="36"/>
  <c r="AU13" i="36"/>
  <c r="AJ14" i="36"/>
  <c r="AJ13" i="36"/>
  <c r="BD13" i="36"/>
  <c r="BD14" i="36"/>
  <c r="BC14" i="36"/>
  <c r="BC13" i="36"/>
  <c r="BB14" i="36"/>
  <c r="BB13" i="36"/>
  <c r="AS14" i="36"/>
  <c r="AS13" i="36"/>
  <c r="AR14" i="36"/>
  <c r="AR13" i="36"/>
  <c r="BG13" i="36"/>
  <c r="BG14" i="36"/>
  <c r="AW13" i="36"/>
  <c r="AW14" i="36"/>
  <c r="AV13" i="36"/>
  <c r="AV14" i="36"/>
  <c r="AX13" i="36"/>
  <c r="AX14" i="36"/>
  <c r="AK14" i="36"/>
  <c r="AK13" i="36"/>
  <c r="AZ14" i="36"/>
  <c r="AZ13" i="36"/>
  <c r="AO13" i="36"/>
  <c r="AO14" i="36"/>
  <c r="AN13" i="36"/>
  <c r="AN14" i="36"/>
  <c r="BA14" i="36"/>
  <c r="BA13" i="36"/>
  <c r="AP14" i="36"/>
  <c r="AP13" i="36"/>
  <c r="AQ14" i="36"/>
  <c r="AQ13" i="36"/>
  <c r="AH15" i="36"/>
  <c r="AF15" i="36"/>
  <c r="AT14" i="36"/>
  <c r="AT13" i="36"/>
  <c r="K41" i="31"/>
  <c r="AK41" i="31"/>
  <c r="AK40" i="31"/>
  <c r="J73" i="31"/>
  <c r="AJ73" i="31"/>
  <c r="AJ72" i="31"/>
  <c r="K45" i="31"/>
  <c r="AK44" i="31"/>
  <c r="AK45" i="31"/>
  <c r="I35" i="31"/>
  <c r="AI35" i="31"/>
  <c r="AI34" i="31"/>
  <c r="I57" i="31"/>
  <c r="AI56" i="31"/>
  <c r="AI57" i="31"/>
  <c r="I63" i="31"/>
  <c r="AI62" i="31"/>
  <c r="AI63" i="31"/>
  <c r="J61" i="31"/>
  <c r="AJ61" i="31"/>
  <c r="AJ60" i="31"/>
  <c r="K55" i="31"/>
  <c r="AK55" i="31"/>
  <c r="AK54" i="31"/>
  <c r="Y47" i="31"/>
  <c r="AY47" i="31"/>
  <c r="AY46" i="31"/>
  <c r="I53" i="31"/>
  <c r="AI53" i="31"/>
  <c r="AI52" i="31"/>
  <c r="I43" i="31"/>
  <c r="AI42" i="31"/>
  <c r="AI43" i="31"/>
  <c r="I59" i="31"/>
  <c r="AI58" i="31"/>
  <c r="AI59" i="31"/>
  <c r="J49" i="31"/>
  <c r="AJ48" i="31"/>
  <c r="AJ49" i="31"/>
  <c r="J77" i="31"/>
  <c r="AJ77" i="31"/>
  <c r="AJ76" i="31"/>
  <c r="I37" i="31"/>
  <c r="AI37" i="31"/>
  <c r="AI36" i="31"/>
  <c r="J69" i="31"/>
  <c r="AJ69" i="31"/>
  <c r="AJ68" i="31"/>
  <c r="AA79" i="31"/>
  <c r="BA79" i="31"/>
  <c r="BA78" i="31"/>
  <c r="J39" i="31"/>
  <c r="AJ39" i="31"/>
  <c r="AJ38" i="31"/>
  <c r="I65" i="31"/>
  <c r="AI65" i="31"/>
  <c r="AI64" i="31"/>
  <c r="I67" i="31"/>
  <c r="AI66" i="31"/>
  <c r="AI67" i="31"/>
  <c r="I51" i="31"/>
  <c r="AI51" i="31"/>
  <c r="AI50" i="31"/>
  <c r="AD17" i="38" l="1"/>
  <c r="V17" i="38"/>
  <c r="N17" i="38"/>
  <c r="F17" i="38"/>
  <c r="AB17" i="38"/>
  <c r="T17" i="38"/>
  <c r="L17" i="38"/>
  <c r="AA17" i="38"/>
  <c r="S17" i="38"/>
  <c r="K17" i="38"/>
  <c r="Y17" i="38"/>
  <c r="M17" i="38"/>
  <c r="X17" i="38"/>
  <c r="J17" i="38"/>
  <c r="W17" i="38"/>
  <c r="I17" i="38"/>
  <c r="U17" i="38"/>
  <c r="H17" i="38"/>
  <c r="AE17" i="38"/>
  <c r="Q17" i="38"/>
  <c r="Z17" i="38"/>
  <c r="R17" i="38"/>
  <c r="P17" i="38"/>
  <c r="O17" i="38"/>
  <c r="G17" i="38"/>
  <c r="AC17" i="38"/>
  <c r="AH14" i="38"/>
  <c r="AH13" i="38"/>
  <c r="O19" i="37"/>
  <c r="O20" i="37" s="1"/>
  <c r="O21" i="37" s="1"/>
  <c r="AQ21" i="37" s="1"/>
  <c r="AE19" i="37"/>
  <c r="AE20" i="37" s="1"/>
  <c r="AE21" i="37" s="1"/>
  <c r="BG21" i="37" s="1"/>
  <c r="Q19" i="37"/>
  <c r="Q20" i="37" s="1"/>
  <c r="Q21" i="37" s="1"/>
  <c r="AS21" i="37" s="1"/>
  <c r="F19" i="37"/>
  <c r="F20" i="37" s="1"/>
  <c r="F21" i="37" s="1"/>
  <c r="H19" i="37"/>
  <c r="H20" i="37" s="1"/>
  <c r="H21" i="37" s="1"/>
  <c r="AJ21" i="37" s="1"/>
  <c r="L19" i="37"/>
  <c r="L20" i="37" s="1"/>
  <c r="L21" i="37" s="1"/>
  <c r="AN21" i="37" s="1"/>
  <c r="M19" i="37"/>
  <c r="M20" i="37" s="1"/>
  <c r="M21" i="37" s="1"/>
  <c r="AO21" i="37" s="1"/>
  <c r="U19" i="37"/>
  <c r="U20" i="37" s="1"/>
  <c r="U21" i="37" s="1"/>
  <c r="AW21" i="37" s="1"/>
  <c r="Y19" i="37"/>
  <c r="Y20" i="37" s="1"/>
  <c r="Y21" i="37" s="1"/>
  <c r="BA21" i="37" s="1"/>
  <c r="N19" i="37"/>
  <c r="N20" i="37" s="1"/>
  <c r="N21" i="37" s="1"/>
  <c r="AP21" i="37" s="1"/>
  <c r="P19" i="37"/>
  <c r="P20" i="37" s="1"/>
  <c r="P21" i="37" s="1"/>
  <c r="AR21" i="37" s="1"/>
  <c r="T19" i="37"/>
  <c r="T20" i="37" s="1"/>
  <c r="T21" i="37" s="1"/>
  <c r="AV21" i="37" s="1"/>
  <c r="AC19" i="37"/>
  <c r="AC20" i="37" s="1"/>
  <c r="AC21" i="37" s="1"/>
  <c r="BE21" i="37" s="1"/>
  <c r="I19" i="37"/>
  <c r="I20" i="37" s="1"/>
  <c r="I21" i="37" s="1"/>
  <c r="AK21" i="37" s="1"/>
  <c r="J19" i="37"/>
  <c r="J20" i="37" s="1"/>
  <c r="J21" i="37" s="1"/>
  <c r="AL21" i="37" s="1"/>
  <c r="V19" i="37"/>
  <c r="V20" i="37" s="1"/>
  <c r="V21" i="37" s="1"/>
  <c r="AX21" i="37" s="1"/>
  <c r="X19" i="37"/>
  <c r="X20" i="37" s="1"/>
  <c r="X21" i="37" s="1"/>
  <c r="AZ21" i="37" s="1"/>
  <c r="Z19" i="37"/>
  <c r="Z20" i="37" s="1"/>
  <c r="Z21" i="37" s="1"/>
  <c r="BB21" i="37" s="1"/>
  <c r="AB19" i="37"/>
  <c r="AB20" i="37" s="1"/>
  <c r="AB21" i="37" s="1"/>
  <c r="BD21" i="37" s="1"/>
  <c r="K19" i="37"/>
  <c r="K20" i="37" s="1"/>
  <c r="K21" i="37" s="1"/>
  <c r="AM21" i="37" s="1"/>
  <c r="R19" i="37"/>
  <c r="R20" i="37" s="1"/>
  <c r="R21" i="37" s="1"/>
  <c r="AT21" i="37" s="1"/>
  <c r="AD19" i="37"/>
  <c r="AD20" i="37" s="1"/>
  <c r="AD21" i="37" s="1"/>
  <c r="BF21" i="37" s="1"/>
  <c r="W19" i="37"/>
  <c r="W20" i="37" s="1"/>
  <c r="W21" i="37" s="1"/>
  <c r="AY21" i="37" s="1"/>
  <c r="AA19" i="37"/>
  <c r="AA20" i="37" s="1"/>
  <c r="AA21" i="37" s="1"/>
  <c r="BC21" i="37" s="1"/>
  <c r="S19" i="37"/>
  <c r="S20" i="37" s="1"/>
  <c r="S21" i="37" s="1"/>
  <c r="AU21" i="37" s="1"/>
  <c r="G19" i="37"/>
  <c r="G20" i="37" s="1"/>
  <c r="G21" i="37" s="1"/>
  <c r="AI21" i="37" s="1"/>
  <c r="AL16" i="37"/>
  <c r="AW16" i="37"/>
  <c r="BC16" i="37"/>
  <c r="BB16" i="37"/>
  <c r="AX16" i="37"/>
  <c r="AY16" i="37"/>
  <c r="BF16" i="37"/>
  <c r="BD16" i="37"/>
  <c r="AI16" i="37"/>
  <c r="BG16" i="37"/>
  <c r="AT16" i="37"/>
  <c r="BA16" i="37"/>
  <c r="AZ16" i="37"/>
  <c r="AO16" i="37"/>
  <c r="AS16" i="37"/>
  <c r="AR16" i="37"/>
  <c r="AH16" i="37"/>
  <c r="AQ16" i="37"/>
  <c r="AJ16" i="37"/>
  <c r="AM16" i="37"/>
  <c r="AU16" i="37"/>
  <c r="AK16" i="37"/>
  <c r="AN16" i="37"/>
  <c r="AP16" i="37"/>
  <c r="BE16" i="37"/>
  <c r="AV16" i="37"/>
  <c r="Y17" i="36"/>
  <c r="Q17" i="36"/>
  <c r="I17" i="36"/>
  <c r="X17" i="36"/>
  <c r="P17" i="36"/>
  <c r="H17" i="36"/>
  <c r="AE17" i="36"/>
  <c r="W17" i="36"/>
  <c r="O17" i="36"/>
  <c r="G17" i="36"/>
  <c r="AD17" i="36"/>
  <c r="V17" i="36"/>
  <c r="N17" i="36"/>
  <c r="F17" i="36"/>
  <c r="AA17" i="36"/>
  <c r="K17" i="36"/>
  <c r="Z17" i="36"/>
  <c r="J17" i="36"/>
  <c r="U17" i="36"/>
  <c r="T17" i="36"/>
  <c r="M17" i="36"/>
  <c r="AC17" i="36"/>
  <c r="AB17" i="36"/>
  <c r="L17" i="36"/>
  <c r="S17" i="36"/>
  <c r="R17" i="36"/>
  <c r="AH14" i="36"/>
  <c r="AH13" i="36"/>
  <c r="J63" i="31"/>
  <c r="AJ63" i="31"/>
  <c r="AJ62" i="31"/>
  <c r="J65" i="31"/>
  <c r="AJ65" i="31"/>
  <c r="AJ64" i="31"/>
  <c r="J43" i="31"/>
  <c r="AJ42" i="31"/>
  <c r="AJ43" i="31"/>
  <c r="J51" i="31"/>
  <c r="AJ51" i="31"/>
  <c r="AJ50" i="31"/>
  <c r="K49" i="31"/>
  <c r="AK48" i="31"/>
  <c r="AK49" i="31"/>
  <c r="J57" i="31"/>
  <c r="AJ57" i="31"/>
  <c r="AJ56" i="31"/>
  <c r="L45" i="31"/>
  <c r="AL45" i="31"/>
  <c r="AL44" i="31"/>
  <c r="K39" i="31"/>
  <c r="AK38" i="31"/>
  <c r="AK39" i="31"/>
  <c r="J53" i="31"/>
  <c r="AJ53" i="31"/>
  <c r="AJ52" i="31"/>
  <c r="K73" i="31"/>
  <c r="AK73" i="31"/>
  <c r="AK72" i="31"/>
  <c r="J37" i="31"/>
  <c r="AJ37" i="31"/>
  <c r="AJ36" i="31"/>
  <c r="K61" i="31"/>
  <c r="AK61" i="31"/>
  <c r="AK60" i="31"/>
  <c r="K77" i="31"/>
  <c r="AK77" i="31"/>
  <c r="AK76" i="31"/>
  <c r="L55" i="31"/>
  <c r="AL55" i="31"/>
  <c r="AL54" i="31"/>
  <c r="J67" i="31"/>
  <c r="AJ67" i="31"/>
  <c r="AJ66" i="31"/>
  <c r="J59" i="31"/>
  <c r="AJ58" i="31"/>
  <c r="AJ59" i="31"/>
  <c r="J35" i="31"/>
  <c r="AJ35" i="31"/>
  <c r="AJ34" i="31"/>
  <c r="K69" i="31"/>
  <c r="AK69" i="31"/>
  <c r="AK68" i="31"/>
  <c r="AB79" i="31"/>
  <c r="BB79" i="31"/>
  <c r="BB78" i="31"/>
  <c r="Z47" i="31"/>
  <c r="AZ46" i="31"/>
  <c r="AZ47" i="31"/>
  <c r="L41" i="31"/>
  <c r="AL41" i="31"/>
  <c r="AL40" i="31"/>
  <c r="BE20" i="31"/>
  <c r="BD20" i="31"/>
  <c r="BC20" i="31"/>
  <c r="BB20" i="31"/>
  <c r="BA20" i="31"/>
  <c r="AZ20" i="31"/>
  <c r="AY20" i="31"/>
  <c r="AX20" i="31"/>
  <c r="AW20" i="31"/>
  <c r="AV20" i="31"/>
  <c r="AU20" i="31"/>
  <c r="AT20" i="31"/>
  <c r="AS20" i="31"/>
  <c r="AR20" i="31"/>
  <c r="AQ20" i="31"/>
  <c r="AP20" i="31"/>
  <c r="AO20" i="31"/>
  <c r="AN20" i="31"/>
  <c r="AM20" i="31"/>
  <c r="AL20" i="31"/>
  <c r="AK20" i="31"/>
  <c r="AJ20" i="31"/>
  <c r="AI20" i="31"/>
  <c r="AH20" i="31"/>
  <c r="AG20" i="31"/>
  <c r="AF20" i="31"/>
  <c r="BE18" i="31"/>
  <c r="BD18" i="31"/>
  <c r="BC18" i="31"/>
  <c r="BB18" i="31"/>
  <c r="BA18" i="31"/>
  <c r="AZ18" i="31"/>
  <c r="AY18" i="31"/>
  <c r="AX18" i="31"/>
  <c r="AW18" i="31"/>
  <c r="AV18" i="31"/>
  <c r="AU18" i="31"/>
  <c r="AT18" i="31"/>
  <c r="AS18" i="31"/>
  <c r="AR18" i="31"/>
  <c r="AQ18" i="31"/>
  <c r="AP18" i="31"/>
  <c r="AO18" i="31"/>
  <c r="AN18" i="31"/>
  <c r="AM18" i="31"/>
  <c r="AL18" i="31"/>
  <c r="AK18" i="31"/>
  <c r="AJ18" i="31"/>
  <c r="AI18" i="31"/>
  <c r="AH18" i="31"/>
  <c r="AG18" i="31"/>
  <c r="AF18" i="31"/>
  <c r="BE16" i="31"/>
  <c r="BD16" i="31"/>
  <c r="BC16" i="31"/>
  <c r="BB16" i="31"/>
  <c r="BA16" i="31"/>
  <c r="AZ16" i="31"/>
  <c r="AY16" i="31"/>
  <c r="AX16" i="31"/>
  <c r="AW16" i="31"/>
  <c r="AV16" i="31"/>
  <c r="AU16" i="31"/>
  <c r="AT16" i="31"/>
  <c r="AS16" i="31"/>
  <c r="AR16" i="31"/>
  <c r="AQ16" i="31"/>
  <c r="AP16" i="31"/>
  <c r="AO16" i="31"/>
  <c r="AN16" i="31"/>
  <c r="AM16" i="31"/>
  <c r="AL16" i="31"/>
  <c r="AK16" i="31"/>
  <c r="AJ16" i="31"/>
  <c r="AI16" i="31"/>
  <c r="AH16" i="31"/>
  <c r="AG16" i="31"/>
  <c r="AF16" i="31"/>
  <c r="BE14" i="31"/>
  <c r="BD14" i="31"/>
  <c r="BC14" i="31"/>
  <c r="BB14" i="31"/>
  <c r="BA14" i="31"/>
  <c r="AZ14" i="31"/>
  <c r="AY14" i="31"/>
  <c r="AX14" i="31"/>
  <c r="AW14" i="31"/>
  <c r="AV14" i="31"/>
  <c r="AU14" i="31"/>
  <c r="AT14" i="31"/>
  <c r="AS14" i="31"/>
  <c r="AR14" i="31"/>
  <c r="AQ14" i="31"/>
  <c r="AP14" i="31"/>
  <c r="AO14" i="31"/>
  <c r="AN14" i="31"/>
  <c r="AM14" i="31"/>
  <c r="AL14" i="31"/>
  <c r="AK14" i="31"/>
  <c r="AJ14" i="31"/>
  <c r="AI14" i="31"/>
  <c r="AH14" i="31"/>
  <c r="AG14" i="31"/>
  <c r="AF14" i="31"/>
  <c r="BE12" i="31"/>
  <c r="BD12" i="31"/>
  <c r="BC12" i="31"/>
  <c r="BB12" i="31"/>
  <c r="BA12" i="31"/>
  <c r="AZ12" i="31"/>
  <c r="AY12" i="31"/>
  <c r="AX12" i="31"/>
  <c r="AW12" i="31"/>
  <c r="AV12" i="31"/>
  <c r="AU12" i="31"/>
  <c r="AT12" i="31"/>
  <c r="AS12" i="31"/>
  <c r="AR12" i="31"/>
  <c r="AQ12" i="31"/>
  <c r="AP12" i="31"/>
  <c r="AO12" i="31"/>
  <c r="AN12" i="31"/>
  <c r="AM12" i="31"/>
  <c r="AL12" i="31"/>
  <c r="AK12" i="31"/>
  <c r="AJ12" i="31"/>
  <c r="AI12" i="31"/>
  <c r="AH12" i="31"/>
  <c r="AG12" i="31"/>
  <c r="AF12" i="31"/>
  <c r="AF4" i="31"/>
  <c r="AF6" i="31"/>
  <c r="AF8" i="31"/>
  <c r="AF10" i="31"/>
  <c r="BE10" i="31"/>
  <c r="BD10" i="31"/>
  <c r="BC10" i="31"/>
  <c r="BB10" i="31"/>
  <c r="BA10" i="31"/>
  <c r="AZ10" i="31"/>
  <c r="AY10" i="31"/>
  <c r="AX10" i="31"/>
  <c r="AW10" i="31"/>
  <c r="AV10" i="31"/>
  <c r="AU10" i="31"/>
  <c r="AT10" i="31"/>
  <c r="AS10" i="31"/>
  <c r="AR10" i="31"/>
  <c r="AQ10" i="31"/>
  <c r="AP10" i="31"/>
  <c r="AO10" i="31"/>
  <c r="AN10" i="31"/>
  <c r="AM10" i="31"/>
  <c r="AL10" i="31"/>
  <c r="AK10" i="31"/>
  <c r="AJ10" i="31"/>
  <c r="AI10" i="31"/>
  <c r="AH10" i="31"/>
  <c r="AG10" i="31"/>
  <c r="BE8" i="31"/>
  <c r="BD8" i="31"/>
  <c r="BC8" i="31"/>
  <c r="BB8" i="31"/>
  <c r="BA8" i="31"/>
  <c r="AZ8" i="31"/>
  <c r="AY8" i="31"/>
  <c r="AX8" i="31"/>
  <c r="AW8" i="31"/>
  <c r="AV8" i="31"/>
  <c r="AU8" i="31"/>
  <c r="AT8" i="31"/>
  <c r="AS8" i="31"/>
  <c r="AR8" i="31"/>
  <c r="AQ8" i="31"/>
  <c r="AP8" i="31"/>
  <c r="AO8" i="31"/>
  <c r="AN8" i="31"/>
  <c r="AM8" i="31"/>
  <c r="AL8" i="31"/>
  <c r="AK8" i="31"/>
  <c r="AJ8" i="31"/>
  <c r="AI8" i="31"/>
  <c r="AH8" i="31"/>
  <c r="AG8" i="31"/>
  <c r="BE6" i="31"/>
  <c r="BD6" i="31"/>
  <c r="BC6" i="31"/>
  <c r="BB6" i="31"/>
  <c r="BA6" i="31"/>
  <c r="AZ6" i="31"/>
  <c r="AY6" i="31"/>
  <c r="AX6" i="31"/>
  <c r="AW6" i="31"/>
  <c r="AV6" i="31"/>
  <c r="AU6" i="31"/>
  <c r="AT6" i="31"/>
  <c r="AS6" i="31"/>
  <c r="AR6" i="31"/>
  <c r="AQ6" i="31"/>
  <c r="AP6" i="31"/>
  <c r="AO6" i="31"/>
  <c r="AN6" i="31"/>
  <c r="AM6" i="31"/>
  <c r="AL6" i="31"/>
  <c r="AK6" i="31"/>
  <c r="AJ6" i="31"/>
  <c r="AI6" i="31"/>
  <c r="AH6" i="31"/>
  <c r="AG6" i="31"/>
  <c r="AG4" i="31"/>
  <c r="AH4" i="31"/>
  <c r="AI4" i="31"/>
  <c r="AJ4" i="31"/>
  <c r="AK4" i="31"/>
  <c r="AL4" i="31"/>
  <c r="AM4" i="31"/>
  <c r="AN4" i="31"/>
  <c r="AO4" i="31"/>
  <c r="AP4" i="31"/>
  <c r="AQ4" i="31"/>
  <c r="AR4" i="31"/>
  <c r="AS4" i="31"/>
  <c r="AT4" i="31"/>
  <c r="AU4" i="31"/>
  <c r="AV4" i="31"/>
  <c r="AW4" i="31"/>
  <c r="AX4" i="31"/>
  <c r="AY4" i="31"/>
  <c r="AZ4" i="31"/>
  <c r="BA4" i="31"/>
  <c r="BB4" i="31"/>
  <c r="BC4" i="31"/>
  <c r="BD4" i="31"/>
  <c r="BE4" i="31"/>
  <c r="P19" i="38" l="1"/>
  <c r="P20" i="38" s="1"/>
  <c r="P21" i="38" s="1"/>
  <c r="AR21" i="38" s="1"/>
  <c r="W19" i="38"/>
  <c r="W20" i="38" s="1"/>
  <c r="W21" i="38" s="1"/>
  <c r="AY21" i="38" s="1"/>
  <c r="L19" i="38"/>
  <c r="L20" i="38" s="1"/>
  <c r="L21" i="38" s="1"/>
  <c r="AN21" i="38" s="1"/>
  <c r="R19" i="38"/>
  <c r="R20" i="38" s="1"/>
  <c r="R21" i="38" s="1"/>
  <c r="AT21" i="38" s="1"/>
  <c r="J19" i="38"/>
  <c r="J20" i="38" s="1"/>
  <c r="J21" i="38" s="1"/>
  <c r="AL21" i="38" s="1"/>
  <c r="T19" i="38"/>
  <c r="T20" i="38" s="1"/>
  <c r="T21" i="38" s="1"/>
  <c r="AV21" i="38" s="1"/>
  <c r="AA19" i="38"/>
  <c r="AA20" i="38" s="1"/>
  <c r="AA21" i="38" s="1"/>
  <c r="BC21" i="38" s="1"/>
  <c r="X19" i="38"/>
  <c r="X20" i="38" s="1"/>
  <c r="X21" i="38" s="1"/>
  <c r="AZ21" i="38" s="1"/>
  <c r="AY16" i="38"/>
  <c r="AW16" i="38"/>
  <c r="AL16" i="38"/>
  <c r="AN16" i="38"/>
  <c r="AV16" i="38"/>
  <c r="AK16" i="38"/>
  <c r="BA16" i="38"/>
  <c r="AU16" i="38"/>
  <c r="AI16" i="38"/>
  <c r="AR16" i="38"/>
  <c r="BD16" i="38"/>
  <c r="AT16" i="38"/>
  <c r="BG16" i="38"/>
  <c r="AJ16" i="38"/>
  <c r="AM16" i="38"/>
  <c r="AZ16" i="38"/>
  <c r="AO16" i="38"/>
  <c r="BC16" i="38"/>
  <c r="BB16" i="38"/>
  <c r="AX16" i="38"/>
  <c r="BE16" i="38"/>
  <c r="AS16" i="38"/>
  <c r="AQ16" i="38"/>
  <c r="AP16" i="38"/>
  <c r="BF16" i="38"/>
  <c r="AH16" i="38"/>
  <c r="Q19" i="38"/>
  <c r="Q20" i="38" s="1"/>
  <c r="Q21" i="38" s="1"/>
  <c r="AS21" i="38" s="1"/>
  <c r="M19" i="38"/>
  <c r="M20" i="38" s="1"/>
  <c r="M21" i="38" s="1"/>
  <c r="AO21" i="38" s="1"/>
  <c r="F19" i="38"/>
  <c r="F20" i="38" s="1"/>
  <c r="F21" i="38" s="1"/>
  <c r="Z19" i="38"/>
  <c r="Z20" i="38" s="1"/>
  <c r="Z21" i="38" s="1"/>
  <c r="BB21" i="38" s="1"/>
  <c r="AE19" i="38"/>
  <c r="AE20" i="38" s="1"/>
  <c r="AE21" i="38" s="1"/>
  <c r="BG21" i="38" s="1"/>
  <c r="Y19" i="38"/>
  <c r="Y20" i="38" s="1"/>
  <c r="Y21" i="38" s="1"/>
  <c r="BA21" i="38" s="1"/>
  <c r="N19" i="38"/>
  <c r="N20" i="38" s="1"/>
  <c r="N21" i="38" s="1"/>
  <c r="AP21" i="38" s="1"/>
  <c r="I19" i="38"/>
  <c r="I20" i="38" s="1"/>
  <c r="I21" i="38" s="1"/>
  <c r="AK21" i="38" s="1"/>
  <c r="AB19" i="38"/>
  <c r="AB20" i="38" s="1"/>
  <c r="AB21" i="38" s="1"/>
  <c r="BD21" i="38" s="1"/>
  <c r="AC19" i="38"/>
  <c r="AC20" i="38" s="1"/>
  <c r="AC21" i="38" s="1"/>
  <c r="BE21" i="38" s="1"/>
  <c r="H19" i="38"/>
  <c r="H20" i="38" s="1"/>
  <c r="H21" i="38" s="1"/>
  <c r="AJ21" i="38" s="1"/>
  <c r="K19" i="38"/>
  <c r="K20" i="38" s="1"/>
  <c r="K21" i="38" s="1"/>
  <c r="AM21" i="38" s="1"/>
  <c r="V19" i="38"/>
  <c r="V20" i="38" s="1"/>
  <c r="V21" i="38" s="1"/>
  <c r="AX21" i="38" s="1"/>
  <c r="O19" i="38"/>
  <c r="O20" i="38" s="1"/>
  <c r="O21" i="38" s="1"/>
  <c r="AQ21" i="38" s="1"/>
  <c r="G19" i="38"/>
  <c r="G20" i="38" s="1"/>
  <c r="G21" i="38" s="1"/>
  <c r="AI21" i="38" s="1"/>
  <c r="U19" i="38"/>
  <c r="U20" i="38" s="1"/>
  <c r="U21" i="38" s="1"/>
  <c r="AW21" i="38" s="1"/>
  <c r="S19" i="38"/>
  <c r="S20" i="38" s="1"/>
  <c r="S21" i="38" s="1"/>
  <c r="AU21" i="38" s="1"/>
  <c r="AD19" i="38"/>
  <c r="AD20" i="38" s="1"/>
  <c r="AD21" i="38" s="1"/>
  <c r="BF21" i="38" s="1"/>
  <c r="AX20" i="37"/>
  <c r="AX19" i="37"/>
  <c r="AU20" i="37"/>
  <c r="AU19" i="37"/>
  <c r="AP20" i="37"/>
  <c r="AP19" i="37"/>
  <c r="BC20" i="37"/>
  <c r="BC19" i="37"/>
  <c r="AM20" i="37"/>
  <c r="AM19" i="37"/>
  <c r="AJ20" i="37"/>
  <c r="AJ19" i="37"/>
  <c r="AI20" i="37"/>
  <c r="AI19" i="37"/>
  <c r="BD20" i="37"/>
  <c r="BD19" i="37"/>
  <c r="BA19" i="37"/>
  <c r="BA20" i="37"/>
  <c r="AH21" i="37"/>
  <c r="AF21" i="37"/>
  <c r="AL19" i="37"/>
  <c r="AL20" i="37"/>
  <c r="BE20" i="37"/>
  <c r="BE19" i="37"/>
  <c r="AW20" i="37"/>
  <c r="AW19" i="37"/>
  <c r="AS20" i="37"/>
  <c r="AS19" i="37"/>
  <c r="AT19" i="37"/>
  <c r="AT20" i="37"/>
  <c r="BB19" i="37"/>
  <c r="BB20" i="37"/>
  <c r="AY19" i="37"/>
  <c r="AY20" i="37"/>
  <c r="AV20" i="37"/>
  <c r="AV19" i="37"/>
  <c r="BG19" i="37"/>
  <c r="BG20" i="37"/>
  <c r="BF20" i="37"/>
  <c r="BF19" i="37"/>
  <c r="AZ19" i="37"/>
  <c r="AZ20" i="37"/>
  <c r="AO20" i="37"/>
  <c r="AO19" i="37"/>
  <c r="AQ19" i="37"/>
  <c r="AQ20" i="37"/>
  <c r="AN20" i="37"/>
  <c r="AN19" i="37"/>
  <c r="AK20" i="37"/>
  <c r="AK19" i="37"/>
  <c r="AR20" i="37"/>
  <c r="AR19" i="37"/>
  <c r="K19" i="36"/>
  <c r="K20" i="36" s="1"/>
  <c r="K21" i="36" s="1"/>
  <c r="AM21" i="36" s="1"/>
  <c r="H19" i="36"/>
  <c r="H20" i="36" s="1"/>
  <c r="H21" i="36" s="1"/>
  <c r="AJ21" i="36" s="1"/>
  <c r="M19" i="36"/>
  <c r="M20" i="36" s="1"/>
  <c r="M21" i="36" s="1"/>
  <c r="AO21" i="36" s="1"/>
  <c r="N19" i="36"/>
  <c r="N20" i="36" s="1"/>
  <c r="N21" i="36" s="1"/>
  <c r="AP21" i="36" s="1"/>
  <c r="P19" i="36"/>
  <c r="P20" i="36" s="1"/>
  <c r="P21" i="36" s="1"/>
  <c r="AR21" i="36" s="1"/>
  <c r="AE19" i="36"/>
  <c r="AE20" i="36" s="1"/>
  <c r="AE21" i="36" s="1"/>
  <c r="BG21" i="36" s="1"/>
  <c r="AM16" i="36"/>
  <c r="BF16" i="36"/>
  <c r="BE16" i="36"/>
  <c r="AX16" i="36"/>
  <c r="AN16" i="36"/>
  <c r="AJ16" i="36"/>
  <c r="BC16" i="36"/>
  <c r="AT16" i="36"/>
  <c r="BA16" i="36"/>
  <c r="BD16" i="36"/>
  <c r="BB16" i="36"/>
  <c r="AV16" i="36"/>
  <c r="AK16" i="36"/>
  <c r="BG16" i="36"/>
  <c r="AW16" i="36"/>
  <c r="AL16" i="36"/>
  <c r="AS16" i="36"/>
  <c r="AY16" i="36"/>
  <c r="AR16" i="36"/>
  <c r="AI16" i="36"/>
  <c r="AQ16" i="36"/>
  <c r="AP16" i="36"/>
  <c r="AZ16" i="36"/>
  <c r="AO16" i="36"/>
  <c r="AU16" i="36"/>
  <c r="AH16" i="36"/>
  <c r="T19" i="36"/>
  <c r="T20" i="36" s="1"/>
  <c r="T21" i="36" s="1"/>
  <c r="AV21" i="36" s="1"/>
  <c r="V19" i="36"/>
  <c r="V20" i="36" s="1"/>
  <c r="V21" i="36" s="1"/>
  <c r="AX21" i="36" s="1"/>
  <c r="X19" i="36"/>
  <c r="X20" i="36" s="1"/>
  <c r="X21" i="36" s="1"/>
  <c r="AZ21" i="36" s="1"/>
  <c r="W19" i="36"/>
  <c r="W20" i="36" s="1"/>
  <c r="W21" i="36" s="1"/>
  <c r="AY21" i="36" s="1"/>
  <c r="U19" i="36"/>
  <c r="U20" i="36" s="1"/>
  <c r="U21" i="36" s="1"/>
  <c r="AW21" i="36" s="1"/>
  <c r="AD19" i="36"/>
  <c r="AD20" i="36" s="1"/>
  <c r="AD21" i="36" s="1"/>
  <c r="BF21" i="36" s="1"/>
  <c r="I19" i="36"/>
  <c r="I20" i="36" s="1"/>
  <c r="I21" i="36" s="1"/>
  <c r="AK21" i="36" s="1"/>
  <c r="AB19" i="36"/>
  <c r="AB20" i="36" s="1"/>
  <c r="AB21" i="36" s="1"/>
  <c r="BD21" i="36" s="1"/>
  <c r="AC19" i="36"/>
  <c r="AC20" i="36" s="1"/>
  <c r="AC21" i="36" s="1"/>
  <c r="BE21" i="36" s="1"/>
  <c r="R19" i="36"/>
  <c r="R20" i="36" s="1"/>
  <c r="R21" i="36" s="1"/>
  <c r="AT21" i="36" s="1"/>
  <c r="J19" i="36"/>
  <c r="J20" i="36" s="1"/>
  <c r="J21" i="36" s="1"/>
  <c r="AL21" i="36" s="1"/>
  <c r="G19" i="36"/>
  <c r="G20" i="36" s="1"/>
  <c r="G21" i="36" s="1"/>
  <c r="AI21" i="36" s="1"/>
  <c r="Q19" i="36"/>
  <c r="Q20" i="36" s="1"/>
  <c r="Q21" i="36" s="1"/>
  <c r="AS21" i="36" s="1"/>
  <c r="L19" i="36"/>
  <c r="L20" i="36" s="1"/>
  <c r="L21" i="36" s="1"/>
  <c r="AN21" i="36" s="1"/>
  <c r="AA19" i="36"/>
  <c r="AA20" i="36" s="1"/>
  <c r="AA21" i="36" s="1"/>
  <c r="BC21" i="36" s="1"/>
  <c r="F19" i="36"/>
  <c r="F20" i="36" s="1"/>
  <c r="F21" i="36" s="1"/>
  <c r="S19" i="36"/>
  <c r="S20" i="36" s="1"/>
  <c r="S21" i="36" s="1"/>
  <c r="AU21" i="36" s="1"/>
  <c r="Z19" i="36"/>
  <c r="Z20" i="36" s="1"/>
  <c r="Z21" i="36" s="1"/>
  <c r="BB21" i="36" s="1"/>
  <c r="O19" i="36"/>
  <c r="O20" i="36" s="1"/>
  <c r="O21" i="36" s="1"/>
  <c r="AQ21" i="36" s="1"/>
  <c r="Y19" i="36"/>
  <c r="Y20" i="36" s="1"/>
  <c r="Y21" i="36" s="1"/>
  <c r="BA21" i="36" s="1"/>
  <c r="K57" i="31"/>
  <c r="AK57" i="31"/>
  <c r="AK56" i="31"/>
  <c r="M41" i="31"/>
  <c r="AM40" i="31"/>
  <c r="AM41" i="31"/>
  <c r="K59" i="31"/>
  <c r="AK58" i="31"/>
  <c r="AK59" i="31"/>
  <c r="L39" i="31"/>
  <c r="AL39" i="31"/>
  <c r="AL38" i="31"/>
  <c r="L77" i="31"/>
  <c r="AL76" i="31"/>
  <c r="AL77" i="31"/>
  <c r="L49" i="31"/>
  <c r="AL49" i="31"/>
  <c r="AL48" i="31"/>
  <c r="L69" i="31"/>
  <c r="AL68" i="31"/>
  <c r="AL69" i="31"/>
  <c r="L73" i="31"/>
  <c r="AL72" i="31"/>
  <c r="AL73" i="31"/>
  <c r="K65" i="31"/>
  <c r="AK65" i="31"/>
  <c r="AK64" i="31"/>
  <c r="AA47" i="31"/>
  <c r="BA47" i="31"/>
  <c r="BA46" i="31"/>
  <c r="K67" i="31"/>
  <c r="AK67" i="31"/>
  <c r="AK66" i="31"/>
  <c r="M45" i="31"/>
  <c r="AM45" i="31"/>
  <c r="AM44" i="31"/>
  <c r="K43" i="31"/>
  <c r="AK43" i="31"/>
  <c r="AK42" i="31"/>
  <c r="L61" i="31"/>
  <c r="AL60" i="31"/>
  <c r="AL61" i="31"/>
  <c r="K51" i="31"/>
  <c r="AK50" i="31"/>
  <c r="AK51" i="31"/>
  <c r="AC79" i="31"/>
  <c r="BC79" i="31"/>
  <c r="BC78" i="31"/>
  <c r="M55" i="31"/>
  <c r="AM55" i="31"/>
  <c r="AM54" i="31"/>
  <c r="K37" i="31"/>
  <c r="AK36" i="31"/>
  <c r="AK37" i="31"/>
  <c r="K35" i="31"/>
  <c r="AK34" i="31"/>
  <c r="AK35" i="31"/>
  <c r="K53" i="31"/>
  <c r="AK52" i="31"/>
  <c r="AK53" i="31"/>
  <c r="K63" i="31"/>
  <c r="AK63" i="31"/>
  <c r="AK62" i="31"/>
  <c r="D2" i="29"/>
  <c r="A17" i="29" s="1"/>
  <c r="A18" i="29" s="1"/>
  <c r="D18" i="29" s="1"/>
  <c r="E18" i="29" s="1"/>
  <c r="E27" i="29" s="1"/>
  <c r="D2" i="28"/>
  <c r="A17" i="28" s="1"/>
  <c r="A18" i="28" s="1"/>
  <c r="D18" i="28" s="1"/>
  <c r="D27" i="28" s="1"/>
  <c r="D2" i="27"/>
  <c r="A17" i="27" s="1"/>
  <c r="A18" i="27" s="1"/>
  <c r="D18" i="27" s="1"/>
  <c r="E18" i="27" s="1"/>
  <c r="E27" i="27" s="1"/>
  <c r="A17" i="26"/>
  <c r="A18" i="26" s="1"/>
  <c r="D18" i="26" s="1"/>
  <c r="E18" i="26" s="1"/>
  <c r="D2" i="25"/>
  <c r="A17" i="25" s="1"/>
  <c r="A18" i="25" s="1"/>
  <c r="D18" i="25" s="1"/>
  <c r="D27" i="25" s="1"/>
  <c r="D2" i="24"/>
  <c r="A17" i="24" s="1"/>
  <c r="A18" i="24" s="1"/>
  <c r="D18" i="24" s="1"/>
  <c r="D27" i="24" s="1"/>
  <c r="D2" i="23"/>
  <c r="A17" i="23" s="1"/>
  <c r="A18" i="23" s="1"/>
  <c r="D18" i="23" s="1"/>
  <c r="E18" i="23" s="1"/>
  <c r="E27" i="23" s="1"/>
  <c r="D2" i="22"/>
  <c r="A17" i="22" s="1"/>
  <c r="A18" i="22" s="1"/>
  <c r="D18" i="22" s="1"/>
  <c r="D27" i="22" s="1"/>
  <c r="D2" i="1"/>
  <c r="A17" i="1" s="1"/>
  <c r="C39" i="29"/>
  <c r="C33" i="29"/>
  <c r="C27" i="29"/>
  <c r="D23" i="29"/>
  <c r="D19" i="29"/>
  <c r="D13" i="29"/>
  <c r="D7" i="29"/>
  <c r="AE5" i="29"/>
  <c r="AD5" i="29"/>
  <c r="AC5" i="29"/>
  <c r="AB5" i="29"/>
  <c r="AA5" i="29"/>
  <c r="Z5" i="29"/>
  <c r="Y5" i="29"/>
  <c r="X5" i="29"/>
  <c r="W5" i="29"/>
  <c r="V5" i="29"/>
  <c r="U5" i="29"/>
  <c r="T5" i="29"/>
  <c r="S5" i="29"/>
  <c r="R5" i="29"/>
  <c r="Q5" i="29"/>
  <c r="P5" i="29"/>
  <c r="O5" i="29"/>
  <c r="N5" i="29"/>
  <c r="M5" i="29"/>
  <c r="L5" i="29"/>
  <c r="K5" i="29"/>
  <c r="J5" i="29"/>
  <c r="I5" i="29"/>
  <c r="H5" i="29"/>
  <c r="G5" i="29"/>
  <c r="F5" i="29"/>
  <c r="D1" i="29"/>
  <c r="C39" i="28"/>
  <c r="C33" i="28"/>
  <c r="C27" i="28"/>
  <c r="D23" i="28"/>
  <c r="D19" i="28"/>
  <c r="D13" i="28"/>
  <c r="D7" i="28"/>
  <c r="AE5" i="28"/>
  <c r="AD5" i="28"/>
  <c r="AC5" i="28"/>
  <c r="AB5" i="28"/>
  <c r="AA5" i="28"/>
  <c r="Z5" i="28"/>
  <c r="Y5" i="28"/>
  <c r="X5" i="28"/>
  <c r="W5" i="28"/>
  <c r="V5" i="28"/>
  <c r="U5" i="28"/>
  <c r="T5" i="28"/>
  <c r="S5" i="28"/>
  <c r="R5" i="28"/>
  <c r="Q5" i="28"/>
  <c r="P5" i="28"/>
  <c r="O5" i="28"/>
  <c r="N5" i="28"/>
  <c r="M5" i="28"/>
  <c r="L5" i="28"/>
  <c r="K5" i="28"/>
  <c r="J5" i="28"/>
  <c r="I5" i="28"/>
  <c r="H5" i="28"/>
  <c r="G5" i="28"/>
  <c r="F5" i="28"/>
  <c r="D1" i="28"/>
  <c r="C39" i="27"/>
  <c r="C33" i="27"/>
  <c r="C27" i="27"/>
  <c r="D23" i="27"/>
  <c r="D19" i="27"/>
  <c r="D13" i="27"/>
  <c r="D7" i="27"/>
  <c r="AE5" i="27"/>
  <c r="AD5" i="27"/>
  <c r="AC5" i="27"/>
  <c r="AB5" i="27"/>
  <c r="AA5" i="27"/>
  <c r="Z5" i="27"/>
  <c r="Y5" i="27"/>
  <c r="X5" i="27"/>
  <c r="W5" i="27"/>
  <c r="V5" i="27"/>
  <c r="U5" i="27"/>
  <c r="T5" i="27"/>
  <c r="S5" i="27"/>
  <c r="R5" i="27"/>
  <c r="Q5" i="27"/>
  <c r="P5" i="27"/>
  <c r="O5" i="27"/>
  <c r="N5" i="27"/>
  <c r="M5" i="27"/>
  <c r="L5" i="27"/>
  <c r="K5" i="27"/>
  <c r="J5" i="27"/>
  <c r="I5" i="27"/>
  <c r="H5" i="27"/>
  <c r="G5" i="27"/>
  <c r="F5" i="27"/>
  <c r="D1" i="27"/>
  <c r="C39" i="26"/>
  <c r="C33" i="26"/>
  <c r="C27" i="26"/>
  <c r="D23" i="26"/>
  <c r="D19" i="26"/>
  <c r="D13" i="26"/>
  <c r="D7" i="26"/>
  <c r="AE5" i="26"/>
  <c r="AD5" i="26"/>
  <c r="AC5" i="26"/>
  <c r="AB5" i="26"/>
  <c r="AA5" i="26"/>
  <c r="Z5" i="26"/>
  <c r="Y5" i="26"/>
  <c r="X5" i="26"/>
  <c r="W5" i="26"/>
  <c r="V5" i="26"/>
  <c r="U5" i="26"/>
  <c r="T5" i="26"/>
  <c r="S5" i="26"/>
  <c r="R5" i="26"/>
  <c r="Q5" i="26"/>
  <c r="P5" i="26"/>
  <c r="O5" i="26"/>
  <c r="N5" i="26"/>
  <c r="M5" i="26"/>
  <c r="L5" i="26"/>
  <c r="K5" i="26"/>
  <c r="J5" i="26"/>
  <c r="I5" i="26"/>
  <c r="H5" i="26"/>
  <c r="G5" i="26"/>
  <c r="F5" i="26"/>
  <c r="D1" i="26"/>
  <c r="C39" i="25"/>
  <c r="C33" i="25"/>
  <c r="C27" i="25"/>
  <c r="D23" i="25"/>
  <c r="D19" i="25"/>
  <c r="D13" i="25"/>
  <c r="D7" i="25"/>
  <c r="AE5" i="25"/>
  <c r="AD5" i="25"/>
  <c r="AC5" i="25"/>
  <c r="AB5" i="25"/>
  <c r="AA5" i="25"/>
  <c r="Z5" i="25"/>
  <c r="Y5" i="25"/>
  <c r="X5" i="25"/>
  <c r="W5" i="25"/>
  <c r="V5" i="25"/>
  <c r="U5" i="25"/>
  <c r="T5" i="25"/>
  <c r="S5" i="25"/>
  <c r="R5" i="25"/>
  <c r="Q5" i="25"/>
  <c r="P5" i="25"/>
  <c r="O5" i="25"/>
  <c r="N5" i="25"/>
  <c r="M5" i="25"/>
  <c r="L5" i="25"/>
  <c r="K5" i="25"/>
  <c r="J5" i="25"/>
  <c r="I5" i="25"/>
  <c r="H5" i="25"/>
  <c r="G5" i="25"/>
  <c r="F5" i="25"/>
  <c r="D1" i="25"/>
  <c r="C39" i="24"/>
  <c r="C33" i="24"/>
  <c r="C27" i="24"/>
  <c r="D23" i="24"/>
  <c r="D19" i="24"/>
  <c r="D13" i="24"/>
  <c r="D7" i="24"/>
  <c r="AE5" i="24"/>
  <c r="AD5" i="24"/>
  <c r="AC5" i="24"/>
  <c r="AB5" i="24"/>
  <c r="AA5" i="24"/>
  <c r="Z5" i="24"/>
  <c r="Y5" i="24"/>
  <c r="X5" i="24"/>
  <c r="W5" i="24"/>
  <c r="V5" i="24"/>
  <c r="U5" i="24"/>
  <c r="T5" i="24"/>
  <c r="S5" i="24"/>
  <c r="R5" i="24"/>
  <c r="Q5" i="24"/>
  <c r="P5" i="24"/>
  <c r="O5" i="24"/>
  <c r="N5" i="24"/>
  <c r="M5" i="24"/>
  <c r="L5" i="24"/>
  <c r="K5" i="24"/>
  <c r="J5" i="24"/>
  <c r="I5" i="24"/>
  <c r="H5" i="24"/>
  <c r="G5" i="24"/>
  <c r="F5" i="24"/>
  <c r="D1" i="24"/>
  <c r="C39" i="23"/>
  <c r="C33" i="23"/>
  <c r="C27" i="23"/>
  <c r="D23" i="23"/>
  <c r="D19" i="23"/>
  <c r="D13" i="23"/>
  <c r="D7" i="23"/>
  <c r="AE5" i="23"/>
  <c r="AD5" i="23"/>
  <c r="AC5" i="23"/>
  <c r="AB5" i="23"/>
  <c r="AA5" i="23"/>
  <c r="Z5" i="23"/>
  <c r="Y5" i="23"/>
  <c r="X5" i="23"/>
  <c r="W5" i="23"/>
  <c r="V5" i="23"/>
  <c r="U5" i="23"/>
  <c r="T5" i="23"/>
  <c r="S5" i="23"/>
  <c r="R5" i="23"/>
  <c r="Q5" i="23"/>
  <c r="P5" i="23"/>
  <c r="O5" i="23"/>
  <c r="N5" i="23"/>
  <c r="M5" i="23"/>
  <c r="L5" i="23"/>
  <c r="K5" i="23"/>
  <c r="J5" i="23"/>
  <c r="I5" i="23"/>
  <c r="H5" i="23"/>
  <c r="G5" i="23"/>
  <c r="F5" i="23"/>
  <c r="D1" i="23"/>
  <c r="C33" i="22"/>
  <c r="C27" i="22"/>
  <c r="D23" i="22"/>
  <c r="D19" i="22"/>
  <c r="D13" i="22"/>
  <c r="D7" i="22"/>
  <c r="AE5" i="22"/>
  <c r="AD5" i="22"/>
  <c r="AC5" i="22"/>
  <c r="AB5" i="22"/>
  <c r="AA5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5" i="22"/>
  <c r="F5" i="22"/>
  <c r="BE19" i="38" l="1"/>
  <c r="BE20" i="38"/>
  <c r="AL20" i="38"/>
  <c r="AL19" i="38"/>
  <c r="AI20" i="38"/>
  <c r="AI19" i="38"/>
  <c r="BA20" i="38"/>
  <c r="BA19" i="38"/>
  <c r="AZ19" i="38"/>
  <c r="AZ20" i="38"/>
  <c r="BG19" i="38"/>
  <c r="BG20" i="38"/>
  <c r="AT20" i="38"/>
  <c r="AT19" i="38"/>
  <c r="AQ19" i="38"/>
  <c r="AQ20" i="38"/>
  <c r="BB20" i="38"/>
  <c r="BB19" i="38"/>
  <c r="AN20" i="38"/>
  <c r="AN19" i="38"/>
  <c r="AV20" i="38"/>
  <c r="AV19" i="38"/>
  <c r="AX19" i="38"/>
  <c r="AX20" i="38"/>
  <c r="AK20" i="38"/>
  <c r="AK19" i="38"/>
  <c r="AH21" i="38"/>
  <c r="AF21" i="38"/>
  <c r="BF19" i="38"/>
  <c r="BF20" i="38"/>
  <c r="AM20" i="38"/>
  <c r="AM19" i="38"/>
  <c r="AO19" i="38"/>
  <c r="AO20" i="38"/>
  <c r="AY19" i="38"/>
  <c r="AY20" i="38"/>
  <c r="AW19" i="38"/>
  <c r="AW20" i="38"/>
  <c r="AU20" i="38"/>
  <c r="AU19" i="38"/>
  <c r="AJ19" i="38"/>
  <c r="AJ20" i="38"/>
  <c r="AS20" i="38"/>
  <c r="AS19" i="38"/>
  <c r="AR19" i="38"/>
  <c r="AR20" i="38"/>
  <c r="AP19" i="38"/>
  <c r="AP20" i="38"/>
  <c r="BD20" i="38"/>
  <c r="BD19" i="38"/>
  <c r="BC20" i="38"/>
  <c r="BC19" i="38"/>
  <c r="AB23" i="37"/>
  <c r="AB24" i="37" s="1"/>
  <c r="BD24" i="37" s="1"/>
  <c r="T23" i="37"/>
  <c r="T24" i="37" s="1"/>
  <c r="AV24" i="37" s="1"/>
  <c r="L23" i="37"/>
  <c r="L24" i="37" s="1"/>
  <c r="AN24" i="37" s="1"/>
  <c r="AA23" i="37"/>
  <c r="AA24" i="37" s="1"/>
  <c r="BC24" i="37" s="1"/>
  <c r="S23" i="37"/>
  <c r="S24" i="37" s="1"/>
  <c r="AU24" i="37" s="1"/>
  <c r="K23" i="37"/>
  <c r="K24" i="37" s="1"/>
  <c r="AM24" i="37" s="1"/>
  <c r="Z23" i="37"/>
  <c r="Z24" i="37" s="1"/>
  <c r="BB24" i="37" s="1"/>
  <c r="R23" i="37"/>
  <c r="R24" i="37" s="1"/>
  <c r="AT24" i="37" s="1"/>
  <c r="J23" i="37"/>
  <c r="J24" i="37" s="1"/>
  <c r="AL24" i="37" s="1"/>
  <c r="Y23" i="37"/>
  <c r="Y24" i="37" s="1"/>
  <c r="BA24" i="37" s="1"/>
  <c r="Q23" i="37"/>
  <c r="Q24" i="37" s="1"/>
  <c r="AS24" i="37" s="1"/>
  <c r="I23" i="37"/>
  <c r="I24" i="37" s="1"/>
  <c r="AK24" i="37" s="1"/>
  <c r="X23" i="37"/>
  <c r="X24" i="37" s="1"/>
  <c r="AZ24" i="37" s="1"/>
  <c r="P23" i="37"/>
  <c r="P24" i="37" s="1"/>
  <c r="AR24" i="37" s="1"/>
  <c r="H23" i="37"/>
  <c r="H24" i="37" s="1"/>
  <c r="AJ24" i="37" s="1"/>
  <c r="O23" i="37"/>
  <c r="O24" i="37" s="1"/>
  <c r="AQ24" i="37" s="1"/>
  <c r="N23" i="37"/>
  <c r="N24" i="37" s="1"/>
  <c r="AP24" i="37" s="1"/>
  <c r="AE23" i="37"/>
  <c r="AE24" i="37" s="1"/>
  <c r="BG24" i="37" s="1"/>
  <c r="M23" i="37"/>
  <c r="M24" i="37" s="1"/>
  <c r="AO24" i="37" s="1"/>
  <c r="AD23" i="37"/>
  <c r="AD24" i="37" s="1"/>
  <c r="BF24" i="37" s="1"/>
  <c r="G23" i="37"/>
  <c r="G24" i="37" s="1"/>
  <c r="AI24" i="37" s="1"/>
  <c r="AC23" i="37"/>
  <c r="AC24" i="37" s="1"/>
  <c r="BE24" i="37" s="1"/>
  <c r="F23" i="37"/>
  <c r="F24" i="37" s="1"/>
  <c r="U23" i="37"/>
  <c r="U24" i="37" s="1"/>
  <c r="AW24" i="37" s="1"/>
  <c r="V23" i="37"/>
  <c r="V24" i="37" s="1"/>
  <c r="AX24" i="37" s="1"/>
  <c r="W23" i="37"/>
  <c r="W24" i="37" s="1"/>
  <c r="AY24" i="37" s="1"/>
  <c r="AH20" i="37"/>
  <c r="AH19" i="37"/>
  <c r="BG20" i="36"/>
  <c r="BG19" i="36"/>
  <c r="AP19" i="36"/>
  <c r="AP20" i="36"/>
  <c r="AN19" i="36"/>
  <c r="AN20" i="36"/>
  <c r="BD19" i="36"/>
  <c r="BD20" i="36"/>
  <c r="AX19" i="36"/>
  <c r="AX20" i="36"/>
  <c r="AT20" i="36"/>
  <c r="AT19" i="36"/>
  <c r="BA19" i="36"/>
  <c r="BA20" i="36"/>
  <c r="AS20" i="36"/>
  <c r="AS19" i="36"/>
  <c r="AK20" i="36"/>
  <c r="AK19" i="36"/>
  <c r="AV19" i="36"/>
  <c r="AV20" i="36"/>
  <c r="AO19" i="36"/>
  <c r="AO20" i="36"/>
  <c r="AF21" i="36"/>
  <c r="AH21" i="36"/>
  <c r="BE20" i="36"/>
  <c r="BE19" i="36"/>
  <c r="AZ20" i="36"/>
  <c r="AZ19" i="36"/>
  <c r="AI19" i="36"/>
  <c r="AI20" i="36"/>
  <c r="BF20" i="36"/>
  <c r="BF19" i="36"/>
  <c r="AJ20" i="36"/>
  <c r="AJ19" i="36"/>
  <c r="AR20" i="36"/>
  <c r="AR19" i="36"/>
  <c r="AQ19" i="36"/>
  <c r="AQ20" i="36"/>
  <c r="BB20" i="36"/>
  <c r="BB19" i="36"/>
  <c r="AL20" i="36"/>
  <c r="AL19" i="36"/>
  <c r="AY19" i="36"/>
  <c r="AY20" i="36"/>
  <c r="BC20" i="36"/>
  <c r="BC19" i="36"/>
  <c r="AU20" i="36"/>
  <c r="AU19" i="36"/>
  <c r="AW20" i="36"/>
  <c r="AW19" i="36"/>
  <c r="AM20" i="36"/>
  <c r="AM19" i="36"/>
  <c r="L63" i="31"/>
  <c r="AL63" i="31"/>
  <c r="AL62" i="31"/>
  <c r="AD79" i="31"/>
  <c r="BD79" i="31"/>
  <c r="BD78" i="31"/>
  <c r="M73" i="31"/>
  <c r="AM72" i="31"/>
  <c r="AM73" i="31"/>
  <c r="L59" i="31"/>
  <c r="AL58" i="31"/>
  <c r="AL59" i="31"/>
  <c r="L43" i="31"/>
  <c r="AL43" i="31"/>
  <c r="AL42" i="31"/>
  <c r="M77" i="31"/>
  <c r="AM76" i="31"/>
  <c r="AM77" i="31"/>
  <c r="AB47" i="31"/>
  <c r="BB47" i="31"/>
  <c r="BB46" i="31"/>
  <c r="L53" i="31"/>
  <c r="AL52" i="31"/>
  <c r="AL53" i="31"/>
  <c r="L51" i="31"/>
  <c r="AL51" i="31"/>
  <c r="AL50" i="31"/>
  <c r="M69" i="31"/>
  <c r="AM68" i="31"/>
  <c r="AM69" i="31"/>
  <c r="N41" i="31"/>
  <c r="AN41" i="31"/>
  <c r="AN40" i="31"/>
  <c r="L67" i="31"/>
  <c r="AL67" i="31"/>
  <c r="AL66" i="31"/>
  <c r="N45" i="31"/>
  <c r="AN44" i="31"/>
  <c r="AN45" i="31"/>
  <c r="L37" i="31"/>
  <c r="AL37" i="31"/>
  <c r="AL36" i="31"/>
  <c r="N55" i="31"/>
  <c r="AN55" i="31"/>
  <c r="AN54" i="31"/>
  <c r="L65" i="31"/>
  <c r="AL64" i="31"/>
  <c r="AL65" i="31"/>
  <c r="M39" i="31"/>
  <c r="AM39" i="31"/>
  <c r="AM38" i="31"/>
  <c r="L35" i="31"/>
  <c r="AL35" i="31"/>
  <c r="AL34" i="31"/>
  <c r="M61" i="31"/>
  <c r="AM60" i="31"/>
  <c r="AM61" i="31"/>
  <c r="M49" i="31"/>
  <c r="AM49" i="31"/>
  <c r="AM48" i="31"/>
  <c r="L57" i="31"/>
  <c r="AL57" i="31"/>
  <c r="AL56" i="31"/>
  <c r="E18" i="22"/>
  <c r="E27" i="22" s="1"/>
  <c r="D27" i="29"/>
  <c r="D27" i="27"/>
  <c r="E18" i="28"/>
  <c r="E27" i="28" s="1"/>
  <c r="E18" i="24"/>
  <c r="F18" i="24" s="1"/>
  <c r="F27" i="24" s="1"/>
  <c r="G27" i="24" s="1"/>
  <c r="H27" i="24" s="1"/>
  <c r="I27" i="24" s="1"/>
  <c r="J27" i="24" s="1"/>
  <c r="K27" i="24" s="1"/>
  <c r="L27" i="24" s="1"/>
  <c r="M27" i="24" s="1"/>
  <c r="N27" i="24" s="1"/>
  <c r="O27" i="24" s="1"/>
  <c r="P27" i="24" s="1"/>
  <c r="Q27" i="24" s="1"/>
  <c r="R27" i="24" s="1"/>
  <c r="S27" i="24" s="1"/>
  <c r="T27" i="24" s="1"/>
  <c r="U27" i="24" s="1"/>
  <c r="V27" i="24" s="1"/>
  <c r="W27" i="24" s="1"/>
  <c r="X27" i="24" s="1"/>
  <c r="Y27" i="24" s="1"/>
  <c r="Z27" i="24" s="1"/>
  <c r="AA27" i="24" s="1"/>
  <c r="AB27" i="24" s="1"/>
  <c r="AC27" i="24" s="1"/>
  <c r="AD27" i="24" s="1"/>
  <c r="AE27" i="24" s="1"/>
  <c r="E18" i="25"/>
  <c r="E27" i="25" s="1"/>
  <c r="D27" i="26"/>
  <c r="D27" i="23"/>
  <c r="A11" i="1"/>
  <c r="A12" i="1" s="1"/>
  <c r="D12" i="1" s="1"/>
  <c r="E12" i="1" s="1"/>
  <c r="D6" i="27"/>
  <c r="E6" i="27" s="1"/>
  <c r="E39" i="27" s="1"/>
  <c r="A11" i="27"/>
  <c r="A12" i="27" s="1"/>
  <c r="D12" i="27" s="1"/>
  <c r="D6" i="23"/>
  <c r="E6" i="23" s="1"/>
  <c r="E39" i="23" s="1"/>
  <c r="A11" i="23"/>
  <c r="A12" i="23" s="1"/>
  <c r="D12" i="23" s="1"/>
  <c r="D6" i="25"/>
  <c r="E6" i="25" s="1"/>
  <c r="E39" i="25" s="1"/>
  <c r="A11" i="25"/>
  <c r="A12" i="25" s="1"/>
  <c r="D12" i="25" s="1"/>
  <c r="D6" i="26"/>
  <c r="D39" i="26" s="1"/>
  <c r="A11" i="26"/>
  <c r="A12" i="26" s="1"/>
  <c r="D12" i="26" s="1"/>
  <c r="D6" i="28"/>
  <c r="E6" i="28" s="1"/>
  <c r="E39" i="28" s="1"/>
  <c r="A11" i="28"/>
  <c r="A12" i="28" s="1"/>
  <c r="D12" i="28" s="1"/>
  <c r="D6" i="29"/>
  <c r="D39" i="29" s="1"/>
  <c r="A11" i="29"/>
  <c r="A12" i="29" s="1"/>
  <c r="D12" i="29" s="1"/>
  <c r="D6" i="24"/>
  <c r="D39" i="24" s="1"/>
  <c r="A11" i="24"/>
  <c r="A12" i="24" s="1"/>
  <c r="D12" i="24" s="1"/>
  <c r="D6" i="22"/>
  <c r="E6" i="22" s="1"/>
  <c r="E39" i="22" s="1"/>
  <c r="A11" i="22"/>
  <c r="A12" i="22" s="1"/>
  <c r="D12" i="22" s="1"/>
  <c r="D6" i="1"/>
  <c r="E6" i="1" s="1"/>
  <c r="F18" i="27"/>
  <c r="F27" i="27" s="1"/>
  <c r="G27" i="27" s="1"/>
  <c r="H27" i="27" s="1"/>
  <c r="I27" i="27" s="1"/>
  <c r="J27" i="27" s="1"/>
  <c r="K27" i="27" s="1"/>
  <c r="L27" i="27" s="1"/>
  <c r="M27" i="27" s="1"/>
  <c r="N27" i="27" s="1"/>
  <c r="O27" i="27" s="1"/>
  <c r="P27" i="27" s="1"/>
  <c r="Q27" i="27" s="1"/>
  <c r="R27" i="27" s="1"/>
  <c r="S27" i="27" s="1"/>
  <c r="T27" i="27" s="1"/>
  <c r="U27" i="27" s="1"/>
  <c r="V27" i="27" s="1"/>
  <c r="W27" i="27" s="1"/>
  <c r="X27" i="27" s="1"/>
  <c r="Y27" i="27" s="1"/>
  <c r="Z27" i="27" s="1"/>
  <c r="AA27" i="27" s="1"/>
  <c r="AB27" i="27" s="1"/>
  <c r="AC27" i="27" s="1"/>
  <c r="AD27" i="27" s="1"/>
  <c r="AE27" i="27" s="1"/>
  <c r="F18" i="29"/>
  <c r="E27" i="26"/>
  <c r="F18" i="26"/>
  <c r="F18" i="23"/>
  <c r="Z23" i="38" l="1"/>
  <c r="Z24" i="38" s="1"/>
  <c r="BB24" i="38" s="1"/>
  <c r="R23" i="38"/>
  <c r="R24" i="38" s="1"/>
  <c r="AT24" i="38" s="1"/>
  <c r="J23" i="38"/>
  <c r="J24" i="38" s="1"/>
  <c r="AL24" i="38" s="1"/>
  <c r="Y23" i="38"/>
  <c r="Y24" i="38" s="1"/>
  <c r="BA24" i="38" s="1"/>
  <c r="Q23" i="38"/>
  <c r="Q24" i="38" s="1"/>
  <c r="AS24" i="38" s="1"/>
  <c r="I23" i="38"/>
  <c r="I24" i="38" s="1"/>
  <c r="AK24" i="38" s="1"/>
  <c r="X23" i="38"/>
  <c r="X24" i="38" s="1"/>
  <c r="AZ24" i="38" s="1"/>
  <c r="P23" i="38"/>
  <c r="P24" i="38" s="1"/>
  <c r="AR24" i="38" s="1"/>
  <c r="H23" i="38"/>
  <c r="H24" i="38" s="1"/>
  <c r="AJ24" i="38" s="1"/>
  <c r="AE23" i="38"/>
  <c r="AE24" i="38" s="1"/>
  <c r="BG24" i="38" s="1"/>
  <c r="W23" i="38"/>
  <c r="W24" i="38" s="1"/>
  <c r="AY24" i="38" s="1"/>
  <c r="O23" i="38"/>
  <c r="O24" i="38" s="1"/>
  <c r="AQ24" i="38" s="1"/>
  <c r="G23" i="38"/>
  <c r="G24" i="38" s="1"/>
  <c r="AI24" i="38" s="1"/>
  <c r="S23" i="38"/>
  <c r="S24" i="38" s="1"/>
  <c r="AU24" i="38" s="1"/>
  <c r="AD23" i="38"/>
  <c r="AD24" i="38" s="1"/>
  <c r="BF24" i="38" s="1"/>
  <c r="N23" i="38"/>
  <c r="N24" i="38" s="1"/>
  <c r="AP24" i="38" s="1"/>
  <c r="AC23" i="38"/>
  <c r="AC24" i="38" s="1"/>
  <c r="BE24" i="38" s="1"/>
  <c r="M23" i="38"/>
  <c r="M24" i="38" s="1"/>
  <c r="AO24" i="38" s="1"/>
  <c r="AB23" i="38"/>
  <c r="AB24" i="38" s="1"/>
  <c r="BD24" i="38" s="1"/>
  <c r="L23" i="38"/>
  <c r="L24" i="38" s="1"/>
  <c r="AN24" i="38" s="1"/>
  <c r="U23" i="38"/>
  <c r="U24" i="38" s="1"/>
  <c r="AW24" i="38" s="1"/>
  <c r="T23" i="38"/>
  <c r="T24" i="38" s="1"/>
  <c r="AV24" i="38" s="1"/>
  <c r="K23" i="38"/>
  <c r="K24" i="38" s="1"/>
  <c r="AM24" i="38" s="1"/>
  <c r="F23" i="38"/>
  <c r="F24" i="38" s="1"/>
  <c r="AA23" i="38"/>
  <c r="AA24" i="38" s="1"/>
  <c r="BC24" i="38" s="1"/>
  <c r="V23" i="38"/>
  <c r="V24" i="38" s="1"/>
  <c r="AX24" i="38" s="1"/>
  <c r="AH20" i="38"/>
  <c r="AH19" i="38"/>
  <c r="AT25" i="37"/>
  <c r="AT26" i="37"/>
  <c r="AF24" i="37"/>
  <c r="AH24" i="37"/>
  <c r="AJ25" i="37"/>
  <c r="AJ26" i="37"/>
  <c r="BB25" i="37"/>
  <c r="BB26" i="37"/>
  <c r="BE26" i="37"/>
  <c r="BE25" i="37"/>
  <c r="AR25" i="37"/>
  <c r="AR26" i="37"/>
  <c r="AM25" i="37"/>
  <c r="AM26" i="37"/>
  <c r="AK22" i="37"/>
  <c r="AU22" i="37"/>
  <c r="BA22" i="37"/>
  <c r="AP22" i="37"/>
  <c r="AL22" i="37"/>
  <c r="AO22" i="37"/>
  <c r="AX22" i="37"/>
  <c r="BB22" i="37"/>
  <c r="BD22" i="37"/>
  <c r="AY22" i="37"/>
  <c r="BG22" i="37"/>
  <c r="AH22" i="37"/>
  <c r="BE22" i="37"/>
  <c r="AN22" i="37"/>
  <c r="AW22" i="37"/>
  <c r="AI22" i="37"/>
  <c r="AJ22" i="37"/>
  <c r="AM22" i="37"/>
  <c r="BC22" i="37"/>
  <c r="AV22" i="37"/>
  <c r="AS22" i="37"/>
  <c r="AZ22" i="37"/>
  <c r="AT22" i="37"/>
  <c r="BF22" i="37"/>
  <c r="AQ22" i="37"/>
  <c r="AR22" i="37"/>
  <c r="BF26" i="37"/>
  <c r="BF25" i="37"/>
  <c r="AK25" i="37"/>
  <c r="AK26" i="37"/>
  <c r="BC25" i="37"/>
  <c r="BC26" i="37"/>
  <c r="AW26" i="37"/>
  <c r="AW25" i="37"/>
  <c r="AI26" i="37"/>
  <c r="AI25" i="37"/>
  <c r="AU25" i="37"/>
  <c r="AU26" i="37"/>
  <c r="AO26" i="37"/>
  <c r="AO25" i="37"/>
  <c r="AS25" i="37"/>
  <c r="AS26" i="37"/>
  <c r="AN26" i="37"/>
  <c r="AN25" i="37"/>
  <c r="AY26" i="37"/>
  <c r="AY25" i="37"/>
  <c r="BG26" i="37"/>
  <c r="BG25" i="37"/>
  <c r="BA25" i="37"/>
  <c r="BA26" i="37"/>
  <c r="AV26" i="37"/>
  <c r="AV25" i="37"/>
  <c r="AQ26" i="37"/>
  <c r="AQ25" i="37"/>
  <c r="AZ25" i="37"/>
  <c r="AZ26" i="37"/>
  <c r="AX26" i="37"/>
  <c r="AX25" i="37"/>
  <c r="AP26" i="37"/>
  <c r="AP25" i="37"/>
  <c r="AL25" i="37"/>
  <c r="AL26" i="37"/>
  <c r="BD26" i="37"/>
  <c r="BD25" i="37"/>
  <c r="X23" i="36"/>
  <c r="X24" i="36" s="1"/>
  <c r="AZ24" i="36" s="1"/>
  <c r="P23" i="36"/>
  <c r="P24" i="36" s="1"/>
  <c r="AR24" i="36" s="1"/>
  <c r="H23" i="36"/>
  <c r="H24" i="36" s="1"/>
  <c r="AJ24" i="36" s="1"/>
  <c r="AD23" i="36"/>
  <c r="AD24" i="36" s="1"/>
  <c r="BF24" i="36" s="1"/>
  <c r="V23" i="36"/>
  <c r="V24" i="36" s="1"/>
  <c r="AX24" i="36" s="1"/>
  <c r="N23" i="36"/>
  <c r="N24" i="36" s="1"/>
  <c r="AP24" i="36" s="1"/>
  <c r="F23" i="36"/>
  <c r="F24" i="36" s="1"/>
  <c r="U23" i="36"/>
  <c r="U24" i="36" s="1"/>
  <c r="AW24" i="36" s="1"/>
  <c r="K23" i="36"/>
  <c r="K24" i="36" s="1"/>
  <c r="AM24" i="36" s="1"/>
  <c r="AE23" i="36"/>
  <c r="AE24" i="36" s="1"/>
  <c r="BG24" i="36" s="1"/>
  <c r="T23" i="36"/>
  <c r="T24" i="36" s="1"/>
  <c r="AV24" i="36" s="1"/>
  <c r="J23" i="36"/>
  <c r="J24" i="36" s="1"/>
  <c r="AL24" i="36" s="1"/>
  <c r="AC23" i="36"/>
  <c r="AC24" i="36" s="1"/>
  <c r="BE24" i="36" s="1"/>
  <c r="S23" i="36"/>
  <c r="S24" i="36" s="1"/>
  <c r="AU24" i="36" s="1"/>
  <c r="I23" i="36"/>
  <c r="I24" i="36" s="1"/>
  <c r="AK24" i="36" s="1"/>
  <c r="AB23" i="36"/>
  <c r="AB24" i="36" s="1"/>
  <c r="BD24" i="36" s="1"/>
  <c r="R23" i="36"/>
  <c r="R24" i="36" s="1"/>
  <c r="AT24" i="36" s="1"/>
  <c r="G23" i="36"/>
  <c r="G24" i="36" s="1"/>
  <c r="AI24" i="36" s="1"/>
  <c r="M23" i="36"/>
  <c r="M24" i="36" s="1"/>
  <c r="AO24" i="36" s="1"/>
  <c r="L23" i="36"/>
  <c r="L24" i="36" s="1"/>
  <c r="AN24" i="36" s="1"/>
  <c r="AA23" i="36"/>
  <c r="AA24" i="36" s="1"/>
  <c r="BC24" i="36" s="1"/>
  <c r="Z23" i="36"/>
  <c r="Z24" i="36" s="1"/>
  <c r="BB24" i="36" s="1"/>
  <c r="Q23" i="36"/>
  <c r="Q24" i="36" s="1"/>
  <c r="AS24" i="36" s="1"/>
  <c r="Y23" i="36"/>
  <c r="Y24" i="36" s="1"/>
  <c r="BA24" i="36" s="1"/>
  <c r="O23" i="36"/>
  <c r="O24" i="36" s="1"/>
  <c r="AQ24" i="36" s="1"/>
  <c r="W23" i="36"/>
  <c r="W24" i="36" s="1"/>
  <c r="AY24" i="36" s="1"/>
  <c r="AH19" i="36"/>
  <c r="AH20" i="36"/>
  <c r="O55" i="31"/>
  <c r="AO55" i="31"/>
  <c r="AO54" i="31"/>
  <c r="N69" i="31"/>
  <c r="AN68" i="31"/>
  <c r="AN69" i="31"/>
  <c r="M43" i="31"/>
  <c r="AM43" i="31"/>
  <c r="AM42" i="31"/>
  <c r="N39" i="31"/>
  <c r="AN38" i="31"/>
  <c r="AN39" i="31"/>
  <c r="M67" i="31"/>
  <c r="AM67" i="31"/>
  <c r="AM66" i="31"/>
  <c r="AC47" i="31"/>
  <c r="BC47" i="31"/>
  <c r="BC46" i="31"/>
  <c r="BE79" i="31"/>
  <c r="BE78" i="31"/>
  <c r="M57" i="31"/>
  <c r="AM56" i="31"/>
  <c r="AM57" i="31"/>
  <c r="M53" i="31"/>
  <c r="AM53" i="31"/>
  <c r="AM52" i="31"/>
  <c r="N73" i="31"/>
  <c r="AN73" i="31"/>
  <c r="AN72" i="31"/>
  <c r="N49" i="31"/>
  <c r="AN48" i="31"/>
  <c r="AN49" i="31"/>
  <c r="M37" i="31"/>
  <c r="AM37" i="31"/>
  <c r="AM36" i="31"/>
  <c r="M51" i="31"/>
  <c r="AM51" i="31"/>
  <c r="AM50" i="31"/>
  <c r="O45" i="31"/>
  <c r="AO45" i="31"/>
  <c r="AO44" i="31"/>
  <c r="N61" i="31"/>
  <c r="AN60" i="31"/>
  <c r="AN61" i="31"/>
  <c r="M59" i="31"/>
  <c r="AM58" i="31"/>
  <c r="AM59" i="31"/>
  <c r="M35" i="31"/>
  <c r="AM35" i="31"/>
  <c r="AM34" i="31"/>
  <c r="M65" i="31"/>
  <c r="AM64" i="31"/>
  <c r="AM65" i="31"/>
  <c r="O41" i="31"/>
  <c r="AO41" i="31"/>
  <c r="AO40" i="31"/>
  <c r="N77" i="31"/>
  <c r="AN76" i="31"/>
  <c r="AN77" i="31"/>
  <c r="M63" i="31"/>
  <c r="AM63" i="31"/>
  <c r="AM62" i="31"/>
  <c r="F12" i="1"/>
  <c r="X7" i="25"/>
  <c r="X8" i="25" s="1"/>
  <c r="X9" i="25" s="1"/>
  <c r="AZ9" i="25" s="1"/>
  <c r="AZ8" i="25" s="1"/>
  <c r="R7" i="25"/>
  <c r="R8" i="25" s="1"/>
  <c r="R9" i="25" s="1"/>
  <c r="AT9" i="25" s="1"/>
  <c r="AT8" i="25" s="1"/>
  <c r="O7" i="27"/>
  <c r="O8" i="27" s="1"/>
  <c r="O9" i="27" s="1"/>
  <c r="AQ9" i="27" s="1"/>
  <c r="AQ7" i="27" s="1"/>
  <c r="M7" i="27"/>
  <c r="M8" i="27" s="1"/>
  <c r="M9" i="27" s="1"/>
  <c r="AO9" i="27" s="1"/>
  <c r="AO7" i="27" s="1"/>
  <c r="O7" i="23"/>
  <c r="O8" i="23" s="1"/>
  <c r="O9" i="23" s="1"/>
  <c r="AQ9" i="23" s="1"/>
  <c r="AQ7" i="23" s="1"/>
  <c r="M7" i="28"/>
  <c r="M8" i="28" s="1"/>
  <c r="M9" i="28" s="1"/>
  <c r="AO9" i="28" s="1"/>
  <c r="AO7" i="28" s="1"/>
  <c r="M7" i="22"/>
  <c r="K7" i="22"/>
  <c r="T7" i="28"/>
  <c r="T8" i="28" s="1"/>
  <c r="T9" i="28" s="1"/>
  <c r="AV9" i="28" s="1"/>
  <c r="AV7" i="28" s="1"/>
  <c r="V7" i="22"/>
  <c r="X7" i="28"/>
  <c r="X8" i="28" s="1"/>
  <c r="X9" i="28" s="1"/>
  <c r="AZ9" i="28" s="1"/>
  <c r="AZ8" i="28" s="1"/>
  <c r="L7" i="28"/>
  <c r="L8" i="28" s="1"/>
  <c r="L9" i="28" s="1"/>
  <c r="AN9" i="28" s="1"/>
  <c r="AN7" i="28" s="1"/>
  <c r="V7" i="28"/>
  <c r="V8" i="28" s="1"/>
  <c r="V9" i="28" s="1"/>
  <c r="AX9" i="28" s="1"/>
  <c r="AX8" i="28" s="1"/>
  <c r="AD7" i="22"/>
  <c r="AE7" i="22"/>
  <c r="N7" i="23"/>
  <c r="N8" i="23" s="1"/>
  <c r="N9" i="23" s="1"/>
  <c r="AP9" i="23" s="1"/>
  <c r="AP7" i="23" s="1"/>
  <c r="Y7" i="23"/>
  <c r="Y8" i="23" s="1"/>
  <c r="Y9" i="23" s="1"/>
  <c r="BA9" i="23" s="1"/>
  <c r="BA8" i="23" s="1"/>
  <c r="P7" i="22"/>
  <c r="R7" i="23"/>
  <c r="R8" i="23" s="1"/>
  <c r="R9" i="23" s="1"/>
  <c r="AT9" i="23" s="1"/>
  <c r="AT8" i="23" s="1"/>
  <c r="AD7" i="23"/>
  <c r="AD8" i="23" s="1"/>
  <c r="AD9" i="23" s="1"/>
  <c r="BF9" i="23" s="1"/>
  <c r="BF8" i="23" s="1"/>
  <c r="W7" i="28"/>
  <c r="W8" i="28" s="1"/>
  <c r="W9" i="28" s="1"/>
  <c r="AY9" i="28" s="1"/>
  <c r="AY8" i="28" s="1"/>
  <c r="I7" i="22"/>
  <c r="AA7" i="23"/>
  <c r="AA8" i="23" s="1"/>
  <c r="AA9" i="23" s="1"/>
  <c r="BC9" i="23" s="1"/>
  <c r="BC7" i="23" s="1"/>
  <c r="X7" i="23"/>
  <c r="X8" i="23" s="1"/>
  <c r="X9" i="23" s="1"/>
  <c r="AZ9" i="23" s="1"/>
  <c r="AZ8" i="23" s="1"/>
  <c r="Q7" i="22"/>
  <c r="G7" i="22"/>
  <c r="H7" i="23"/>
  <c r="H8" i="23" s="1"/>
  <c r="H9" i="23" s="1"/>
  <c r="AJ9" i="23" s="1"/>
  <c r="AJ7" i="23" s="1"/>
  <c r="AC7" i="23"/>
  <c r="AC8" i="23" s="1"/>
  <c r="AC9" i="23" s="1"/>
  <c r="BE9" i="23" s="1"/>
  <c r="BE8" i="23" s="1"/>
  <c r="R7" i="27"/>
  <c r="R8" i="27" s="1"/>
  <c r="R9" i="27" s="1"/>
  <c r="AT9" i="27" s="1"/>
  <c r="AT8" i="27" s="1"/>
  <c r="U7" i="28"/>
  <c r="U8" i="28" s="1"/>
  <c r="U9" i="28" s="1"/>
  <c r="AW9" i="28" s="1"/>
  <c r="AW7" i="28" s="1"/>
  <c r="N7" i="28"/>
  <c r="N8" i="28" s="1"/>
  <c r="N9" i="28" s="1"/>
  <c r="AP9" i="28" s="1"/>
  <c r="AP8" i="28" s="1"/>
  <c r="AE7" i="28"/>
  <c r="AE8" i="28" s="1"/>
  <c r="AE9" i="28" s="1"/>
  <c r="BG9" i="28" s="1"/>
  <c r="BG7" i="28" s="1"/>
  <c r="G7" i="28"/>
  <c r="G8" i="28" s="1"/>
  <c r="G9" i="28" s="1"/>
  <c r="AI9" i="28" s="1"/>
  <c r="AI8" i="28" s="1"/>
  <c r="S7" i="27"/>
  <c r="S8" i="27" s="1"/>
  <c r="S9" i="27" s="1"/>
  <c r="AU9" i="27" s="1"/>
  <c r="AU8" i="27" s="1"/>
  <c r="AD7" i="27"/>
  <c r="AD8" i="27" s="1"/>
  <c r="AD9" i="27" s="1"/>
  <c r="BF9" i="27" s="1"/>
  <c r="BF8" i="27" s="1"/>
  <c r="AA7" i="27"/>
  <c r="AA8" i="27" s="1"/>
  <c r="AA9" i="27" s="1"/>
  <c r="BC9" i="27" s="1"/>
  <c r="BC7" i="27" s="1"/>
  <c r="AC7" i="27"/>
  <c r="AC8" i="27" s="1"/>
  <c r="AC9" i="27" s="1"/>
  <c r="BE9" i="27" s="1"/>
  <c r="BE7" i="27" s="1"/>
  <c r="G7" i="27"/>
  <c r="G8" i="27" s="1"/>
  <c r="G9" i="27" s="1"/>
  <c r="AI9" i="27" s="1"/>
  <c r="AI7" i="27" s="1"/>
  <c r="F7" i="27"/>
  <c r="F8" i="27" s="1"/>
  <c r="F9" i="27" s="1"/>
  <c r="AH9" i="27" s="1"/>
  <c r="AB7" i="27"/>
  <c r="AB8" i="27" s="1"/>
  <c r="AB9" i="27" s="1"/>
  <c r="BD9" i="27" s="1"/>
  <c r="BD8" i="27" s="1"/>
  <c r="X7" i="27"/>
  <c r="X8" i="27" s="1"/>
  <c r="X9" i="27" s="1"/>
  <c r="AZ9" i="27" s="1"/>
  <c r="AZ7" i="27" s="1"/>
  <c r="N7" i="27"/>
  <c r="N8" i="27" s="1"/>
  <c r="N9" i="27" s="1"/>
  <c r="AP9" i="27" s="1"/>
  <c r="AP8" i="27" s="1"/>
  <c r="AE7" i="25"/>
  <c r="AE8" i="25" s="1"/>
  <c r="AE9" i="25" s="1"/>
  <c r="BG9" i="25" s="1"/>
  <c r="BG8" i="25" s="1"/>
  <c r="V7" i="27"/>
  <c r="V8" i="27" s="1"/>
  <c r="V9" i="27" s="1"/>
  <c r="AX9" i="27" s="1"/>
  <c r="AX8" i="27" s="1"/>
  <c r="T7" i="27"/>
  <c r="T8" i="27" s="1"/>
  <c r="T9" i="27" s="1"/>
  <c r="AV9" i="27" s="1"/>
  <c r="AV7" i="27" s="1"/>
  <c r="U7" i="27"/>
  <c r="U8" i="27" s="1"/>
  <c r="U9" i="27" s="1"/>
  <c r="AW9" i="27" s="1"/>
  <c r="AW8" i="27" s="1"/>
  <c r="S7" i="25"/>
  <c r="S8" i="25" s="1"/>
  <c r="S9" i="25" s="1"/>
  <c r="AU9" i="25" s="1"/>
  <c r="AU8" i="25" s="1"/>
  <c r="Y7" i="27"/>
  <c r="Y8" i="27" s="1"/>
  <c r="Y9" i="27" s="1"/>
  <c r="BA9" i="27" s="1"/>
  <c r="BA8" i="27" s="1"/>
  <c r="H7" i="27"/>
  <c r="H8" i="27" s="1"/>
  <c r="H9" i="27" s="1"/>
  <c r="AJ9" i="27" s="1"/>
  <c r="AJ8" i="27" s="1"/>
  <c r="I7" i="27"/>
  <c r="I8" i="27" s="1"/>
  <c r="I9" i="27" s="1"/>
  <c r="AK9" i="27" s="1"/>
  <c r="AK8" i="27" s="1"/>
  <c r="L7" i="25"/>
  <c r="L8" i="25" s="1"/>
  <c r="L9" i="25" s="1"/>
  <c r="AN9" i="25" s="1"/>
  <c r="AN8" i="25" s="1"/>
  <c r="G7" i="25"/>
  <c r="G8" i="25" s="1"/>
  <c r="G9" i="25" s="1"/>
  <c r="AI9" i="25" s="1"/>
  <c r="AI8" i="25" s="1"/>
  <c r="H7" i="25"/>
  <c r="H8" i="25" s="1"/>
  <c r="H9" i="25" s="1"/>
  <c r="AJ9" i="25" s="1"/>
  <c r="AJ7" i="25" s="1"/>
  <c r="T7" i="22"/>
  <c r="AA7" i="22"/>
  <c r="Y7" i="22"/>
  <c r="Z7" i="23"/>
  <c r="Z8" i="23" s="1"/>
  <c r="Z9" i="23" s="1"/>
  <c r="BB9" i="23" s="1"/>
  <c r="BB8" i="23" s="1"/>
  <c r="G7" i="23"/>
  <c r="G8" i="23" s="1"/>
  <c r="G9" i="23" s="1"/>
  <c r="AI9" i="23" s="1"/>
  <c r="AI8" i="23" s="1"/>
  <c r="F7" i="25"/>
  <c r="F8" i="25" s="1"/>
  <c r="F9" i="25" s="1"/>
  <c r="AH9" i="25" s="1"/>
  <c r="T7" i="25"/>
  <c r="T8" i="25" s="1"/>
  <c r="T9" i="25" s="1"/>
  <c r="AV9" i="25" s="1"/>
  <c r="AV8" i="25" s="1"/>
  <c r="Y7" i="25"/>
  <c r="Y8" i="25" s="1"/>
  <c r="Y9" i="25" s="1"/>
  <c r="BA9" i="25" s="1"/>
  <c r="BA7" i="25" s="1"/>
  <c r="P7" i="28"/>
  <c r="P8" i="28" s="1"/>
  <c r="P9" i="28" s="1"/>
  <c r="AR9" i="28" s="1"/>
  <c r="AR8" i="28" s="1"/>
  <c r="O7" i="28"/>
  <c r="O8" i="28" s="1"/>
  <c r="O9" i="28" s="1"/>
  <c r="AQ9" i="28" s="1"/>
  <c r="AQ7" i="28" s="1"/>
  <c r="Z7" i="28"/>
  <c r="Z8" i="28" s="1"/>
  <c r="Z9" i="28" s="1"/>
  <c r="BB9" i="28" s="1"/>
  <c r="BB7" i="28" s="1"/>
  <c r="AB7" i="25"/>
  <c r="AB8" i="25" s="1"/>
  <c r="AB9" i="25" s="1"/>
  <c r="BD9" i="25" s="1"/>
  <c r="BD7" i="25" s="1"/>
  <c r="U7" i="22"/>
  <c r="L7" i="22"/>
  <c r="Z7" i="22"/>
  <c r="S7" i="22"/>
  <c r="L7" i="23"/>
  <c r="L8" i="23" s="1"/>
  <c r="L9" i="23" s="1"/>
  <c r="AN9" i="23" s="1"/>
  <c r="AN8" i="23" s="1"/>
  <c r="AE7" i="23"/>
  <c r="AE8" i="23" s="1"/>
  <c r="AE9" i="23" s="1"/>
  <c r="BG9" i="23" s="1"/>
  <c r="BG8" i="23" s="1"/>
  <c r="U7" i="25"/>
  <c r="U8" i="25" s="1"/>
  <c r="U9" i="25" s="1"/>
  <c r="AW9" i="25" s="1"/>
  <c r="AW8" i="25" s="1"/>
  <c r="AA7" i="25"/>
  <c r="AA8" i="25" s="1"/>
  <c r="AA9" i="25" s="1"/>
  <c r="BC9" i="25" s="1"/>
  <c r="BC7" i="25" s="1"/>
  <c r="J7" i="25"/>
  <c r="J8" i="25" s="1"/>
  <c r="J9" i="25" s="1"/>
  <c r="AL9" i="25" s="1"/>
  <c r="AL8" i="25" s="1"/>
  <c r="N7" i="25"/>
  <c r="N8" i="25" s="1"/>
  <c r="N9" i="25" s="1"/>
  <c r="AP9" i="25" s="1"/>
  <c r="AP8" i="25" s="1"/>
  <c r="I7" i="28"/>
  <c r="I8" i="28" s="1"/>
  <c r="I9" i="28" s="1"/>
  <c r="AK9" i="28" s="1"/>
  <c r="AK7" i="28" s="1"/>
  <c r="H7" i="28"/>
  <c r="H8" i="28" s="1"/>
  <c r="H9" i="28" s="1"/>
  <c r="AJ9" i="28" s="1"/>
  <c r="AJ7" i="28" s="1"/>
  <c r="S7" i="28"/>
  <c r="S8" i="28" s="1"/>
  <c r="S9" i="28" s="1"/>
  <c r="AU9" i="28" s="1"/>
  <c r="AU8" i="28" s="1"/>
  <c r="K7" i="25"/>
  <c r="K8" i="25" s="1"/>
  <c r="K9" i="25" s="1"/>
  <c r="AM9" i="25" s="1"/>
  <c r="AM7" i="25" s="1"/>
  <c r="AC7" i="22"/>
  <c r="AB7" i="22"/>
  <c r="H7" i="22"/>
  <c r="U7" i="23"/>
  <c r="U8" i="23" s="1"/>
  <c r="U9" i="23" s="1"/>
  <c r="AW9" i="23" s="1"/>
  <c r="AW8" i="23" s="1"/>
  <c r="S7" i="23"/>
  <c r="S8" i="23" s="1"/>
  <c r="S9" i="23" s="1"/>
  <c r="AU9" i="23" s="1"/>
  <c r="AU7" i="23" s="1"/>
  <c r="AD7" i="25"/>
  <c r="AD8" i="25" s="1"/>
  <c r="AD9" i="25" s="1"/>
  <c r="BF9" i="25" s="1"/>
  <c r="BF7" i="25" s="1"/>
  <c r="I7" i="25"/>
  <c r="I8" i="25" s="1"/>
  <c r="I9" i="25" s="1"/>
  <c r="AK9" i="25" s="1"/>
  <c r="AK7" i="25" s="1"/>
  <c r="Z7" i="25"/>
  <c r="Z8" i="25" s="1"/>
  <c r="Z9" i="25" s="1"/>
  <c r="BB9" i="25" s="1"/>
  <c r="BB8" i="25" s="1"/>
  <c r="AE7" i="27"/>
  <c r="AE8" i="27" s="1"/>
  <c r="AE9" i="27" s="1"/>
  <c r="BG9" i="27" s="1"/>
  <c r="BG8" i="27" s="1"/>
  <c r="L7" i="27"/>
  <c r="L8" i="27" s="1"/>
  <c r="L9" i="27" s="1"/>
  <c r="AN9" i="27" s="1"/>
  <c r="AN8" i="27" s="1"/>
  <c r="Z7" i="27"/>
  <c r="Z8" i="27" s="1"/>
  <c r="Z9" i="27" s="1"/>
  <c r="BB9" i="27" s="1"/>
  <c r="BB7" i="27" s="1"/>
  <c r="Y7" i="28"/>
  <c r="Y8" i="28" s="1"/>
  <c r="Y9" i="28" s="1"/>
  <c r="BA9" i="28" s="1"/>
  <c r="BA8" i="28" s="1"/>
  <c r="AC7" i="28"/>
  <c r="AC8" i="28" s="1"/>
  <c r="AC9" i="28" s="1"/>
  <c r="BE9" i="28" s="1"/>
  <c r="BE8" i="28" s="1"/>
  <c r="AB7" i="28"/>
  <c r="AB8" i="28" s="1"/>
  <c r="AB9" i="28" s="1"/>
  <c r="BD9" i="28" s="1"/>
  <c r="BD8" i="28" s="1"/>
  <c r="AD7" i="28"/>
  <c r="AD8" i="28" s="1"/>
  <c r="AD9" i="28" s="1"/>
  <c r="BF9" i="28" s="1"/>
  <c r="BF8" i="28" s="1"/>
  <c r="P7" i="25"/>
  <c r="P8" i="25" s="1"/>
  <c r="P9" i="25" s="1"/>
  <c r="AR9" i="25" s="1"/>
  <c r="AR8" i="25" s="1"/>
  <c r="W7" i="27"/>
  <c r="W8" i="27" s="1"/>
  <c r="W9" i="27" s="1"/>
  <c r="AY9" i="27" s="1"/>
  <c r="AY8" i="27" s="1"/>
  <c r="AA7" i="28"/>
  <c r="AA8" i="28" s="1"/>
  <c r="AA9" i="28" s="1"/>
  <c r="BC9" i="28" s="1"/>
  <c r="BC7" i="28" s="1"/>
  <c r="J7" i="28"/>
  <c r="J8" i="28" s="1"/>
  <c r="J9" i="28" s="1"/>
  <c r="AL9" i="28" s="1"/>
  <c r="AL8" i="28" s="1"/>
  <c r="F7" i="22"/>
  <c r="V7" i="25"/>
  <c r="V8" i="25" s="1"/>
  <c r="V9" i="25" s="1"/>
  <c r="AX9" i="25" s="1"/>
  <c r="AX8" i="25" s="1"/>
  <c r="Q7" i="28"/>
  <c r="Q8" i="28" s="1"/>
  <c r="Q9" i="28" s="1"/>
  <c r="AS9" i="28" s="1"/>
  <c r="AS8" i="28" s="1"/>
  <c r="AC7" i="25"/>
  <c r="AC8" i="25" s="1"/>
  <c r="AC9" i="25" s="1"/>
  <c r="BE9" i="25" s="1"/>
  <c r="BE8" i="25" s="1"/>
  <c r="K7" i="27"/>
  <c r="K8" i="27" s="1"/>
  <c r="K9" i="27" s="1"/>
  <c r="AM9" i="27" s="1"/>
  <c r="AM8" i="27" s="1"/>
  <c r="W7" i="22"/>
  <c r="O7" i="25"/>
  <c r="O8" i="25" s="1"/>
  <c r="O9" i="25" s="1"/>
  <c r="AQ9" i="25" s="1"/>
  <c r="AQ7" i="25" s="1"/>
  <c r="R7" i="28"/>
  <c r="R8" i="28" s="1"/>
  <c r="R9" i="28" s="1"/>
  <c r="AT9" i="28" s="1"/>
  <c r="AT7" i="28" s="1"/>
  <c r="K7" i="28"/>
  <c r="K8" i="28" s="1"/>
  <c r="K9" i="28" s="1"/>
  <c r="AM9" i="28" s="1"/>
  <c r="AM8" i="28" s="1"/>
  <c r="W7" i="25"/>
  <c r="W8" i="25" s="1"/>
  <c r="W9" i="25" s="1"/>
  <c r="AY9" i="25" s="1"/>
  <c r="AY8" i="25" s="1"/>
  <c r="K7" i="23"/>
  <c r="K8" i="23" s="1"/>
  <c r="K9" i="23" s="1"/>
  <c r="AM9" i="23" s="1"/>
  <c r="AM8" i="23" s="1"/>
  <c r="P7" i="27"/>
  <c r="P8" i="27" s="1"/>
  <c r="P9" i="27" s="1"/>
  <c r="AR9" i="27" s="1"/>
  <c r="AR8" i="27" s="1"/>
  <c r="Q7" i="25"/>
  <c r="Q8" i="25" s="1"/>
  <c r="Q9" i="25" s="1"/>
  <c r="AS9" i="25" s="1"/>
  <c r="AS8" i="25" s="1"/>
  <c r="Q7" i="27"/>
  <c r="Q8" i="27" s="1"/>
  <c r="Q9" i="27" s="1"/>
  <c r="AS9" i="27" s="1"/>
  <c r="AS8" i="27" s="1"/>
  <c r="R7" i="22"/>
  <c r="AB7" i="23"/>
  <c r="AB8" i="23" s="1"/>
  <c r="AB9" i="23" s="1"/>
  <c r="BD9" i="23" s="1"/>
  <c r="BD7" i="23" s="1"/>
  <c r="I7" i="23"/>
  <c r="I8" i="23" s="1"/>
  <c r="I9" i="23" s="1"/>
  <c r="AK9" i="23" s="1"/>
  <c r="AK7" i="23" s="1"/>
  <c r="V7" i="23"/>
  <c r="V8" i="23" s="1"/>
  <c r="V9" i="23" s="1"/>
  <c r="AX9" i="23" s="1"/>
  <c r="AX8" i="23" s="1"/>
  <c r="M7" i="23"/>
  <c r="M8" i="23" s="1"/>
  <c r="M9" i="23" s="1"/>
  <c r="AO9" i="23" s="1"/>
  <c r="AO8" i="23" s="1"/>
  <c r="O7" i="22"/>
  <c r="N7" i="22"/>
  <c r="T7" i="23"/>
  <c r="T8" i="23" s="1"/>
  <c r="T9" i="23" s="1"/>
  <c r="AV9" i="23" s="1"/>
  <c r="AV8" i="23" s="1"/>
  <c r="W7" i="23"/>
  <c r="W8" i="23" s="1"/>
  <c r="W9" i="23" s="1"/>
  <c r="AY9" i="23" s="1"/>
  <c r="AY7" i="23" s="1"/>
  <c r="P7" i="23"/>
  <c r="P8" i="23" s="1"/>
  <c r="P9" i="23" s="1"/>
  <c r="AR9" i="23" s="1"/>
  <c r="AR8" i="23" s="1"/>
  <c r="X7" i="22"/>
  <c r="Q7" i="23"/>
  <c r="Q8" i="23" s="1"/>
  <c r="Q9" i="23" s="1"/>
  <c r="AS9" i="23" s="1"/>
  <c r="AS8" i="23" s="1"/>
  <c r="J7" i="23"/>
  <c r="J8" i="23" s="1"/>
  <c r="J9" i="23" s="1"/>
  <c r="AL9" i="23" s="1"/>
  <c r="AL8" i="23" s="1"/>
  <c r="F18" i="22"/>
  <c r="F27" i="22" s="1"/>
  <c r="G27" i="22" s="1"/>
  <c r="H27" i="22" s="1"/>
  <c r="I27" i="22" s="1"/>
  <c r="J27" i="22" s="1"/>
  <c r="K27" i="22" s="1"/>
  <c r="L27" i="22" s="1"/>
  <c r="M27" i="22" s="1"/>
  <c r="N27" i="22" s="1"/>
  <c r="O27" i="22" s="1"/>
  <c r="P27" i="22" s="1"/>
  <c r="Q27" i="22" s="1"/>
  <c r="R27" i="22" s="1"/>
  <c r="S27" i="22" s="1"/>
  <c r="T27" i="22" s="1"/>
  <c r="U27" i="22" s="1"/>
  <c r="V27" i="22" s="1"/>
  <c r="W27" i="22" s="1"/>
  <c r="X27" i="22" s="1"/>
  <c r="Y27" i="22" s="1"/>
  <c r="Z27" i="22" s="1"/>
  <c r="AA27" i="22" s="1"/>
  <c r="AB27" i="22" s="1"/>
  <c r="AC27" i="22" s="1"/>
  <c r="AD27" i="22" s="1"/>
  <c r="AE27" i="22" s="1"/>
  <c r="F18" i="25"/>
  <c r="F27" i="25" s="1"/>
  <c r="G27" i="25" s="1"/>
  <c r="H27" i="25" s="1"/>
  <c r="I27" i="25" s="1"/>
  <c r="J27" i="25" s="1"/>
  <c r="K27" i="25" s="1"/>
  <c r="L27" i="25" s="1"/>
  <c r="M27" i="25" s="1"/>
  <c r="N27" i="25" s="1"/>
  <c r="O27" i="25" s="1"/>
  <c r="P27" i="25" s="1"/>
  <c r="Q27" i="25" s="1"/>
  <c r="R27" i="25" s="1"/>
  <c r="S27" i="25" s="1"/>
  <c r="T27" i="25" s="1"/>
  <c r="U27" i="25" s="1"/>
  <c r="V27" i="25" s="1"/>
  <c r="W27" i="25" s="1"/>
  <c r="X27" i="25" s="1"/>
  <c r="Y27" i="25" s="1"/>
  <c r="Z27" i="25" s="1"/>
  <c r="AA27" i="25" s="1"/>
  <c r="AB27" i="25" s="1"/>
  <c r="AC27" i="25" s="1"/>
  <c r="AD27" i="25" s="1"/>
  <c r="AE27" i="25" s="1"/>
  <c r="F18" i="28"/>
  <c r="F27" i="28" s="1"/>
  <c r="G27" i="28" s="1"/>
  <c r="H27" i="28" s="1"/>
  <c r="I27" i="28" s="1"/>
  <c r="J27" i="28" s="1"/>
  <c r="K27" i="28" s="1"/>
  <c r="L27" i="28" s="1"/>
  <c r="M27" i="28" s="1"/>
  <c r="N27" i="28" s="1"/>
  <c r="O27" i="28" s="1"/>
  <c r="P27" i="28" s="1"/>
  <c r="Q27" i="28" s="1"/>
  <c r="R27" i="28" s="1"/>
  <c r="S27" i="28" s="1"/>
  <c r="T27" i="28" s="1"/>
  <c r="U27" i="28" s="1"/>
  <c r="V27" i="28" s="1"/>
  <c r="W27" i="28" s="1"/>
  <c r="X27" i="28" s="1"/>
  <c r="Y27" i="28" s="1"/>
  <c r="Z27" i="28" s="1"/>
  <c r="AA27" i="28" s="1"/>
  <c r="AB27" i="28" s="1"/>
  <c r="AC27" i="28" s="1"/>
  <c r="AD27" i="28" s="1"/>
  <c r="AE27" i="28" s="1"/>
  <c r="G18" i="24"/>
  <c r="H18" i="24" s="1"/>
  <c r="I18" i="24" s="1"/>
  <c r="J18" i="24" s="1"/>
  <c r="K18" i="24" s="1"/>
  <c r="L18" i="24" s="1"/>
  <c r="M18" i="24" s="1"/>
  <c r="N18" i="24" s="1"/>
  <c r="O18" i="24" s="1"/>
  <c r="P18" i="24" s="1"/>
  <c r="Q18" i="24" s="1"/>
  <c r="R18" i="24" s="1"/>
  <c r="S18" i="24" s="1"/>
  <c r="T18" i="24" s="1"/>
  <c r="U18" i="24" s="1"/>
  <c r="V18" i="24" s="1"/>
  <c r="W18" i="24" s="1"/>
  <c r="X18" i="24" s="1"/>
  <c r="Y18" i="24" s="1"/>
  <c r="Z18" i="24" s="1"/>
  <c r="AA18" i="24" s="1"/>
  <c r="AB18" i="24" s="1"/>
  <c r="AC18" i="24" s="1"/>
  <c r="AD18" i="24" s="1"/>
  <c r="AE18" i="24" s="1"/>
  <c r="E27" i="24"/>
  <c r="F6" i="27"/>
  <c r="F39" i="27" s="1"/>
  <c r="G39" i="27" s="1"/>
  <c r="H39" i="27" s="1"/>
  <c r="I39" i="27" s="1"/>
  <c r="J39" i="27" s="1"/>
  <c r="K39" i="27" s="1"/>
  <c r="L39" i="27" s="1"/>
  <c r="M39" i="27" s="1"/>
  <c r="N39" i="27" s="1"/>
  <c r="O39" i="27" s="1"/>
  <c r="P39" i="27" s="1"/>
  <c r="Q39" i="27" s="1"/>
  <c r="R39" i="27" s="1"/>
  <c r="S39" i="27" s="1"/>
  <c r="T39" i="27" s="1"/>
  <c r="U39" i="27" s="1"/>
  <c r="V39" i="27" s="1"/>
  <c r="W39" i="27" s="1"/>
  <c r="X39" i="27" s="1"/>
  <c r="Y39" i="27" s="1"/>
  <c r="Z39" i="27" s="1"/>
  <c r="AA39" i="27" s="1"/>
  <c r="AB39" i="27" s="1"/>
  <c r="AC39" i="27" s="1"/>
  <c r="AD39" i="27" s="1"/>
  <c r="AE39" i="27" s="1"/>
  <c r="G18" i="27"/>
  <c r="H18" i="27" s="1"/>
  <c r="I18" i="27" s="1"/>
  <c r="J18" i="27" s="1"/>
  <c r="K18" i="27" s="1"/>
  <c r="L18" i="27" s="1"/>
  <c r="M18" i="27" s="1"/>
  <c r="N18" i="27" s="1"/>
  <c r="O18" i="27" s="1"/>
  <c r="P18" i="27" s="1"/>
  <c r="Q18" i="27" s="1"/>
  <c r="R18" i="27" s="1"/>
  <c r="S18" i="27" s="1"/>
  <c r="T18" i="27" s="1"/>
  <c r="U18" i="27" s="1"/>
  <c r="V18" i="27" s="1"/>
  <c r="W18" i="27" s="1"/>
  <c r="X18" i="27" s="1"/>
  <c r="Y18" i="27" s="1"/>
  <c r="Z18" i="27" s="1"/>
  <c r="AA18" i="27" s="1"/>
  <c r="AB18" i="27" s="1"/>
  <c r="AC18" i="27" s="1"/>
  <c r="AD18" i="27" s="1"/>
  <c r="AE18" i="27" s="1"/>
  <c r="A18" i="1"/>
  <c r="D18" i="1" s="1"/>
  <c r="E18" i="1" s="1"/>
  <c r="F6" i="1"/>
  <c r="D39" i="23"/>
  <c r="D39" i="27"/>
  <c r="J7" i="27"/>
  <c r="J8" i="27" s="1"/>
  <c r="J9" i="27" s="1"/>
  <c r="AL9" i="27" s="1"/>
  <c r="AL8" i="27" s="1"/>
  <c r="D39" i="25"/>
  <c r="D33" i="24"/>
  <c r="E12" i="24"/>
  <c r="D33" i="29"/>
  <c r="E12" i="29"/>
  <c r="D33" i="23"/>
  <c r="E12" i="23"/>
  <c r="D33" i="26"/>
  <c r="E12" i="26"/>
  <c r="D33" i="25"/>
  <c r="E12" i="25"/>
  <c r="D33" i="28"/>
  <c r="E12" i="28"/>
  <c r="D33" i="27"/>
  <c r="E12" i="27"/>
  <c r="D39" i="28"/>
  <c r="E6" i="29"/>
  <c r="E6" i="24"/>
  <c r="D39" i="22"/>
  <c r="E6" i="26"/>
  <c r="E12" i="22"/>
  <c r="D33" i="22"/>
  <c r="F6" i="23"/>
  <c r="F39" i="23" s="1"/>
  <c r="G39" i="23" s="1"/>
  <c r="H39" i="23" s="1"/>
  <c r="I39" i="23" s="1"/>
  <c r="J39" i="23" s="1"/>
  <c r="K39" i="23" s="1"/>
  <c r="L39" i="23" s="1"/>
  <c r="M39" i="23" s="1"/>
  <c r="N39" i="23" s="1"/>
  <c r="O39" i="23" s="1"/>
  <c r="P39" i="23" s="1"/>
  <c r="Q39" i="23" s="1"/>
  <c r="R39" i="23" s="1"/>
  <c r="S39" i="23" s="1"/>
  <c r="T39" i="23" s="1"/>
  <c r="U39" i="23" s="1"/>
  <c r="V39" i="23" s="1"/>
  <c r="W39" i="23" s="1"/>
  <c r="X39" i="23" s="1"/>
  <c r="Y39" i="23" s="1"/>
  <c r="Z39" i="23" s="1"/>
  <c r="AA39" i="23" s="1"/>
  <c r="AB39" i="23" s="1"/>
  <c r="AC39" i="23" s="1"/>
  <c r="AD39" i="23" s="1"/>
  <c r="AE39" i="23" s="1"/>
  <c r="J7" i="22"/>
  <c r="F6" i="22"/>
  <c r="G6" i="22" s="1"/>
  <c r="H6" i="22" s="1"/>
  <c r="I6" i="22" s="1"/>
  <c r="J6" i="22" s="1"/>
  <c r="K6" i="22" s="1"/>
  <c r="L6" i="22" s="1"/>
  <c r="M6" i="22" s="1"/>
  <c r="N6" i="22" s="1"/>
  <c r="O6" i="22" s="1"/>
  <c r="P6" i="22" s="1"/>
  <c r="Q6" i="22" s="1"/>
  <c r="R6" i="22" s="1"/>
  <c r="S6" i="22" s="1"/>
  <c r="T6" i="22" s="1"/>
  <c r="U6" i="22" s="1"/>
  <c r="V6" i="22" s="1"/>
  <c r="W6" i="22" s="1"/>
  <c r="X6" i="22" s="1"/>
  <c r="Y6" i="22" s="1"/>
  <c r="Z6" i="22" s="1"/>
  <c r="AA6" i="22" s="1"/>
  <c r="AB6" i="22" s="1"/>
  <c r="AC6" i="22" s="1"/>
  <c r="AD6" i="22" s="1"/>
  <c r="AE6" i="22" s="1"/>
  <c r="F7" i="23"/>
  <c r="F8" i="23" s="1"/>
  <c r="F9" i="23" s="1"/>
  <c r="F6" i="28"/>
  <c r="F39" i="28" s="1"/>
  <c r="G39" i="28" s="1"/>
  <c r="H39" i="28" s="1"/>
  <c r="I39" i="28" s="1"/>
  <c r="J39" i="28" s="1"/>
  <c r="K39" i="28" s="1"/>
  <c r="L39" i="28" s="1"/>
  <c r="M39" i="28" s="1"/>
  <c r="N39" i="28" s="1"/>
  <c r="O39" i="28" s="1"/>
  <c r="P39" i="28" s="1"/>
  <c r="Q39" i="28" s="1"/>
  <c r="R39" i="28" s="1"/>
  <c r="S39" i="28" s="1"/>
  <c r="T39" i="28" s="1"/>
  <c r="U39" i="28" s="1"/>
  <c r="V39" i="28" s="1"/>
  <c r="W39" i="28" s="1"/>
  <c r="X39" i="28" s="1"/>
  <c r="Y39" i="28" s="1"/>
  <c r="Z39" i="28" s="1"/>
  <c r="AA39" i="28" s="1"/>
  <c r="AB39" i="28" s="1"/>
  <c r="AC39" i="28" s="1"/>
  <c r="AD39" i="28" s="1"/>
  <c r="AE39" i="28" s="1"/>
  <c r="M7" i="25"/>
  <c r="M8" i="25" s="1"/>
  <c r="M9" i="25" s="1"/>
  <c r="AO9" i="25" s="1"/>
  <c r="AO7" i="25" s="1"/>
  <c r="F7" i="28"/>
  <c r="F8" i="28" s="1"/>
  <c r="F9" i="28" s="1"/>
  <c r="AH9" i="28" s="1"/>
  <c r="AH7" i="28" s="1"/>
  <c r="F6" i="25"/>
  <c r="F27" i="29"/>
  <c r="G27" i="29" s="1"/>
  <c r="H27" i="29" s="1"/>
  <c r="I27" i="29" s="1"/>
  <c r="J27" i="29" s="1"/>
  <c r="K27" i="29" s="1"/>
  <c r="L27" i="29" s="1"/>
  <c r="M27" i="29" s="1"/>
  <c r="N27" i="29" s="1"/>
  <c r="O27" i="29" s="1"/>
  <c r="P27" i="29" s="1"/>
  <c r="Q27" i="29" s="1"/>
  <c r="R27" i="29" s="1"/>
  <c r="S27" i="29" s="1"/>
  <c r="T27" i="29" s="1"/>
  <c r="U27" i="29" s="1"/>
  <c r="V27" i="29" s="1"/>
  <c r="W27" i="29" s="1"/>
  <c r="X27" i="29" s="1"/>
  <c r="Y27" i="29" s="1"/>
  <c r="Z27" i="29" s="1"/>
  <c r="AA27" i="29" s="1"/>
  <c r="AB27" i="29" s="1"/>
  <c r="AC27" i="29" s="1"/>
  <c r="AD27" i="29" s="1"/>
  <c r="AE27" i="29" s="1"/>
  <c r="G18" i="29"/>
  <c r="H18" i="29" s="1"/>
  <c r="I18" i="29" s="1"/>
  <c r="J18" i="29" s="1"/>
  <c r="K18" i="29" s="1"/>
  <c r="L18" i="29" s="1"/>
  <c r="M18" i="29" s="1"/>
  <c r="N18" i="29" s="1"/>
  <c r="O18" i="29" s="1"/>
  <c r="P18" i="29" s="1"/>
  <c r="Q18" i="29" s="1"/>
  <c r="R18" i="29" s="1"/>
  <c r="S18" i="29" s="1"/>
  <c r="T18" i="29" s="1"/>
  <c r="U18" i="29" s="1"/>
  <c r="V18" i="29" s="1"/>
  <c r="W18" i="29" s="1"/>
  <c r="X18" i="29" s="1"/>
  <c r="Y18" i="29" s="1"/>
  <c r="Z18" i="29" s="1"/>
  <c r="AA18" i="29" s="1"/>
  <c r="AB18" i="29" s="1"/>
  <c r="AC18" i="29" s="1"/>
  <c r="AD18" i="29" s="1"/>
  <c r="AE18" i="29" s="1"/>
  <c r="F27" i="26"/>
  <c r="G27" i="26" s="1"/>
  <c r="H27" i="26" s="1"/>
  <c r="I27" i="26" s="1"/>
  <c r="J27" i="26" s="1"/>
  <c r="K27" i="26" s="1"/>
  <c r="L27" i="26" s="1"/>
  <c r="M27" i="26" s="1"/>
  <c r="N27" i="26" s="1"/>
  <c r="O27" i="26" s="1"/>
  <c r="P27" i="26" s="1"/>
  <c r="Q27" i="26" s="1"/>
  <c r="R27" i="26" s="1"/>
  <c r="S27" i="26" s="1"/>
  <c r="T27" i="26" s="1"/>
  <c r="U27" i="26" s="1"/>
  <c r="V27" i="26" s="1"/>
  <c r="W27" i="26" s="1"/>
  <c r="X27" i="26" s="1"/>
  <c r="Y27" i="26" s="1"/>
  <c r="Z27" i="26" s="1"/>
  <c r="AA27" i="26" s="1"/>
  <c r="AB27" i="26" s="1"/>
  <c r="AC27" i="26" s="1"/>
  <c r="AD27" i="26" s="1"/>
  <c r="AE27" i="26" s="1"/>
  <c r="G18" i="26"/>
  <c r="H18" i="26" s="1"/>
  <c r="I18" i="26" s="1"/>
  <c r="J18" i="26" s="1"/>
  <c r="K18" i="26" s="1"/>
  <c r="L18" i="26" s="1"/>
  <c r="M18" i="26" s="1"/>
  <c r="N18" i="26" s="1"/>
  <c r="O18" i="26" s="1"/>
  <c r="P18" i="26" s="1"/>
  <c r="Q18" i="26" s="1"/>
  <c r="R18" i="26" s="1"/>
  <c r="S18" i="26" s="1"/>
  <c r="T18" i="26" s="1"/>
  <c r="U18" i="26" s="1"/>
  <c r="V18" i="26" s="1"/>
  <c r="W18" i="26" s="1"/>
  <c r="X18" i="26" s="1"/>
  <c r="Y18" i="26" s="1"/>
  <c r="Z18" i="26" s="1"/>
  <c r="AA18" i="26" s="1"/>
  <c r="AB18" i="26" s="1"/>
  <c r="AC18" i="26" s="1"/>
  <c r="AD18" i="26" s="1"/>
  <c r="AE18" i="26" s="1"/>
  <c r="F27" i="23"/>
  <c r="G27" i="23" s="1"/>
  <c r="H27" i="23" s="1"/>
  <c r="I27" i="23" s="1"/>
  <c r="J27" i="23" s="1"/>
  <c r="K27" i="23" s="1"/>
  <c r="L27" i="23" s="1"/>
  <c r="M27" i="23" s="1"/>
  <c r="N27" i="23" s="1"/>
  <c r="O27" i="23" s="1"/>
  <c r="P27" i="23" s="1"/>
  <c r="Q27" i="23" s="1"/>
  <c r="R27" i="23" s="1"/>
  <c r="S27" i="23" s="1"/>
  <c r="T27" i="23" s="1"/>
  <c r="U27" i="23" s="1"/>
  <c r="V27" i="23" s="1"/>
  <c r="W27" i="23" s="1"/>
  <c r="X27" i="23" s="1"/>
  <c r="Y27" i="23" s="1"/>
  <c r="Z27" i="23" s="1"/>
  <c r="AA27" i="23" s="1"/>
  <c r="AB27" i="23" s="1"/>
  <c r="AC27" i="23" s="1"/>
  <c r="AD27" i="23" s="1"/>
  <c r="AE27" i="23" s="1"/>
  <c r="G18" i="23"/>
  <c r="H18" i="23" s="1"/>
  <c r="I18" i="23" s="1"/>
  <c r="J18" i="23" s="1"/>
  <c r="K18" i="23" s="1"/>
  <c r="L18" i="23" s="1"/>
  <c r="M18" i="23" s="1"/>
  <c r="N18" i="23" s="1"/>
  <c r="O18" i="23" s="1"/>
  <c r="P18" i="23" s="1"/>
  <c r="Q18" i="23" s="1"/>
  <c r="R18" i="23" s="1"/>
  <c r="S18" i="23" s="1"/>
  <c r="T18" i="23" s="1"/>
  <c r="U18" i="23" s="1"/>
  <c r="V18" i="23" s="1"/>
  <c r="W18" i="23" s="1"/>
  <c r="X18" i="23" s="1"/>
  <c r="Y18" i="23" s="1"/>
  <c r="Z18" i="23" s="1"/>
  <c r="AA18" i="23" s="1"/>
  <c r="AB18" i="23" s="1"/>
  <c r="AC18" i="23" s="1"/>
  <c r="AD18" i="23" s="1"/>
  <c r="AE18" i="23" s="1"/>
  <c r="D1" i="1"/>
  <c r="AM26" i="38" l="1"/>
  <c r="AM25" i="38"/>
  <c r="BF25" i="38"/>
  <c r="BF26" i="38"/>
  <c r="AZ25" i="38"/>
  <c r="AZ26" i="38"/>
  <c r="AV26" i="38"/>
  <c r="AV25" i="38"/>
  <c r="AU26" i="38"/>
  <c r="AU25" i="38"/>
  <c r="AK25" i="38"/>
  <c r="AK26" i="38"/>
  <c r="AH24" i="38"/>
  <c r="AF24" i="38"/>
  <c r="AR25" i="38"/>
  <c r="AR26" i="38"/>
  <c r="AW26" i="38"/>
  <c r="AW25" i="38"/>
  <c r="AI25" i="38"/>
  <c r="AI26" i="38"/>
  <c r="AS25" i="38"/>
  <c r="AS26" i="38"/>
  <c r="BG22" i="38"/>
  <c r="AL22" i="38"/>
  <c r="AW22" i="38"/>
  <c r="AZ22" i="38"/>
  <c r="BD22" i="38"/>
  <c r="AQ22" i="38"/>
  <c r="AX22" i="38"/>
  <c r="BE22" i="38"/>
  <c r="AM22" i="38"/>
  <c r="AT22" i="38"/>
  <c r="BF22" i="38"/>
  <c r="AS22" i="38"/>
  <c r="AI22" i="38"/>
  <c r="AR22" i="38"/>
  <c r="BA22" i="38"/>
  <c r="AN22" i="38"/>
  <c r="AO22" i="38"/>
  <c r="AU22" i="38"/>
  <c r="AJ22" i="38"/>
  <c r="AV22" i="38"/>
  <c r="AH22" i="38"/>
  <c r="AY22" i="38"/>
  <c r="AP22" i="38"/>
  <c r="AK22" i="38"/>
  <c r="BB22" i="38"/>
  <c r="BC22" i="38"/>
  <c r="AN26" i="38"/>
  <c r="AN25" i="38"/>
  <c r="AQ25" i="38"/>
  <c r="AQ26" i="38"/>
  <c r="BA25" i="38"/>
  <c r="BA26" i="38"/>
  <c r="AP25" i="38"/>
  <c r="AP26" i="38"/>
  <c r="BD26" i="38"/>
  <c r="BD25" i="38"/>
  <c r="AY25" i="38"/>
  <c r="AY26" i="38"/>
  <c r="AL26" i="38"/>
  <c r="AL25" i="38"/>
  <c r="AX25" i="38"/>
  <c r="AX26" i="38"/>
  <c r="AO26" i="38"/>
  <c r="AO25" i="38"/>
  <c r="BG25" i="38"/>
  <c r="BG26" i="38"/>
  <c r="AT26" i="38"/>
  <c r="AT25" i="38"/>
  <c r="BC26" i="38"/>
  <c r="BC25" i="38"/>
  <c r="BE26" i="38"/>
  <c r="BE25" i="38"/>
  <c r="AJ25" i="38"/>
  <c r="AJ26" i="38"/>
  <c r="BB26" i="38"/>
  <c r="BB25" i="38"/>
  <c r="AH26" i="37"/>
  <c r="AH25" i="37"/>
  <c r="Y26" i="37"/>
  <c r="Q26" i="37"/>
  <c r="I26" i="37"/>
  <c r="X26" i="37"/>
  <c r="P26" i="37"/>
  <c r="H26" i="37"/>
  <c r="AE26" i="37"/>
  <c r="W26" i="37"/>
  <c r="O26" i="37"/>
  <c r="G26" i="37"/>
  <c r="AD26" i="37"/>
  <c r="V26" i="37"/>
  <c r="N26" i="37"/>
  <c r="F26" i="37"/>
  <c r="AC26" i="37"/>
  <c r="U26" i="37"/>
  <c r="M26" i="37"/>
  <c r="L26" i="37"/>
  <c r="K26" i="37"/>
  <c r="AB26" i="37"/>
  <c r="J26" i="37"/>
  <c r="AA26" i="37"/>
  <c r="Z26" i="37"/>
  <c r="T26" i="37"/>
  <c r="S26" i="37"/>
  <c r="R26" i="37"/>
  <c r="AU26" i="36"/>
  <c r="AU25" i="36"/>
  <c r="BC26" i="36"/>
  <c r="BC25" i="36"/>
  <c r="BE25" i="36"/>
  <c r="BE26" i="36"/>
  <c r="AX25" i="36"/>
  <c r="AX26" i="36"/>
  <c r="BA26" i="36"/>
  <c r="BA25" i="36"/>
  <c r="AW25" i="36"/>
  <c r="AW26" i="36"/>
  <c r="AS26" i="36"/>
  <c r="AS25" i="36"/>
  <c r="AP26" i="36"/>
  <c r="AP25" i="36"/>
  <c r="AN25" i="36"/>
  <c r="AN26" i="36"/>
  <c r="AL25" i="36"/>
  <c r="AL26" i="36"/>
  <c r="BF25" i="36"/>
  <c r="BF26" i="36"/>
  <c r="BD26" i="36"/>
  <c r="BD25" i="36"/>
  <c r="BB26" i="36"/>
  <c r="BB25" i="36"/>
  <c r="BG22" i="36"/>
  <c r="AI22" i="36"/>
  <c r="AL22" i="36"/>
  <c r="AR22" i="36"/>
  <c r="BF22" i="36"/>
  <c r="AO22" i="36"/>
  <c r="AN22" i="36"/>
  <c r="AU22" i="36"/>
  <c r="AT22" i="36"/>
  <c r="AX22" i="36"/>
  <c r="AS22" i="36"/>
  <c r="AJ22" i="36"/>
  <c r="AP22" i="36"/>
  <c r="AV22" i="36"/>
  <c r="BE22" i="36"/>
  <c r="AH22" i="36"/>
  <c r="BA22" i="36"/>
  <c r="AZ22" i="36"/>
  <c r="BD22" i="36"/>
  <c r="BB22" i="36"/>
  <c r="AQ22" i="36"/>
  <c r="AK22" i="36"/>
  <c r="AY22" i="36"/>
  <c r="AM22" i="36"/>
  <c r="AW22" i="36"/>
  <c r="BC22" i="36"/>
  <c r="AO25" i="36"/>
  <c r="AO26" i="36"/>
  <c r="AV25" i="36"/>
  <c r="AV26" i="36"/>
  <c r="AJ25" i="36"/>
  <c r="AJ26" i="36"/>
  <c r="AK26" i="36"/>
  <c r="AK25" i="36"/>
  <c r="AY25" i="36"/>
  <c r="AY26" i="36"/>
  <c r="AI25" i="36"/>
  <c r="AI26" i="36"/>
  <c r="BG25" i="36"/>
  <c r="BG26" i="36"/>
  <c r="AR25" i="36"/>
  <c r="AR26" i="36"/>
  <c r="AH24" i="36"/>
  <c r="AF24" i="36"/>
  <c r="AQ25" i="36"/>
  <c r="AQ26" i="36"/>
  <c r="AT26" i="36"/>
  <c r="AT25" i="36"/>
  <c r="AM26" i="36"/>
  <c r="AM25" i="36"/>
  <c r="AZ26" i="36"/>
  <c r="AZ25" i="36"/>
  <c r="AD47" i="31"/>
  <c r="BD46" i="31"/>
  <c r="BD47" i="31"/>
  <c r="P45" i="31"/>
  <c r="AP45" i="31"/>
  <c r="AP44" i="31"/>
  <c r="N53" i="31"/>
  <c r="AN53" i="31"/>
  <c r="AN52" i="31"/>
  <c r="N63" i="31"/>
  <c r="AN63" i="31"/>
  <c r="AN62" i="31"/>
  <c r="O49" i="31"/>
  <c r="AO49" i="31"/>
  <c r="AO48" i="31"/>
  <c r="N65" i="31"/>
  <c r="AN64" i="31"/>
  <c r="AN65" i="31"/>
  <c r="N51" i="31"/>
  <c r="AN51" i="31"/>
  <c r="AN50" i="31"/>
  <c r="N57" i="31"/>
  <c r="AN56" i="31"/>
  <c r="AN57" i="31"/>
  <c r="N67" i="31"/>
  <c r="AN67" i="31"/>
  <c r="AN66" i="31"/>
  <c r="N59" i="31"/>
  <c r="AN59" i="31"/>
  <c r="AN58" i="31"/>
  <c r="O61" i="31"/>
  <c r="AO61" i="31"/>
  <c r="AO60" i="31"/>
  <c r="O69" i="31"/>
  <c r="AO69" i="31"/>
  <c r="AO68" i="31"/>
  <c r="P41" i="31"/>
  <c r="AP41" i="31"/>
  <c r="AP40" i="31"/>
  <c r="O77" i="31"/>
  <c r="AO77" i="31"/>
  <c r="AO76" i="31"/>
  <c r="O73" i="31"/>
  <c r="AO73" i="31"/>
  <c r="AO72" i="31"/>
  <c r="N43" i="31"/>
  <c r="AN42" i="31"/>
  <c r="AN43" i="31"/>
  <c r="N35" i="31"/>
  <c r="AN35" i="31"/>
  <c r="AN34" i="31"/>
  <c r="N37" i="31"/>
  <c r="AN37" i="31"/>
  <c r="AN36" i="31"/>
  <c r="O39" i="31"/>
  <c r="AO39" i="31"/>
  <c r="AO38" i="31"/>
  <c r="P55" i="31"/>
  <c r="AP55" i="31"/>
  <c r="AP54" i="31"/>
  <c r="AT7" i="25"/>
  <c r="AZ7" i="25"/>
  <c r="AQ8" i="27"/>
  <c r="AW8" i="28"/>
  <c r="BE8" i="27"/>
  <c r="AO8" i="27"/>
  <c r="AJ8" i="25"/>
  <c r="AW7" i="23"/>
  <c r="AP7" i="27"/>
  <c r="AW7" i="25"/>
  <c r="AZ7" i="23"/>
  <c r="AO8" i="28"/>
  <c r="AN8" i="28"/>
  <c r="AU8" i="23"/>
  <c r="BC8" i="27"/>
  <c r="AJ7" i="27"/>
  <c r="BA7" i="28"/>
  <c r="AK7" i="27"/>
  <c r="AU7" i="28"/>
  <c r="BA7" i="27"/>
  <c r="AV7" i="23"/>
  <c r="AT7" i="23"/>
  <c r="BG7" i="25"/>
  <c r="AM8" i="25"/>
  <c r="AX7" i="28"/>
  <c r="AU7" i="27"/>
  <c r="AY8" i="23"/>
  <c r="BD8" i="23"/>
  <c r="AI7" i="23"/>
  <c r="AI7" i="25"/>
  <c r="BB8" i="28"/>
  <c r="AS7" i="27"/>
  <c r="AK8" i="25"/>
  <c r="AK8" i="28"/>
  <c r="AY7" i="28"/>
  <c r="BB7" i="23"/>
  <c r="AI7" i="28"/>
  <c r="AV8" i="28"/>
  <c r="AJ8" i="23"/>
  <c r="AN7" i="27"/>
  <c r="BE7" i="23"/>
  <c r="BD7" i="27"/>
  <c r="AK8" i="23"/>
  <c r="AQ8" i="23"/>
  <c r="AN7" i="23"/>
  <c r="AY7" i="25"/>
  <c r="BF7" i="27"/>
  <c r="AW7" i="27"/>
  <c r="BF7" i="28"/>
  <c r="BC8" i="23"/>
  <c r="BG7" i="23"/>
  <c r="AP8" i="23"/>
  <c r="AZ8" i="27"/>
  <c r="BG7" i="27"/>
  <c r="BE7" i="25"/>
  <c r="BC8" i="25"/>
  <c r="AP7" i="28"/>
  <c r="BD7" i="28"/>
  <c r="AM7" i="27"/>
  <c r="AR7" i="28"/>
  <c r="AT7" i="27"/>
  <c r="BG8" i="28"/>
  <c r="AR7" i="25"/>
  <c r="BD8" i="25"/>
  <c r="AZ7" i="28"/>
  <c r="BA7" i="23"/>
  <c r="AJ8" i="28"/>
  <c r="AU7" i="25"/>
  <c r="AX7" i="27"/>
  <c r="AT8" i="28"/>
  <c r="BE7" i="28"/>
  <c r="AX7" i="25"/>
  <c r="AI8" i="27"/>
  <c r="AL7" i="23"/>
  <c r="BF7" i="23"/>
  <c r="AN7" i="25"/>
  <c r="AP7" i="25"/>
  <c r="AS7" i="28"/>
  <c r="BB7" i="25"/>
  <c r="AV8" i="27"/>
  <c r="AQ8" i="28"/>
  <c r="AM7" i="28"/>
  <c r="BF8" i="25"/>
  <c r="BA8" i="25"/>
  <c r="AS7" i="25"/>
  <c r="AX7" i="23"/>
  <c r="AY7" i="27"/>
  <c r="AV7" i="25"/>
  <c r="AQ8" i="25"/>
  <c r="AL7" i="25"/>
  <c r="BB8" i="27"/>
  <c r="AO7" i="23"/>
  <c r="AL7" i="28"/>
  <c r="BC8" i="28"/>
  <c r="I7" i="29"/>
  <c r="I8" i="29" s="1"/>
  <c r="I9" i="29" s="1"/>
  <c r="AK9" i="29" s="1"/>
  <c r="AK8" i="29" s="1"/>
  <c r="O7" i="29"/>
  <c r="O8" i="29" s="1"/>
  <c r="O9" i="29" s="1"/>
  <c r="AQ9" i="29" s="1"/>
  <c r="G7" i="29"/>
  <c r="G8" i="29" s="1"/>
  <c r="G9" i="29" s="1"/>
  <c r="AI9" i="29" s="1"/>
  <c r="AI8" i="29" s="1"/>
  <c r="J7" i="29"/>
  <c r="J8" i="29" s="1"/>
  <c r="J9" i="29" s="1"/>
  <c r="AL9" i="29" s="1"/>
  <c r="AD7" i="29"/>
  <c r="AD8" i="29" s="1"/>
  <c r="AD9" i="29" s="1"/>
  <c r="BF9" i="29" s="1"/>
  <c r="U7" i="29"/>
  <c r="U8" i="29" s="1"/>
  <c r="U9" i="29" s="1"/>
  <c r="AW9" i="29" s="1"/>
  <c r="M7" i="29"/>
  <c r="M8" i="29" s="1"/>
  <c r="M9" i="29" s="1"/>
  <c r="AO9" i="29" s="1"/>
  <c r="P7" i="29"/>
  <c r="P8" i="29" s="1"/>
  <c r="P9" i="29" s="1"/>
  <c r="AR9" i="29" s="1"/>
  <c r="K7" i="29"/>
  <c r="K8" i="29" s="1"/>
  <c r="K9" i="29" s="1"/>
  <c r="AM9" i="29" s="1"/>
  <c r="H7" i="29"/>
  <c r="H8" i="29" s="1"/>
  <c r="H9" i="29" s="1"/>
  <c r="AJ9" i="29" s="1"/>
  <c r="S7" i="29"/>
  <c r="S8" i="29" s="1"/>
  <c r="S9" i="29" s="1"/>
  <c r="AU9" i="29" s="1"/>
  <c r="V7" i="29"/>
  <c r="V8" i="29" s="1"/>
  <c r="V9" i="29" s="1"/>
  <c r="AX9" i="29" s="1"/>
  <c r="F7" i="29"/>
  <c r="F8" i="29" s="1"/>
  <c r="F9" i="29" s="1"/>
  <c r="AH9" i="29" s="1"/>
  <c r="Q7" i="29"/>
  <c r="Q8" i="29" s="1"/>
  <c r="Q9" i="29" s="1"/>
  <c r="AS9" i="29" s="1"/>
  <c r="X7" i="29"/>
  <c r="X8" i="29" s="1"/>
  <c r="X9" i="29" s="1"/>
  <c r="AZ9" i="29" s="1"/>
  <c r="N7" i="29"/>
  <c r="N8" i="29" s="1"/>
  <c r="N9" i="29" s="1"/>
  <c r="AP9" i="29" s="1"/>
  <c r="Y7" i="29"/>
  <c r="Y8" i="29" s="1"/>
  <c r="Y9" i="29" s="1"/>
  <c r="BA9" i="29" s="1"/>
  <c r="AB7" i="29"/>
  <c r="AB8" i="29" s="1"/>
  <c r="AB9" i="29" s="1"/>
  <c r="BD9" i="29" s="1"/>
  <c r="L7" i="29"/>
  <c r="L8" i="29" s="1"/>
  <c r="L9" i="29" s="1"/>
  <c r="AN9" i="29" s="1"/>
  <c r="T7" i="29"/>
  <c r="T8" i="29" s="1"/>
  <c r="T9" i="29" s="1"/>
  <c r="AV9" i="29" s="1"/>
  <c r="AA7" i="29"/>
  <c r="AA8" i="29" s="1"/>
  <c r="AA9" i="29" s="1"/>
  <c r="BC9" i="29" s="1"/>
  <c r="AE7" i="29"/>
  <c r="AE8" i="29" s="1"/>
  <c r="AE9" i="29" s="1"/>
  <c r="BG9" i="29" s="1"/>
  <c r="R7" i="29"/>
  <c r="R8" i="29" s="1"/>
  <c r="R9" i="29" s="1"/>
  <c r="AT9" i="29" s="1"/>
  <c r="AC7" i="29"/>
  <c r="AC8" i="29" s="1"/>
  <c r="AC9" i="29" s="1"/>
  <c r="BE9" i="29" s="1"/>
  <c r="Z7" i="29"/>
  <c r="Z8" i="29" s="1"/>
  <c r="Z9" i="29" s="1"/>
  <c r="BB9" i="29" s="1"/>
  <c r="W7" i="29"/>
  <c r="W8" i="29" s="1"/>
  <c r="W9" i="29" s="1"/>
  <c r="AY9" i="29" s="1"/>
  <c r="E39" i="24"/>
  <c r="AD7" i="24"/>
  <c r="AD8" i="24" s="1"/>
  <c r="AD9" i="24" s="1"/>
  <c r="BF9" i="24" s="1"/>
  <c r="V7" i="24"/>
  <c r="V8" i="24" s="1"/>
  <c r="V9" i="24" s="1"/>
  <c r="AX9" i="24" s="1"/>
  <c r="I7" i="24"/>
  <c r="I8" i="24" s="1"/>
  <c r="I9" i="24" s="1"/>
  <c r="AK9" i="24" s="1"/>
  <c r="O7" i="24"/>
  <c r="O8" i="24" s="1"/>
  <c r="O9" i="24" s="1"/>
  <c r="AQ9" i="24" s="1"/>
  <c r="J7" i="24"/>
  <c r="J8" i="24" s="1"/>
  <c r="J9" i="24" s="1"/>
  <c r="AL9" i="24" s="1"/>
  <c r="G7" i="24"/>
  <c r="G8" i="24" s="1"/>
  <c r="G9" i="24" s="1"/>
  <c r="AI9" i="24" s="1"/>
  <c r="F7" i="24"/>
  <c r="F8" i="24" s="1"/>
  <c r="F9" i="24" s="1"/>
  <c r="AH9" i="24" s="1"/>
  <c r="AH7" i="24" s="1"/>
  <c r="L7" i="24"/>
  <c r="L8" i="24" s="1"/>
  <c r="L9" i="24" s="1"/>
  <c r="AN9" i="24" s="1"/>
  <c r="R7" i="24"/>
  <c r="R8" i="24" s="1"/>
  <c r="R9" i="24" s="1"/>
  <c r="AT9" i="24" s="1"/>
  <c r="Y7" i="24"/>
  <c r="Y8" i="24" s="1"/>
  <c r="Y9" i="24" s="1"/>
  <c r="BA9" i="24" s="1"/>
  <c r="Q7" i="24"/>
  <c r="Q8" i="24" s="1"/>
  <c r="Q9" i="24" s="1"/>
  <c r="AS9" i="24" s="1"/>
  <c r="N7" i="24"/>
  <c r="N8" i="24" s="1"/>
  <c r="N9" i="24" s="1"/>
  <c r="AP9" i="24" s="1"/>
  <c r="AB7" i="24"/>
  <c r="AB8" i="24" s="1"/>
  <c r="AB9" i="24" s="1"/>
  <c r="BD9" i="24" s="1"/>
  <c r="X7" i="24"/>
  <c r="X8" i="24" s="1"/>
  <c r="X9" i="24" s="1"/>
  <c r="AZ9" i="24" s="1"/>
  <c r="Z7" i="24"/>
  <c r="Z8" i="24" s="1"/>
  <c r="Z9" i="24" s="1"/>
  <c r="BB9" i="24" s="1"/>
  <c r="U7" i="24"/>
  <c r="U8" i="24" s="1"/>
  <c r="U9" i="24" s="1"/>
  <c r="AW9" i="24" s="1"/>
  <c r="P7" i="24"/>
  <c r="P8" i="24" s="1"/>
  <c r="P9" i="24" s="1"/>
  <c r="AR9" i="24" s="1"/>
  <c r="S7" i="24"/>
  <c r="S8" i="24" s="1"/>
  <c r="S9" i="24" s="1"/>
  <c r="AU9" i="24" s="1"/>
  <c r="M7" i="24"/>
  <c r="M8" i="24" s="1"/>
  <c r="M9" i="24" s="1"/>
  <c r="AO9" i="24" s="1"/>
  <c r="T7" i="24"/>
  <c r="T8" i="24" s="1"/>
  <c r="T9" i="24" s="1"/>
  <c r="AV9" i="24" s="1"/>
  <c r="K7" i="24"/>
  <c r="K8" i="24" s="1"/>
  <c r="K9" i="24" s="1"/>
  <c r="AM9" i="24" s="1"/>
  <c r="AE7" i="24"/>
  <c r="AE8" i="24" s="1"/>
  <c r="AE9" i="24" s="1"/>
  <c r="BG9" i="24" s="1"/>
  <c r="AA7" i="24"/>
  <c r="AA8" i="24" s="1"/>
  <c r="AA9" i="24" s="1"/>
  <c r="BC9" i="24" s="1"/>
  <c r="W7" i="24"/>
  <c r="W8" i="24" s="1"/>
  <c r="W9" i="24" s="1"/>
  <c r="AY9" i="24" s="1"/>
  <c r="AC7" i="24"/>
  <c r="AC8" i="24" s="1"/>
  <c r="AC9" i="24" s="1"/>
  <c r="BE9" i="24" s="1"/>
  <c r="E39" i="26"/>
  <c r="L7" i="26"/>
  <c r="L8" i="26" s="1"/>
  <c r="L9" i="26" s="1"/>
  <c r="AN9" i="26" s="1"/>
  <c r="AE7" i="26"/>
  <c r="AE8" i="26" s="1"/>
  <c r="AE9" i="26" s="1"/>
  <c r="BG9" i="26" s="1"/>
  <c r="U7" i="26"/>
  <c r="U8" i="26" s="1"/>
  <c r="U9" i="26" s="1"/>
  <c r="AW9" i="26" s="1"/>
  <c r="H7" i="26"/>
  <c r="H8" i="26" s="1"/>
  <c r="H9" i="26" s="1"/>
  <c r="AJ9" i="26" s="1"/>
  <c r="R7" i="26"/>
  <c r="R8" i="26" s="1"/>
  <c r="R9" i="26" s="1"/>
  <c r="AT9" i="26" s="1"/>
  <c r="J7" i="26"/>
  <c r="J8" i="26" s="1"/>
  <c r="J9" i="26" s="1"/>
  <c r="AL9" i="26" s="1"/>
  <c r="V7" i="26"/>
  <c r="V8" i="26" s="1"/>
  <c r="V9" i="26" s="1"/>
  <c r="AX9" i="26" s="1"/>
  <c r="N7" i="26"/>
  <c r="N8" i="26" s="1"/>
  <c r="N9" i="26" s="1"/>
  <c r="AP9" i="26" s="1"/>
  <c r="X7" i="26"/>
  <c r="X8" i="26" s="1"/>
  <c r="X9" i="26" s="1"/>
  <c r="AZ9" i="26" s="1"/>
  <c r="AB7" i="26"/>
  <c r="AB8" i="26" s="1"/>
  <c r="AB9" i="26" s="1"/>
  <c r="BD9" i="26" s="1"/>
  <c r="T7" i="26"/>
  <c r="T8" i="26" s="1"/>
  <c r="T9" i="26" s="1"/>
  <c r="AV9" i="26" s="1"/>
  <c r="I7" i="26"/>
  <c r="I8" i="26" s="1"/>
  <c r="I9" i="26" s="1"/>
  <c r="AK9" i="26" s="1"/>
  <c r="AD7" i="26"/>
  <c r="AD8" i="26" s="1"/>
  <c r="AD9" i="26" s="1"/>
  <c r="BF9" i="26" s="1"/>
  <c r="G7" i="26"/>
  <c r="G8" i="26" s="1"/>
  <c r="G9" i="26" s="1"/>
  <c r="AI9" i="26" s="1"/>
  <c r="F7" i="26"/>
  <c r="F8" i="26" s="1"/>
  <c r="F9" i="26" s="1"/>
  <c r="AH9" i="26" s="1"/>
  <c r="AH8" i="26" s="1"/>
  <c r="AA7" i="26"/>
  <c r="AA8" i="26" s="1"/>
  <c r="AA9" i="26" s="1"/>
  <c r="BC9" i="26" s="1"/>
  <c r="O7" i="26"/>
  <c r="O8" i="26" s="1"/>
  <c r="O9" i="26" s="1"/>
  <c r="AQ9" i="26" s="1"/>
  <c r="K7" i="26"/>
  <c r="K8" i="26" s="1"/>
  <c r="K9" i="26" s="1"/>
  <c r="AM9" i="26" s="1"/>
  <c r="Q7" i="26"/>
  <c r="Q8" i="26" s="1"/>
  <c r="Q9" i="26" s="1"/>
  <c r="AS9" i="26" s="1"/>
  <c r="Z7" i="26"/>
  <c r="Z8" i="26" s="1"/>
  <c r="Z9" i="26" s="1"/>
  <c r="BB9" i="26" s="1"/>
  <c r="S7" i="26"/>
  <c r="S8" i="26" s="1"/>
  <c r="S9" i="26" s="1"/>
  <c r="AU9" i="26" s="1"/>
  <c r="P7" i="26"/>
  <c r="P8" i="26" s="1"/>
  <c r="P9" i="26" s="1"/>
  <c r="AR9" i="26" s="1"/>
  <c r="W7" i="26"/>
  <c r="W8" i="26" s="1"/>
  <c r="W9" i="26" s="1"/>
  <c r="AY9" i="26" s="1"/>
  <c r="AC7" i="26"/>
  <c r="AC8" i="26" s="1"/>
  <c r="AC9" i="26" s="1"/>
  <c r="BE9" i="26" s="1"/>
  <c r="Y7" i="26"/>
  <c r="Y8" i="26" s="1"/>
  <c r="Y9" i="26" s="1"/>
  <c r="BA9" i="26" s="1"/>
  <c r="AR7" i="27"/>
  <c r="AM7" i="23"/>
  <c r="AS7" i="23"/>
  <c r="AR7" i="23"/>
  <c r="AF9" i="23"/>
  <c r="AB11" i="23" s="1"/>
  <c r="G18" i="22"/>
  <c r="H18" i="22" s="1"/>
  <c r="I18" i="22" s="1"/>
  <c r="J18" i="22" s="1"/>
  <c r="K18" i="22" s="1"/>
  <c r="L18" i="22" s="1"/>
  <c r="M18" i="22" s="1"/>
  <c r="N18" i="22" s="1"/>
  <c r="O18" i="22" s="1"/>
  <c r="P18" i="22" s="1"/>
  <c r="Q18" i="22" s="1"/>
  <c r="R18" i="22" s="1"/>
  <c r="S18" i="22" s="1"/>
  <c r="T18" i="22" s="1"/>
  <c r="U18" i="22" s="1"/>
  <c r="V18" i="22" s="1"/>
  <c r="W18" i="22" s="1"/>
  <c r="X18" i="22" s="1"/>
  <c r="Y18" i="22" s="1"/>
  <c r="Z18" i="22" s="1"/>
  <c r="AA18" i="22" s="1"/>
  <c r="AB18" i="22" s="1"/>
  <c r="AC18" i="22" s="1"/>
  <c r="AD18" i="22" s="1"/>
  <c r="AE18" i="22" s="1"/>
  <c r="G18" i="25"/>
  <c r="H18" i="25" s="1"/>
  <c r="I18" i="25" s="1"/>
  <c r="J18" i="25" s="1"/>
  <c r="K18" i="25" s="1"/>
  <c r="L18" i="25" s="1"/>
  <c r="M18" i="25" s="1"/>
  <c r="N18" i="25" s="1"/>
  <c r="O18" i="25" s="1"/>
  <c r="P18" i="25" s="1"/>
  <c r="Q18" i="25" s="1"/>
  <c r="R18" i="25" s="1"/>
  <c r="S18" i="25" s="1"/>
  <c r="T18" i="25" s="1"/>
  <c r="U18" i="25" s="1"/>
  <c r="V18" i="25" s="1"/>
  <c r="W18" i="25" s="1"/>
  <c r="X18" i="25" s="1"/>
  <c r="Y18" i="25" s="1"/>
  <c r="Z18" i="25" s="1"/>
  <c r="AA18" i="25" s="1"/>
  <c r="AB18" i="25" s="1"/>
  <c r="AC18" i="25" s="1"/>
  <c r="AD18" i="25" s="1"/>
  <c r="AE18" i="25" s="1"/>
  <c r="G18" i="28"/>
  <c r="H18" i="28" s="1"/>
  <c r="I18" i="28" s="1"/>
  <c r="J18" i="28" s="1"/>
  <c r="K18" i="28" s="1"/>
  <c r="L18" i="28" s="1"/>
  <c r="M18" i="28" s="1"/>
  <c r="N18" i="28" s="1"/>
  <c r="O18" i="28" s="1"/>
  <c r="P18" i="28" s="1"/>
  <c r="Q18" i="28" s="1"/>
  <c r="R18" i="28" s="1"/>
  <c r="S18" i="28" s="1"/>
  <c r="T18" i="28" s="1"/>
  <c r="U18" i="28" s="1"/>
  <c r="V18" i="28" s="1"/>
  <c r="W18" i="28" s="1"/>
  <c r="X18" i="28" s="1"/>
  <c r="Y18" i="28" s="1"/>
  <c r="Z18" i="28" s="1"/>
  <c r="AA18" i="28" s="1"/>
  <c r="AB18" i="28" s="1"/>
  <c r="AC18" i="28" s="1"/>
  <c r="AD18" i="28" s="1"/>
  <c r="AE18" i="28" s="1"/>
  <c r="G6" i="27"/>
  <c r="H6" i="27" s="1"/>
  <c r="I6" i="27" s="1"/>
  <c r="J6" i="27" s="1"/>
  <c r="K6" i="27" s="1"/>
  <c r="L6" i="27" s="1"/>
  <c r="M6" i="27" s="1"/>
  <c r="N6" i="27" s="1"/>
  <c r="O6" i="27" s="1"/>
  <c r="P6" i="27" s="1"/>
  <c r="Q6" i="27" s="1"/>
  <c r="R6" i="27" s="1"/>
  <c r="S6" i="27" s="1"/>
  <c r="T6" i="27" s="1"/>
  <c r="U6" i="27" s="1"/>
  <c r="V6" i="27" s="1"/>
  <c r="W6" i="27" s="1"/>
  <c r="X6" i="27" s="1"/>
  <c r="Y6" i="27" s="1"/>
  <c r="Z6" i="27" s="1"/>
  <c r="AA6" i="27" s="1"/>
  <c r="AB6" i="27" s="1"/>
  <c r="AC6" i="27" s="1"/>
  <c r="AD6" i="27" s="1"/>
  <c r="AE6" i="27" s="1"/>
  <c r="F6" i="29"/>
  <c r="F39" i="29" s="1"/>
  <c r="G39" i="29" s="1"/>
  <c r="H39" i="29" s="1"/>
  <c r="I39" i="29" s="1"/>
  <c r="J39" i="29" s="1"/>
  <c r="K39" i="29" s="1"/>
  <c r="L39" i="29" s="1"/>
  <c r="M39" i="29" s="1"/>
  <c r="N39" i="29" s="1"/>
  <c r="O39" i="29" s="1"/>
  <c r="P39" i="29" s="1"/>
  <c r="Q39" i="29" s="1"/>
  <c r="R39" i="29" s="1"/>
  <c r="S39" i="29" s="1"/>
  <c r="T39" i="29" s="1"/>
  <c r="U39" i="29" s="1"/>
  <c r="V39" i="29" s="1"/>
  <c r="W39" i="29" s="1"/>
  <c r="X39" i="29" s="1"/>
  <c r="Y39" i="29" s="1"/>
  <c r="Z39" i="29" s="1"/>
  <c r="AA39" i="29" s="1"/>
  <c r="AB39" i="29" s="1"/>
  <c r="AC39" i="29" s="1"/>
  <c r="AD39" i="29" s="1"/>
  <c r="AE39" i="29" s="1"/>
  <c r="E39" i="29"/>
  <c r="H7" i="24"/>
  <c r="H8" i="24" s="1"/>
  <c r="H9" i="24" s="1"/>
  <c r="AJ9" i="24" s="1"/>
  <c r="AJ8" i="24" s="1"/>
  <c r="AL7" i="27"/>
  <c r="F6" i="24"/>
  <c r="F39" i="24" s="1"/>
  <c r="G39" i="24" s="1"/>
  <c r="H39" i="24" s="1"/>
  <c r="I39" i="24" s="1"/>
  <c r="J39" i="24" s="1"/>
  <c r="K39" i="24" s="1"/>
  <c r="L39" i="24" s="1"/>
  <c r="M39" i="24" s="1"/>
  <c r="N39" i="24" s="1"/>
  <c r="O39" i="24" s="1"/>
  <c r="P39" i="24" s="1"/>
  <c r="Q39" i="24" s="1"/>
  <c r="R39" i="24" s="1"/>
  <c r="S39" i="24" s="1"/>
  <c r="T39" i="24" s="1"/>
  <c r="U39" i="24" s="1"/>
  <c r="V39" i="24" s="1"/>
  <c r="W39" i="24" s="1"/>
  <c r="X39" i="24" s="1"/>
  <c r="Y39" i="24" s="1"/>
  <c r="Z39" i="24" s="1"/>
  <c r="AA39" i="24" s="1"/>
  <c r="AB39" i="24" s="1"/>
  <c r="AC39" i="24" s="1"/>
  <c r="AD39" i="24" s="1"/>
  <c r="AE39" i="24" s="1"/>
  <c r="AF9" i="27"/>
  <c r="N11" i="27" s="1"/>
  <c r="F6" i="26"/>
  <c r="F39" i="26" s="1"/>
  <c r="G39" i="26" s="1"/>
  <c r="H39" i="26" s="1"/>
  <c r="I39" i="26" s="1"/>
  <c r="J39" i="26" s="1"/>
  <c r="K39" i="26" s="1"/>
  <c r="L39" i="26" s="1"/>
  <c r="M39" i="26" s="1"/>
  <c r="N39" i="26" s="1"/>
  <c r="O39" i="26" s="1"/>
  <c r="P39" i="26" s="1"/>
  <c r="Q39" i="26" s="1"/>
  <c r="R39" i="26" s="1"/>
  <c r="S39" i="26" s="1"/>
  <c r="T39" i="26" s="1"/>
  <c r="U39" i="26" s="1"/>
  <c r="V39" i="26" s="1"/>
  <c r="W39" i="26" s="1"/>
  <c r="X39" i="26" s="1"/>
  <c r="Y39" i="26" s="1"/>
  <c r="Z39" i="26" s="1"/>
  <c r="AA39" i="26" s="1"/>
  <c r="AB39" i="26" s="1"/>
  <c r="AC39" i="26" s="1"/>
  <c r="AD39" i="26" s="1"/>
  <c r="AE39" i="26" s="1"/>
  <c r="E33" i="23"/>
  <c r="F12" i="23"/>
  <c r="E1" i="23" s="1"/>
  <c r="B4" i="39" s="1"/>
  <c r="E33" i="28"/>
  <c r="F12" i="28"/>
  <c r="E1" i="28" s="1"/>
  <c r="B9" i="39" s="1"/>
  <c r="E33" i="29"/>
  <c r="F12" i="29"/>
  <c r="E33" i="27"/>
  <c r="F12" i="27"/>
  <c r="E33" i="26"/>
  <c r="F12" i="26"/>
  <c r="E33" i="25"/>
  <c r="F12" i="25"/>
  <c r="E1" i="25" s="1"/>
  <c r="B6" i="39" s="1"/>
  <c r="E33" i="24"/>
  <c r="F12" i="24"/>
  <c r="M7" i="26"/>
  <c r="M8" i="26" s="1"/>
  <c r="M9" i="26" s="1"/>
  <c r="AO9" i="26" s="1"/>
  <c r="AO8" i="26" s="1"/>
  <c r="E33" i="22"/>
  <c r="F12" i="22"/>
  <c r="E1" i="22" s="1"/>
  <c r="B3" i="39" s="1"/>
  <c r="G6" i="23"/>
  <c r="H6" i="23" s="1"/>
  <c r="I6" i="23" s="1"/>
  <c r="J6" i="23" s="1"/>
  <c r="K6" i="23" s="1"/>
  <c r="L6" i="23" s="1"/>
  <c r="M6" i="23" s="1"/>
  <c r="N6" i="23" s="1"/>
  <c r="O6" i="23" s="1"/>
  <c r="P6" i="23" s="1"/>
  <c r="Q6" i="23" s="1"/>
  <c r="R6" i="23" s="1"/>
  <c r="S6" i="23" s="1"/>
  <c r="T6" i="23" s="1"/>
  <c r="U6" i="23" s="1"/>
  <c r="V6" i="23" s="1"/>
  <c r="W6" i="23" s="1"/>
  <c r="X6" i="23" s="1"/>
  <c r="Y6" i="23" s="1"/>
  <c r="Z6" i="23" s="1"/>
  <c r="AA6" i="23" s="1"/>
  <c r="AB6" i="23" s="1"/>
  <c r="AC6" i="23" s="1"/>
  <c r="AD6" i="23" s="1"/>
  <c r="AE6" i="23" s="1"/>
  <c r="AH9" i="23"/>
  <c r="AH8" i="23" s="1"/>
  <c r="F39" i="22"/>
  <c r="G39" i="22" s="1"/>
  <c r="H39" i="22" s="1"/>
  <c r="I39" i="22" s="1"/>
  <c r="J39" i="22" s="1"/>
  <c r="K39" i="22" s="1"/>
  <c r="L39" i="22" s="1"/>
  <c r="M39" i="22" s="1"/>
  <c r="N39" i="22" s="1"/>
  <c r="O39" i="22" s="1"/>
  <c r="P39" i="22" s="1"/>
  <c r="Q39" i="22" s="1"/>
  <c r="R39" i="22" s="1"/>
  <c r="S39" i="22" s="1"/>
  <c r="T39" i="22" s="1"/>
  <c r="U39" i="22" s="1"/>
  <c r="V39" i="22" s="1"/>
  <c r="W39" i="22" s="1"/>
  <c r="X39" i="22" s="1"/>
  <c r="Y39" i="22" s="1"/>
  <c r="Z39" i="22" s="1"/>
  <c r="AA39" i="22" s="1"/>
  <c r="AB39" i="22" s="1"/>
  <c r="AC39" i="22" s="1"/>
  <c r="AD39" i="22" s="1"/>
  <c r="AE39" i="22" s="1"/>
  <c r="G6" i="25"/>
  <c r="H6" i="25" s="1"/>
  <c r="I6" i="25" s="1"/>
  <c r="J6" i="25" s="1"/>
  <c r="K6" i="25" s="1"/>
  <c r="L6" i="25" s="1"/>
  <c r="M6" i="25" s="1"/>
  <c r="N6" i="25" s="1"/>
  <c r="O6" i="25" s="1"/>
  <c r="P6" i="25" s="1"/>
  <c r="Q6" i="25" s="1"/>
  <c r="R6" i="25" s="1"/>
  <c r="S6" i="25" s="1"/>
  <c r="T6" i="25" s="1"/>
  <c r="U6" i="25" s="1"/>
  <c r="V6" i="25" s="1"/>
  <c r="W6" i="25" s="1"/>
  <c r="X6" i="25" s="1"/>
  <c r="Y6" i="25" s="1"/>
  <c r="Z6" i="25" s="1"/>
  <c r="AA6" i="25" s="1"/>
  <c r="AB6" i="25" s="1"/>
  <c r="AC6" i="25" s="1"/>
  <c r="AD6" i="25" s="1"/>
  <c r="AE6" i="25" s="1"/>
  <c r="G6" i="28"/>
  <c r="H6" i="28" s="1"/>
  <c r="I6" i="28" s="1"/>
  <c r="J6" i="28" s="1"/>
  <c r="K6" i="28" s="1"/>
  <c r="L6" i="28" s="1"/>
  <c r="M6" i="28" s="1"/>
  <c r="N6" i="28" s="1"/>
  <c r="O6" i="28" s="1"/>
  <c r="P6" i="28" s="1"/>
  <c r="Q6" i="28" s="1"/>
  <c r="R6" i="28" s="1"/>
  <c r="S6" i="28" s="1"/>
  <c r="T6" i="28" s="1"/>
  <c r="U6" i="28" s="1"/>
  <c r="V6" i="28" s="1"/>
  <c r="W6" i="28" s="1"/>
  <c r="X6" i="28" s="1"/>
  <c r="Y6" i="28" s="1"/>
  <c r="Z6" i="28" s="1"/>
  <c r="AA6" i="28" s="1"/>
  <c r="AB6" i="28" s="1"/>
  <c r="AC6" i="28" s="1"/>
  <c r="AD6" i="28" s="1"/>
  <c r="AE6" i="28" s="1"/>
  <c r="AF9" i="25"/>
  <c r="AC11" i="25" s="1"/>
  <c r="F39" i="25"/>
  <c r="G39" i="25" s="1"/>
  <c r="H39" i="25" s="1"/>
  <c r="I39" i="25" s="1"/>
  <c r="J39" i="25" s="1"/>
  <c r="K39" i="25" s="1"/>
  <c r="L39" i="25" s="1"/>
  <c r="M39" i="25" s="1"/>
  <c r="N39" i="25" s="1"/>
  <c r="O39" i="25" s="1"/>
  <c r="P39" i="25" s="1"/>
  <c r="Q39" i="25" s="1"/>
  <c r="R39" i="25" s="1"/>
  <c r="S39" i="25" s="1"/>
  <c r="T39" i="25" s="1"/>
  <c r="U39" i="25" s="1"/>
  <c r="V39" i="25" s="1"/>
  <c r="W39" i="25" s="1"/>
  <c r="X39" i="25" s="1"/>
  <c r="Y39" i="25" s="1"/>
  <c r="Z39" i="25" s="1"/>
  <c r="AA39" i="25" s="1"/>
  <c r="AB39" i="25" s="1"/>
  <c r="AC39" i="25" s="1"/>
  <c r="AD39" i="25" s="1"/>
  <c r="AE39" i="25" s="1"/>
  <c r="AO8" i="25"/>
  <c r="AH8" i="28"/>
  <c r="AF9" i="28"/>
  <c r="P11" i="28" s="1"/>
  <c r="AH7" i="27"/>
  <c r="AH8" i="27"/>
  <c r="AH8" i="25"/>
  <c r="AH7" i="25"/>
  <c r="C39" i="1"/>
  <c r="D39" i="1"/>
  <c r="F5" i="1"/>
  <c r="C33" i="1"/>
  <c r="D33" i="1"/>
  <c r="C27" i="1"/>
  <c r="D27" i="1"/>
  <c r="D19" i="1"/>
  <c r="D13" i="1"/>
  <c r="D7" i="1"/>
  <c r="AQ23" i="37" l="1"/>
  <c r="BC23" i="37"/>
  <c r="AV23" i="37"/>
  <c r="BG23" i="37"/>
  <c r="AP23" i="37"/>
  <c r="AH23" i="37"/>
  <c r="AR23" i="37"/>
  <c r="BE23" i="37"/>
  <c r="BB23" i="37"/>
  <c r="AU23" i="37"/>
  <c r="AH25" i="38"/>
  <c r="AH26" i="38"/>
  <c r="AX23" i="37"/>
  <c r="AE26" i="38"/>
  <c r="W26" i="38"/>
  <c r="O26" i="38"/>
  <c r="G26" i="38"/>
  <c r="AD26" i="38"/>
  <c r="V26" i="38"/>
  <c r="N26" i="38"/>
  <c r="F26" i="38"/>
  <c r="AC26" i="38"/>
  <c r="U26" i="38"/>
  <c r="M26" i="38"/>
  <c r="AB26" i="38"/>
  <c r="T26" i="38"/>
  <c r="L26" i="38"/>
  <c r="P26" i="38"/>
  <c r="AA26" i="38"/>
  <c r="K26" i="38"/>
  <c r="Z26" i="38"/>
  <c r="J26" i="38"/>
  <c r="Y26" i="38"/>
  <c r="I26" i="38"/>
  <c r="R26" i="38"/>
  <c r="Q26" i="38"/>
  <c r="H26" i="38"/>
  <c r="X26" i="38"/>
  <c r="S26" i="38"/>
  <c r="AT23" i="37"/>
  <c r="AI23" i="37"/>
  <c r="BA23" i="37"/>
  <c r="AK23" i="37"/>
  <c r="AO23" i="37"/>
  <c r="AJ23" i="37"/>
  <c r="AN23" i="37"/>
  <c r="AM23" i="37"/>
  <c r="S28" i="37"/>
  <c r="S29" i="37" s="1"/>
  <c r="S30" i="37" s="1"/>
  <c r="AU30" i="37" s="1"/>
  <c r="M28" i="37"/>
  <c r="M29" i="37" s="1"/>
  <c r="M30" i="37" s="1"/>
  <c r="AO30" i="37" s="1"/>
  <c r="O28" i="37"/>
  <c r="O29" i="37" s="1"/>
  <c r="O30" i="37" s="1"/>
  <c r="AQ30" i="37" s="1"/>
  <c r="Y28" i="37"/>
  <c r="Y29" i="37" s="1"/>
  <c r="Y30" i="37" s="1"/>
  <c r="BA30" i="37" s="1"/>
  <c r="T28" i="37"/>
  <c r="T29" i="37" s="1"/>
  <c r="T30" i="37" s="1"/>
  <c r="AV30" i="37" s="1"/>
  <c r="U28" i="37"/>
  <c r="U29" i="37" s="1"/>
  <c r="U30" i="37" s="1"/>
  <c r="AW30" i="37" s="1"/>
  <c r="W28" i="37"/>
  <c r="W29" i="37" s="1"/>
  <c r="W30" i="37" s="1"/>
  <c r="AY30" i="37" s="1"/>
  <c r="AL23" i="37"/>
  <c r="AZ23" i="37"/>
  <c r="BF23" i="37"/>
  <c r="R28" i="37"/>
  <c r="R29" i="37" s="1"/>
  <c r="R30" i="37" s="1"/>
  <c r="AT30" i="37" s="1"/>
  <c r="G28" i="37"/>
  <c r="G29" i="37" s="1"/>
  <c r="G30" i="37" s="1"/>
  <c r="AI30" i="37" s="1"/>
  <c r="Z28" i="37"/>
  <c r="Z29" i="37" s="1"/>
  <c r="Z30" i="37" s="1"/>
  <c r="BB30" i="37" s="1"/>
  <c r="AE28" i="37"/>
  <c r="AE29" i="37" s="1"/>
  <c r="AE30" i="37" s="1"/>
  <c r="BG30" i="37" s="1"/>
  <c r="AA28" i="37"/>
  <c r="AA29" i="37" s="1"/>
  <c r="AA30" i="37" s="1"/>
  <c r="BC30" i="37" s="1"/>
  <c r="F28" i="37"/>
  <c r="F29" i="37" s="1"/>
  <c r="F30" i="37" s="1"/>
  <c r="H28" i="37"/>
  <c r="H29" i="37" s="1"/>
  <c r="H30" i="37" s="1"/>
  <c r="AJ30" i="37" s="1"/>
  <c r="AS23" i="37"/>
  <c r="AW23" i="37"/>
  <c r="BD23" i="37"/>
  <c r="Q28" i="37"/>
  <c r="Q29" i="37" s="1"/>
  <c r="Q30" i="37" s="1"/>
  <c r="AS30" i="37" s="1"/>
  <c r="J28" i="37"/>
  <c r="J29" i="37" s="1"/>
  <c r="J30" i="37" s="1"/>
  <c r="AL30" i="37" s="1"/>
  <c r="N28" i="37"/>
  <c r="N29" i="37" s="1"/>
  <c r="N30" i="37" s="1"/>
  <c r="AP30" i="37" s="1"/>
  <c r="P28" i="37"/>
  <c r="P29" i="37" s="1"/>
  <c r="P30" i="37" s="1"/>
  <c r="AR30" i="37" s="1"/>
  <c r="L28" i="37"/>
  <c r="L29" i="37" s="1"/>
  <c r="L30" i="37" s="1"/>
  <c r="AN30" i="37" s="1"/>
  <c r="AC28" i="37"/>
  <c r="AC29" i="37" s="1"/>
  <c r="AC30" i="37" s="1"/>
  <c r="BE30" i="37" s="1"/>
  <c r="AB28" i="37"/>
  <c r="AB29" i="37" s="1"/>
  <c r="AB30" i="37" s="1"/>
  <c r="BD30" i="37" s="1"/>
  <c r="V28" i="37"/>
  <c r="V29" i="37" s="1"/>
  <c r="V30" i="37" s="1"/>
  <c r="AX30" i="37" s="1"/>
  <c r="X28" i="37"/>
  <c r="X29" i="37" s="1"/>
  <c r="X30" i="37" s="1"/>
  <c r="AZ30" i="37" s="1"/>
  <c r="AY23" i="37"/>
  <c r="K28" i="37"/>
  <c r="K29" i="37" s="1"/>
  <c r="K30" i="37" s="1"/>
  <c r="AM30" i="37" s="1"/>
  <c r="AD28" i="37"/>
  <c r="AD29" i="37" s="1"/>
  <c r="AD30" i="37" s="1"/>
  <c r="BF30" i="37" s="1"/>
  <c r="I28" i="37"/>
  <c r="I29" i="37" s="1"/>
  <c r="I30" i="37" s="1"/>
  <c r="AK30" i="37" s="1"/>
  <c r="AH26" i="36"/>
  <c r="AH25" i="36"/>
  <c r="AC26" i="36"/>
  <c r="U26" i="36"/>
  <c r="M26" i="36"/>
  <c r="AA26" i="36"/>
  <c r="S26" i="36"/>
  <c r="K26" i="36"/>
  <c r="AD26" i="36"/>
  <c r="R26" i="36"/>
  <c r="H26" i="36"/>
  <c r="AB26" i="36"/>
  <c r="Q26" i="36"/>
  <c r="G26" i="36"/>
  <c r="Z26" i="36"/>
  <c r="P26" i="36"/>
  <c r="F26" i="36"/>
  <c r="Y26" i="36"/>
  <c r="O26" i="36"/>
  <c r="J26" i="36"/>
  <c r="AE26" i="36"/>
  <c r="I26" i="36"/>
  <c r="X26" i="36"/>
  <c r="W26" i="36"/>
  <c r="N26" i="36"/>
  <c r="L26" i="36"/>
  <c r="V26" i="36"/>
  <c r="T26" i="36"/>
  <c r="O43" i="31"/>
  <c r="AO43" i="31"/>
  <c r="AO42" i="31"/>
  <c r="O57" i="31"/>
  <c r="AO57" i="31"/>
  <c r="AO56" i="31"/>
  <c r="P39" i="31"/>
  <c r="AP39" i="31"/>
  <c r="AP38" i="31"/>
  <c r="P61" i="31"/>
  <c r="AP61" i="31"/>
  <c r="AP60" i="31"/>
  <c r="O53" i="31"/>
  <c r="AO52" i="31"/>
  <c r="AO53" i="31"/>
  <c r="Q41" i="31"/>
  <c r="AQ41" i="31"/>
  <c r="AQ40" i="31"/>
  <c r="P49" i="31"/>
  <c r="AP49" i="31"/>
  <c r="AP48" i="31"/>
  <c r="P77" i="31"/>
  <c r="AP77" i="31"/>
  <c r="AP76" i="31"/>
  <c r="O65" i="31"/>
  <c r="AO65" i="31"/>
  <c r="AO64" i="31"/>
  <c r="O37" i="31"/>
  <c r="AO36" i="31"/>
  <c r="AO37" i="31"/>
  <c r="O59" i="31"/>
  <c r="AO59" i="31"/>
  <c r="AO58" i="31"/>
  <c r="Q45" i="31"/>
  <c r="AQ45" i="31"/>
  <c r="AQ44" i="31"/>
  <c r="P73" i="31"/>
  <c r="AP73" i="31"/>
  <c r="AP72" i="31"/>
  <c r="O51" i="31"/>
  <c r="AO50" i="31"/>
  <c r="AO51" i="31"/>
  <c r="Q55" i="31"/>
  <c r="AQ54" i="31"/>
  <c r="AQ55" i="31"/>
  <c r="P69" i="31"/>
  <c r="AP69" i="31"/>
  <c r="AP68" i="31"/>
  <c r="O63" i="31"/>
  <c r="AO63" i="31"/>
  <c r="AO62" i="31"/>
  <c r="O35" i="31"/>
  <c r="AO34" i="31"/>
  <c r="AO35" i="31"/>
  <c r="O67" i="31"/>
  <c r="AO67" i="31"/>
  <c r="AO66" i="31"/>
  <c r="BE46" i="31"/>
  <c r="BE47" i="31"/>
  <c r="AI7" i="29"/>
  <c r="AF9" i="29"/>
  <c r="AD11" i="29" s="1"/>
  <c r="AD13" i="29" s="1"/>
  <c r="AD14" i="29" s="1"/>
  <c r="AD15" i="29" s="1"/>
  <c r="BF15" i="29" s="1"/>
  <c r="AK7" i="29"/>
  <c r="V11" i="23"/>
  <c r="V13" i="23" s="1"/>
  <c r="V14" i="23" s="1"/>
  <c r="V15" i="23" s="1"/>
  <c r="AX15" i="23" s="1"/>
  <c r="AC11" i="23"/>
  <c r="AC13" i="23" s="1"/>
  <c r="AC14" i="23" s="1"/>
  <c r="AC15" i="23" s="1"/>
  <c r="BE15" i="23" s="1"/>
  <c r="J11" i="23"/>
  <c r="J13" i="23" s="1"/>
  <c r="J14" i="23" s="1"/>
  <c r="J15" i="23" s="1"/>
  <c r="AL15" i="23" s="1"/>
  <c r="Q11" i="23"/>
  <c r="Q13" i="23" s="1"/>
  <c r="Q14" i="23" s="1"/>
  <c r="Q15" i="23" s="1"/>
  <c r="AS15" i="23" s="1"/>
  <c r="F11" i="23"/>
  <c r="F13" i="23" s="1"/>
  <c r="F14" i="23" s="1"/>
  <c r="F15" i="23" s="1"/>
  <c r="Y11" i="23"/>
  <c r="Y13" i="23" s="1"/>
  <c r="Y14" i="23" s="1"/>
  <c r="Y15" i="23" s="1"/>
  <c r="BA15" i="23" s="1"/>
  <c r="M11" i="23"/>
  <c r="M13" i="23" s="1"/>
  <c r="M14" i="23" s="1"/>
  <c r="M15" i="23" s="1"/>
  <c r="AO15" i="23" s="1"/>
  <c r="I11" i="23"/>
  <c r="I13" i="23" s="1"/>
  <c r="I14" i="23" s="1"/>
  <c r="I15" i="23" s="1"/>
  <c r="AK15" i="23" s="1"/>
  <c r="L11" i="23"/>
  <c r="L13" i="23" s="1"/>
  <c r="L14" i="23" s="1"/>
  <c r="L15" i="23" s="1"/>
  <c r="AN15" i="23" s="1"/>
  <c r="P11" i="23"/>
  <c r="P13" i="23" s="1"/>
  <c r="P14" i="23" s="1"/>
  <c r="P15" i="23" s="1"/>
  <c r="AR15" i="23" s="1"/>
  <c r="AE11" i="23"/>
  <c r="AE13" i="23" s="1"/>
  <c r="AE14" i="23" s="1"/>
  <c r="AE15" i="23" s="1"/>
  <c r="BG15" i="23" s="1"/>
  <c r="U11" i="23"/>
  <c r="U13" i="23" s="1"/>
  <c r="U14" i="23" s="1"/>
  <c r="U15" i="23" s="1"/>
  <c r="AW15" i="23" s="1"/>
  <c r="S11" i="23"/>
  <c r="S13" i="23" s="1"/>
  <c r="S14" i="23" s="1"/>
  <c r="S15" i="23" s="1"/>
  <c r="AU15" i="23" s="1"/>
  <c r="G11" i="23"/>
  <c r="G13" i="23" s="1"/>
  <c r="G14" i="23" s="1"/>
  <c r="G15" i="23" s="1"/>
  <c r="AI15" i="23" s="1"/>
  <c r="W11" i="23"/>
  <c r="W13" i="23" s="1"/>
  <c r="W14" i="23" s="1"/>
  <c r="W15" i="23" s="1"/>
  <c r="AY15" i="23" s="1"/>
  <c r="K11" i="23"/>
  <c r="K13" i="23" s="1"/>
  <c r="K14" i="23" s="1"/>
  <c r="K15" i="23" s="1"/>
  <c r="AM15" i="23" s="1"/>
  <c r="AA11" i="23"/>
  <c r="AA13" i="23" s="1"/>
  <c r="AA14" i="23" s="1"/>
  <c r="AA15" i="23" s="1"/>
  <c r="BC15" i="23" s="1"/>
  <c r="Z11" i="23"/>
  <c r="Z13" i="23" s="1"/>
  <c r="Z14" i="23" s="1"/>
  <c r="Z15" i="23" s="1"/>
  <c r="BB15" i="23" s="1"/>
  <c r="N11" i="23"/>
  <c r="N13" i="23" s="1"/>
  <c r="N14" i="23" s="1"/>
  <c r="N15" i="23" s="1"/>
  <c r="AP15" i="23" s="1"/>
  <c r="AD11" i="23"/>
  <c r="AD13" i="23" s="1"/>
  <c r="AD14" i="23" s="1"/>
  <c r="AD15" i="23" s="1"/>
  <c r="BF15" i="23" s="1"/>
  <c r="R11" i="23"/>
  <c r="R13" i="23" s="1"/>
  <c r="R14" i="23" s="1"/>
  <c r="R15" i="23" s="1"/>
  <c r="AT15" i="23" s="1"/>
  <c r="T11" i="23"/>
  <c r="T13" i="23" s="1"/>
  <c r="T14" i="23" s="1"/>
  <c r="T15" i="23" s="1"/>
  <c r="AV15" i="23" s="1"/>
  <c r="H11" i="23"/>
  <c r="H13" i="23" s="1"/>
  <c r="H14" i="23" s="1"/>
  <c r="H15" i="23" s="1"/>
  <c r="AJ15" i="23" s="1"/>
  <c r="X11" i="23"/>
  <c r="X13" i="23" s="1"/>
  <c r="X14" i="23" s="1"/>
  <c r="X15" i="23" s="1"/>
  <c r="AZ15" i="23" s="1"/>
  <c r="O11" i="23"/>
  <c r="O13" i="23" s="1"/>
  <c r="O14" i="23" s="1"/>
  <c r="O15" i="23" s="1"/>
  <c r="AQ15" i="23" s="1"/>
  <c r="AH7" i="26"/>
  <c r="AY8" i="26"/>
  <c r="AY7" i="26"/>
  <c r="AQ7" i="26"/>
  <c r="AQ8" i="26"/>
  <c r="AV8" i="26"/>
  <c r="AV7" i="26"/>
  <c r="AT8" i="26"/>
  <c r="AT7" i="26"/>
  <c r="BE8" i="24"/>
  <c r="BE7" i="24"/>
  <c r="AO7" i="24"/>
  <c r="AO8" i="24"/>
  <c r="BD8" i="24"/>
  <c r="BD7" i="24"/>
  <c r="BF7" i="24"/>
  <c r="BF8" i="24"/>
  <c r="BG8" i="29"/>
  <c r="BG7" i="29"/>
  <c r="AP8" i="29"/>
  <c r="AP7" i="29"/>
  <c r="AJ7" i="29"/>
  <c r="AJ8" i="29"/>
  <c r="AL8" i="29"/>
  <c r="AL7" i="29"/>
  <c r="AR7" i="26"/>
  <c r="AR8" i="26"/>
  <c r="BC7" i="26"/>
  <c r="BC8" i="26"/>
  <c r="BD7" i="26"/>
  <c r="BD8" i="26"/>
  <c r="AJ7" i="26"/>
  <c r="AJ8" i="26"/>
  <c r="AY8" i="24"/>
  <c r="AY7" i="24"/>
  <c r="AU8" i="24"/>
  <c r="AU7" i="24"/>
  <c r="AP8" i="24"/>
  <c r="AP7" i="24"/>
  <c r="AI7" i="24"/>
  <c r="AI8" i="24"/>
  <c r="BC8" i="29"/>
  <c r="BC7" i="29"/>
  <c r="AZ7" i="29"/>
  <c r="AZ8" i="29"/>
  <c r="AM7" i="29"/>
  <c r="AM8" i="29"/>
  <c r="AZ7" i="26"/>
  <c r="AZ8" i="26"/>
  <c r="AR7" i="24"/>
  <c r="AR8" i="24"/>
  <c r="AL8" i="24"/>
  <c r="AL7" i="24"/>
  <c r="AR7" i="29"/>
  <c r="AR8" i="29"/>
  <c r="BB7" i="26"/>
  <c r="BB8" i="26"/>
  <c r="AI8" i="26"/>
  <c r="AI7" i="26"/>
  <c r="AP7" i="26"/>
  <c r="AP8" i="26"/>
  <c r="BG7" i="26"/>
  <c r="BG8" i="26"/>
  <c r="BG8" i="24"/>
  <c r="BG7" i="24"/>
  <c r="AW8" i="24"/>
  <c r="AW7" i="24"/>
  <c r="BA7" i="24"/>
  <c r="BA8" i="24"/>
  <c r="AQ8" i="24"/>
  <c r="AQ7" i="24"/>
  <c r="BB7" i="29"/>
  <c r="BB8" i="29"/>
  <c r="AN8" i="29"/>
  <c r="AN7" i="29"/>
  <c r="AH7" i="29"/>
  <c r="AH8" i="29"/>
  <c r="AO7" i="29"/>
  <c r="AO8" i="29"/>
  <c r="AU7" i="26"/>
  <c r="AU8" i="26"/>
  <c r="BC7" i="24"/>
  <c r="BC8" i="24"/>
  <c r="AY7" i="29"/>
  <c r="AY8" i="29"/>
  <c r="AS7" i="29"/>
  <c r="AS8" i="29"/>
  <c r="BA7" i="26"/>
  <c r="BA8" i="26"/>
  <c r="AS8" i="26"/>
  <c r="AS7" i="26"/>
  <c r="BF7" i="26"/>
  <c r="BF8" i="26"/>
  <c r="AX8" i="26"/>
  <c r="AX7" i="26"/>
  <c r="AN7" i="26"/>
  <c r="AN8" i="26"/>
  <c r="AM8" i="24"/>
  <c r="AM7" i="24"/>
  <c r="BB8" i="24"/>
  <c r="BB7" i="24"/>
  <c r="AT8" i="24"/>
  <c r="AT7" i="24"/>
  <c r="AK7" i="24"/>
  <c r="AK8" i="24"/>
  <c r="BE7" i="29"/>
  <c r="BE8" i="29"/>
  <c r="BD8" i="29"/>
  <c r="BD7" i="29"/>
  <c r="AX8" i="29"/>
  <c r="AX7" i="29"/>
  <c r="AW8" i="29"/>
  <c r="AW7" i="29"/>
  <c r="AW7" i="26"/>
  <c r="AW8" i="26"/>
  <c r="AS8" i="24"/>
  <c r="AS7" i="24"/>
  <c r="AV8" i="29"/>
  <c r="AV7" i="29"/>
  <c r="AQ8" i="29"/>
  <c r="AQ7" i="29"/>
  <c r="AH8" i="24"/>
  <c r="BE8" i="26"/>
  <c r="BE7" i="26"/>
  <c r="AM7" i="26"/>
  <c r="AM8" i="26"/>
  <c r="AK7" i="26"/>
  <c r="AK8" i="26"/>
  <c r="AL7" i="26"/>
  <c r="AL8" i="26"/>
  <c r="AV8" i="24"/>
  <c r="AV7" i="24"/>
  <c r="AZ7" i="24"/>
  <c r="AZ8" i="24"/>
  <c r="AN8" i="24"/>
  <c r="AN7" i="24"/>
  <c r="AX7" i="24"/>
  <c r="AX8" i="24"/>
  <c r="AT7" i="29"/>
  <c r="AT8" i="29"/>
  <c r="BA7" i="29"/>
  <c r="BA8" i="29"/>
  <c r="AU8" i="29"/>
  <c r="AU7" i="29"/>
  <c r="BF7" i="29"/>
  <c r="BF8" i="29"/>
  <c r="G6" i="24"/>
  <c r="H6" i="24" s="1"/>
  <c r="I6" i="24" s="1"/>
  <c r="J6" i="24" s="1"/>
  <c r="K6" i="24" s="1"/>
  <c r="L6" i="24" s="1"/>
  <c r="M6" i="24" s="1"/>
  <c r="N6" i="24" s="1"/>
  <c r="O6" i="24" s="1"/>
  <c r="P6" i="24" s="1"/>
  <c r="Q6" i="24" s="1"/>
  <c r="R6" i="24" s="1"/>
  <c r="S6" i="24" s="1"/>
  <c r="T6" i="24" s="1"/>
  <c r="U6" i="24" s="1"/>
  <c r="V6" i="24" s="1"/>
  <c r="W6" i="24" s="1"/>
  <c r="X6" i="24" s="1"/>
  <c r="Y6" i="24" s="1"/>
  <c r="Z6" i="24" s="1"/>
  <c r="AA6" i="24" s="1"/>
  <c r="AB6" i="24" s="1"/>
  <c r="AC6" i="24" s="1"/>
  <c r="AD6" i="24" s="1"/>
  <c r="AE6" i="24" s="1"/>
  <c r="G6" i="29"/>
  <c r="H6" i="29" s="1"/>
  <c r="I6" i="29" s="1"/>
  <c r="J6" i="29" s="1"/>
  <c r="K6" i="29" s="1"/>
  <c r="L6" i="29" s="1"/>
  <c r="M6" i="29" s="1"/>
  <c r="N6" i="29" s="1"/>
  <c r="O6" i="29" s="1"/>
  <c r="P6" i="29" s="1"/>
  <c r="Q6" i="29" s="1"/>
  <c r="R6" i="29" s="1"/>
  <c r="S6" i="29" s="1"/>
  <c r="T6" i="29" s="1"/>
  <c r="U6" i="29" s="1"/>
  <c r="V6" i="29" s="1"/>
  <c r="W6" i="29" s="1"/>
  <c r="X6" i="29" s="1"/>
  <c r="Y6" i="29" s="1"/>
  <c r="Z6" i="29" s="1"/>
  <c r="AA6" i="29" s="1"/>
  <c r="AB6" i="29" s="1"/>
  <c r="AC6" i="29" s="1"/>
  <c r="AD6" i="29" s="1"/>
  <c r="AE6" i="29" s="1"/>
  <c r="E1" i="26"/>
  <c r="B7" i="39" s="1"/>
  <c r="X11" i="27"/>
  <c r="X13" i="27" s="1"/>
  <c r="AC11" i="27"/>
  <c r="AC13" i="27" s="1"/>
  <c r="Y11" i="27"/>
  <c r="Y13" i="27" s="1"/>
  <c r="Y14" i="27" s="1"/>
  <c r="Y15" i="27" s="1"/>
  <c r="BA15" i="27" s="1"/>
  <c r="T11" i="27"/>
  <c r="T13" i="27" s="1"/>
  <c r="T14" i="27" s="1"/>
  <c r="T15" i="27" s="1"/>
  <c r="AV15" i="27" s="1"/>
  <c r="Z11" i="27"/>
  <c r="Z13" i="27" s="1"/>
  <c r="Z14" i="27" s="1"/>
  <c r="Z15" i="27" s="1"/>
  <c r="BB15" i="27" s="1"/>
  <c r="I11" i="27"/>
  <c r="I13" i="27" s="1"/>
  <c r="AB11" i="27"/>
  <c r="AB13" i="27" s="1"/>
  <c r="AB14" i="27" s="1"/>
  <c r="AB15" i="27" s="1"/>
  <c r="BD15" i="27" s="1"/>
  <c r="J11" i="27"/>
  <c r="J13" i="27" s="1"/>
  <c r="J14" i="27" s="1"/>
  <c r="J15" i="27" s="1"/>
  <c r="AL15" i="27" s="1"/>
  <c r="O11" i="27"/>
  <c r="O13" i="27" s="1"/>
  <c r="O14" i="27" s="1"/>
  <c r="O15" i="27" s="1"/>
  <c r="AQ15" i="27" s="1"/>
  <c r="P11" i="27"/>
  <c r="P13" i="27" s="1"/>
  <c r="P14" i="27" s="1"/>
  <c r="P15" i="27" s="1"/>
  <c r="AR15" i="27" s="1"/>
  <c r="G11" i="27"/>
  <c r="U11" i="27"/>
  <c r="U13" i="27" s="1"/>
  <c r="R11" i="27"/>
  <c r="R13" i="27" s="1"/>
  <c r="M11" i="27"/>
  <c r="M13" i="27" s="1"/>
  <c r="M14" i="27" s="1"/>
  <c r="M15" i="27" s="1"/>
  <c r="AO15" i="27" s="1"/>
  <c r="AD11" i="27"/>
  <c r="S11" i="27"/>
  <c r="S13" i="27" s="1"/>
  <c r="S14" i="27" s="1"/>
  <c r="S15" i="27" s="1"/>
  <c r="AU15" i="27" s="1"/>
  <c r="K11" i="27"/>
  <c r="K13" i="27" s="1"/>
  <c r="K14" i="27" s="1"/>
  <c r="K15" i="27" s="1"/>
  <c r="AM15" i="27" s="1"/>
  <c r="AE11" i="27"/>
  <c r="F11" i="27"/>
  <c r="F13" i="27" s="1"/>
  <c r="F14" i="27" s="1"/>
  <c r="F15" i="27" s="1"/>
  <c r="Q11" i="27"/>
  <c r="Q13" i="27" s="1"/>
  <c r="Q14" i="27" s="1"/>
  <c r="Q15" i="27" s="1"/>
  <c r="AS15" i="27" s="1"/>
  <c r="H11" i="27"/>
  <c r="H13" i="27" s="1"/>
  <c r="H14" i="27" s="1"/>
  <c r="H15" i="27" s="1"/>
  <c r="AJ15" i="27" s="1"/>
  <c r="V11" i="27"/>
  <c r="V13" i="27" s="1"/>
  <c r="AA11" i="27"/>
  <c r="AA13" i="27" s="1"/>
  <c r="AA14" i="27" s="1"/>
  <c r="AA15" i="27" s="1"/>
  <c r="BC15" i="27" s="1"/>
  <c r="L11" i="27"/>
  <c r="L13" i="27" s="1"/>
  <c r="L14" i="27" s="1"/>
  <c r="L15" i="27" s="1"/>
  <c r="AN15" i="27" s="1"/>
  <c r="W11" i="27"/>
  <c r="W13" i="27" s="1"/>
  <c r="W14" i="27" s="1"/>
  <c r="W15" i="27" s="1"/>
  <c r="AY15" i="27" s="1"/>
  <c r="G6" i="26"/>
  <c r="H6" i="26" s="1"/>
  <c r="I6" i="26" s="1"/>
  <c r="J6" i="26" s="1"/>
  <c r="K6" i="26" s="1"/>
  <c r="L6" i="26" s="1"/>
  <c r="M6" i="26" s="1"/>
  <c r="N6" i="26" s="1"/>
  <c r="O6" i="26" s="1"/>
  <c r="P6" i="26" s="1"/>
  <c r="Q6" i="26" s="1"/>
  <c r="R6" i="26" s="1"/>
  <c r="S6" i="26" s="1"/>
  <c r="T6" i="26" s="1"/>
  <c r="U6" i="26" s="1"/>
  <c r="V6" i="26" s="1"/>
  <c r="W6" i="26" s="1"/>
  <c r="X6" i="26" s="1"/>
  <c r="Y6" i="26" s="1"/>
  <c r="Z6" i="26" s="1"/>
  <c r="AA6" i="26" s="1"/>
  <c r="AB6" i="26" s="1"/>
  <c r="AC6" i="26" s="1"/>
  <c r="AD6" i="26" s="1"/>
  <c r="AE6" i="26" s="1"/>
  <c r="AJ7" i="24"/>
  <c r="AF9" i="24"/>
  <c r="Y11" i="24" s="1"/>
  <c r="Y13" i="24" s="1"/>
  <c r="Y14" i="24" s="1"/>
  <c r="Y15" i="24" s="1"/>
  <c r="BA15" i="24" s="1"/>
  <c r="E1" i="24"/>
  <c r="B5" i="39" s="1"/>
  <c r="AO7" i="26"/>
  <c r="G12" i="26"/>
  <c r="H12" i="26" s="1"/>
  <c r="I12" i="26" s="1"/>
  <c r="J12" i="26" s="1"/>
  <c r="K12" i="26" s="1"/>
  <c r="L12" i="26" s="1"/>
  <c r="M12" i="26" s="1"/>
  <c r="N12" i="26" s="1"/>
  <c r="O12" i="26" s="1"/>
  <c r="P12" i="26" s="1"/>
  <c r="Q12" i="26" s="1"/>
  <c r="R12" i="26" s="1"/>
  <c r="S12" i="26" s="1"/>
  <c r="T12" i="26" s="1"/>
  <c r="U12" i="26" s="1"/>
  <c r="V12" i="26" s="1"/>
  <c r="W12" i="26" s="1"/>
  <c r="X12" i="26" s="1"/>
  <c r="Y12" i="26" s="1"/>
  <c r="Z12" i="26" s="1"/>
  <c r="AA12" i="26" s="1"/>
  <c r="AB12" i="26" s="1"/>
  <c r="AC12" i="26" s="1"/>
  <c r="AD12" i="26" s="1"/>
  <c r="AE12" i="26" s="1"/>
  <c r="F33" i="26"/>
  <c r="G33" i="26" s="1"/>
  <c r="H33" i="26" s="1"/>
  <c r="I33" i="26" s="1"/>
  <c r="J33" i="26" s="1"/>
  <c r="K33" i="26" s="1"/>
  <c r="L33" i="26" s="1"/>
  <c r="M33" i="26" s="1"/>
  <c r="N33" i="26" s="1"/>
  <c r="O33" i="26" s="1"/>
  <c r="P33" i="26" s="1"/>
  <c r="Q33" i="26" s="1"/>
  <c r="R33" i="26" s="1"/>
  <c r="S33" i="26" s="1"/>
  <c r="T33" i="26" s="1"/>
  <c r="U33" i="26" s="1"/>
  <c r="V33" i="26" s="1"/>
  <c r="W33" i="26" s="1"/>
  <c r="X33" i="26" s="1"/>
  <c r="Y33" i="26" s="1"/>
  <c r="Z33" i="26" s="1"/>
  <c r="AA33" i="26" s="1"/>
  <c r="AB33" i="26" s="1"/>
  <c r="AC33" i="26" s="1"/>
  <c r="AD33" i="26" s="1"/>
  <c r="AE33" i="26" s="1"/>
  <c r="F33" i="28"/>
  <c r="G33" i="28" s="1"/>
  <c r="H33" i="28" s="1"/>
  <c r="I33" i="28" s="1"/>
  <c r="J33" i="28" s="1"/>
  <c r="K33" i="28" s="1"/>
  <c r="L33" i="28" s="1"/>
  <c r="M33" i="28" s="1"/>
  <c r="N33" i="28" s="1"/>
  <c r="O33" i="28" s="1"/>
  <c r="P33" i="28" s="1"/>
  <c r="Q33" i="28" s="1"/>
  <c r="R33" i="28" s="1"/>
  <c r="S33" i="28" s="1"/>
  <c r="T33" i="28" s="1"/>
  <c r="U33" i="28" s="1"/>
  <c r="V33" i="28" s="1"/>
  <c r="W33" i="28" s="1"/>
  <c r="X33" i="28" s="1"/>
  <c r="Y33" i="28" s="1"/>
  <c r="Z33" i="28" s="1"/>
  <c r="AA33" i="28" s="1"/>
  <c r="AB33" i="28" s="1"/>
  <c r="AC33" i="28" s="1"/>
  <c r="AD33" i="28" s="1"/>
  <c r="AE33" i="28" s="1"/>
  <c r="G12" i="28"/>
  <c r="H12" i="28" s="1"/>
  <c r="I12" i="28" s="1"/>
  <c r="J12" i="28" s="1"/>
  <c r="K12" i="28" s="1"/>
  <c r="L12" i="28" s="1"/>
  <c r="M12" i="28" s="1"/>
  <c r="N12" i="28" s="1"/>
  <c r="O12" i="28" s="1"/>
  <c r="P12" i="28" s="1"/>
  <c r="Q12" i="28" s="1"/>
  <c r="R12" i="28" s="1"/>
  <c r="S12" i="28" s="1"/>
  <c r="T12" i="28" s="1"/>
  <c r="U12" i="28" s="1"/>
  <c r="V12" i="28" s="1"/>
  <c r="W12" i="28" s="1"/>
  <c r="X12" i="28" s="1"/>
  <c r="Y12" i="28" s="1"/>
  <c r="Z12" i="28" s="1"/>
  <c r="AA12" i="28" s="1"/>
  <c r="AB12" i="28" s="1"/>
  <c r="AC12" i="28" s="1"/>
  <c r="AD12" i="28" s="1"/>
  <c r="AE12" i="28" s="1"/>
  <c r="G12" i="29"/>
  <c r="H12" i="29" s="1"/>
  <c r="I12" i="29" s="1"/>
  <c r="J12" i="29" s="1"/>
  <c r="K12" i="29" s="1"/>
  <c r="L12" i="29" s="1"/>
  <c r="M12" i="29" s="1"/>
  <c r="N12" i="29" s="1"/>
  <c r="O12" i="29" s="1"/>
  <c r="P12" i="29" s="1"/>
  <c r="Q12" i="29" s="1"/>
  <c r="R12" i="29" s="1"/>
  <c r="S12" i="29" s="1"/>
  <c r="T12" i="29" s="1"/>
  <c r="U12" i="29" s="1"/>
  <c r="V12" i="29" s="1"/>
  <c r="W12" i="29" s="1"/>
  <c r="X12" i="29" s="1"/>
  <c r="Y12" i="29" s="1"/>
  <c r="Z12" i="29" s="1"/>
  <c r="AA12" i="29" s="1"/>
  <c r="AB12" i="29" s="1"/>
  <c r="AC12" i="29" s="1"/>
  <c r="AD12" i="29" s="1"/>
  <c r="AE12" i="29" s="1"/>
  <c r="F33" i="29"/>
  <c r="G33" i="29" s="1"/>
  <c r="H33" i="29" s="1"/>
  <c r="I33" i="29" s="1"/>
  <c r="J33" i="29" s="1"/>
  <c r="K33" i="29" s="1"/>
  <c r="L33" i="29" s="1"/>
  <c r="M33" i="29" s="1"/>
  <c r="N33" i="29" s="1"/>
  <c r="O33" i="29" s="1"/>
  <c r="P33" i="29" s="1"/>
  <c r="Q33" i="29" s="1"/>
  <c r="R33" i="29" s="1"/>
  <c r="S33" i="29" s="1"/>
  <c r="T33" i="29" s="1"/>
  <c r="U33" i="29" s="1"/>
  <c r="V33" i="29" s="1"/>
  <c r="W33" i="29" s="1"/>
  <c r="X33" i="29" s="1"/>
  <c r="Y33" i="29" s="1"/>
  <c r="Z33" i="29" s="1"/>
  <c r="AA33" i="29" s="1"/>
  <c r="AB33" i="29" s="1"/>
  <c r="AC33" i="29" s="1"/>
  <c r="AD33" i="29" s="1"/>
  <c r="AE33" i="29" s="1"/>
  <c r="E1" i="29"/>
  <c r="B10" i="39" s="1"/>
  <c r="F33" i="23"/>
  <c r="G33" i="23" s="1"/>
  <c r="H33" i="23" s="1"/>
  <c r="I33" i="23" s="1"/>
  <c r="J33" i="23" s="1"/>
  <c r="K33" i="23" s="1"/>
  <c r="L33" i="23" s="1"/>
  <c r="M33" i="23" s="1"/>
  <c r="N33" i="23" s="1"/>
  <c r="O33" i="23" s="1"/>
  <c r="P33" i="23" s="1"/>
  <c r="Q33" i="23" s="1"/>
  <c r="R33" i="23" s="1"/>
  <c r="S33" i="23" s="1"/>
  <c r="T33" i="23" s="1"/>
  <c r="U33" i="23" s="1"/>
  <c r="V33" i="23" s="1"/>
  <c r="W33" i="23" s="1"/>
  <c r="X33" i="23" s="1"/>
  <c r="Y33" i="23" s="1"/>
  <c r="Z33" i="23" s="1"/>
  <c r="AA33" i="23" s="1"/>
  <c r="AB33" i="23" s="1"/>
  <c r="AC33" i="23" s="1"/>
  <c r="AD33" i="23" s="1"/>
  <c r="AE33" i="23" s="1"/>
  <c r="G12" i="23"/>
  <c r="H12" i="23" s="1"/>
  <c r="I12" i="23" s="1"/>
  <c r="J12" i="23" s="1"/>
  <c r="K12" i="23" s="1"/>
  <c r="L12" i="23" s="1"/>
  <c r="M12" i="23" s="1"/>
  <c r="N12" i="23" s="1"/>
  <c r="O12" i="23" s="1"/>
  <c r="P12" i="23" s="1"/>
  <c r="Q12" i="23" s="1"/>
  <c r="R12" i="23" s="1"/>
  <c r="S12" i="23" s="1"/>
  <c r="T12" i="23" s="1"/>
  <c r="U12" i="23" s="1"/>
  <c r="V12" i="23" s="1"/>
  <c r="W12" i="23" s="1"/>
  <c r="X12" i="23" s="1"/>
  <c r="Y12" i="23" s="1"/>
  <c r="Z12" i="23" s="1"/>
  <c r="AA12" i="23" s="1"/>
  <c r="AB12" i="23" s="1"/>
  <c r="AC12" i="23" s="1"/>
  <c r="AD12" i="23" s="1"/>
  <c r="AE12" i="23" s="1"/>
  <c r="F33" i="25"/>
  <c r="G33" i="25" s="1"/>
  <c r="H33" i="25" s="1"/>
  <c r="I33" i="25" s="1"/>
  <c r="J33" i="25" s="1"/>
  <c r="K33" i="25" s="1"/>
  <c r="L33" i="25" s="1"/>
  <c r="M33" i="25" s="1"/>
  <c r="N33" i="25" s="1"/>
  <c r="O33" i="25" s="1"/>
  <c r="P33" i="25" s="1"/>
  <c r="Q33" i="25" s="1"/>
  <c r="R33" i="25" s="1"/>
  <c r="S33" i="25" s="1"/>
  <c r="T33" i="25" s="1"/>
  <c r="U33" i="25" s="1"/>
  <c r="V33" i="25" s="1"/>
  <c r="W33" i="25" s="1"/>
  <c r="X33" i="25" s="1"/>
  <c r="Y33" i="25" s="1"/>
  <c r="Z33" i="25" s="1"/>
  <c r="AA33" i="25" s="1"/>
  <c r="AB33" i="25" s="1"/>
  <c r="AC33" i="25" s="1"/>
  <c r="AD33" i="25" s="1"/>
  <c r="AE33" i="25" s="1"/>
  <c r="G12" i="25"/>
  <c r="H12" i="25" s="1"/>
  <c r="I12" i="25" s="1"/>
  <c r="J12" i="25" s="1"/>
  <c r="K12" i="25" s="1"/>
  <c r="L12" i="25" s="1"/>
  <c r="M12" i="25" s="1"/>
  <c r="N12" i="25" s="1"/>
  <c r="O12" i="25" s="1"/>
  <c r="P12" i="25" s="1"/>
  <c r="Q12" i="25" s="1"/>
  <c r="R12" i="25" s="1"/>
  <c r="S12" i="25" s="1"/>
  <c r="T12" i="25" s="1"/>
  <c r="U12" i="25" s="1"/>
  <c r="V12" i="25" s="1"/>
  <c r="W12" i="25" s="1"/>
  <c r="X12" i="25" s="1"/>
  <c r="Y12" i="25" s="1"/>
  <c r="Z12" i="25" s="1"/>
  <c r="AA12" i="25" s="1"/>
  <c r="AB12" i="25" s="1"/>
  <c r="AC12" i="25" s="1"/>
  <c r="AD12" i="25" s="1"/>
  <c r="AE12" i="25" s="1"/>
  <c r="F33" i="24"/>
  <c r="G33" i="24" s="1"/>
  <c r="H33" i="24" s="1"/>
  <c r="I33" i="24" s="1"/>
  <c r="J33" i="24" s="1"/>
  <c r="K33" i="24" s="1"/>
  <c r="L33" i="24" s="1"/>
  <c r="M33" i="24" s="1"/>
  <c r="N33" i="24" s="1"/>
  <c r="O33" i="24" s="1"/>
  <c r="P33" i="24" s="1"/>
  <c r="Q33" i="24" s="1"/>
  <c r="R33" i="24" s="1"/>
  <c r="S33" i="24" s="1"/>
  <c r="T33" i="24" s="1"/>
  <c r="U33" i="24" s="1"/>
  <c r="V33" i="24" s="1"/>
  <c r="W33" i="24" s="1"/>
  <c r="X33" i="24" s="1"/>
  <c r="Y33" i="24" s="1"/>
  <c r="Z33" i="24" s="1"/>
  <c r="AA33" i="24" s="1"/>
  <c r="AB33" i="24" s="1"/>
  <c r="AC33" i="24" s="1"/>
  <c r="AD33" i="24" s="1"/>
  <c r="AE33" i="24" s="1"/>
  <c r="G12" i="24"/>
  <c r="H12" i="24" s="1"/>
  <c r="I12" i="24" s="1"/>
  <c r="J12" i="24" s="1"/>
  <c r="K12" i="24" s="1"/>
  <c r="L12" i="24" s="1"/>
  <c r="M12" i="24" s="1"/>
  <c r="N12" i="24" s="1"/>
  <c r="O12" i="24" s="1"/>
  <c r="P12" i="24" s="1"/>
  <c r="Q12" i="24" s="1"/>
  <c r="R12" i="24" s="1"/>
  <c r="S12" i="24" s="1"/>
  <c r="T12" i="24" s="1"/>
  <c r="U12" i="24" s="1"/>
  <c r="V12" i="24" s="1"/>
  <c r="W12" i="24" s="1"/>
  <c r="X12" i="24" s="1"/>
  <c r="Y12" i="24" s="1"/>
  <c r="Z12" i="24" s="1"/>
  <c r="AA12" i="24" s="1"/>
  <c r="AB12" i="24" s="1"/>
  <c r="AC12" i="24" s="1"/>
  <c r="AD12" i="24" s="1"/>
  <c r="AE12" i="24" s="1"/>
  <c r="F33" i="27"/>
  <c r="G33" i="27" s="1"/>
  <c r="H33" i="27" s="1"/>
  <c r="I33" i="27" s="1"/>
  <c r="J33" i="27" s="1"/>
  <c r="K33" i="27" s="1"/>
  <c r="L33" i="27" s="1"/>
  <c r="M33" i="27" s="1"/>
  <c r="N33" i="27" s="1"/>
  <c r="O33" i="27" s="1"/>
  <c r="P33" i="27" s="1"/>
  <c r="Q33" i="27" s="1"/>
  <c r="R33" i="27" s="1"/>
  <c r="S33" i="27" s="1"/>
  <c r="T33" i="27" s="1"/>
  <c r="U33" i="27" s="1"/>
  <c r="V33" i="27" s="1"/>
  <c r="W33" i="27" s="1"/>
  <c r="X33" i="27" s="1"/>
  <c r="Y33" i="27" s="1"/>
  <c r="Z33" i="27" s="1"/>
  <c r="AA33" i="27" s="1"/>
  <c r="AB33" i="27" s="1"/>
  <c r="AC33" i="27" s="1"/>
  <c r="AD33" i="27" s="1"/>
  <c r="AE33" i="27" s="1"/>
  <c r="G12" i="27"/>
  <c r="H12" i="27" s="1"/>
  <c r="I12" i="27" s="1"/>
  <c r="J12" i="27" s="1"/>
  <c r="K12" i="27" s="1"/>
  <c r="L12" i="27" s="1"/>
  <c r="M12" i="27" s="1"/>
  <c r="N12" i="27" s="1"/>
  <c r="O12" i="27" s="1"/>
  <c r="P12" i="27" s="1"/>
  <c r="Q12" i="27" s="1"/>
  <c r="R12" i="27" s="1"/>
  <c r="S12" i="27" s="1"/>
  <c r="T12" i="27" s="1"/>
  <c r="U12" i="27" s="1"/>
  <c r="V12" i="27" s="1"/>
  <c r="W12" i="27" s="1"/>
  <c r="X12" i="27" s="1"/>
  <c r="Y12" i="27" s="1"/>
  <c r="Z12" i="27" s="1"/>
  <c r="AA12" i="27" s="1"/>
  <c r="AB12" i="27" s="1"/>
  <c r="AC12" i="27" s="1"/>
  <c r="AD12" i="27" s="1"/>
  <c r="AE12" i="27" s="1"/>
  <c r="E1" i="27"/>
  <c r="B8" i="39" s="1"/>
  <c r="AF9" i="26"/>
  <c r="W11" i="26" s="1"/>
  <c r="W13" i="26" s="1"/>
  <c r="W14" i="26" s="1"/>
  <c r="W15" i="26" s="1"/>
  <c r="AY15" i="26" s="1"/>
  <c r="G12" i="22"/>
  <c r="H12" i="22" s="1"/>
  <c r="I12" i="22" s="1"/>
  <c r="J12" i="22" s="1"/>
  <c r="K12" i="22" s="1"/>
  <c r="L12" i="22" s="1"/>
  <c r="M12" i="22" s="1"/>
  <c r="N12" i="22" s="1"/>
  <c r="O12" i="22" s="1"/>
  <c r="P12" i="22" s="1"/>
  <c r="Q12" i="22" s="1"/>
  <c r="R12" i="22" s="1"/>
  <c r="S12" i="22" s="1"/>
  <c r="T12" i="22" s="1"/>
  <c r="U12" i="22" s="1"/>
  <c r="V12" i="22" s="1"/>
  <c r="W12" i="22" s="1"/>
  <c r="X12" i="22" s="1"/>
  <c r="Y12" i="22" s="1"/>
  <c r="Z12" i="22" s="1"/>
  <c r="AA12" i="22" s="1"/>
  <c r="AB12" i="22" s="1"/>
  <c r="AC12" i="22" s="1"/>
  <c r="AD12" i="22" s="1"/>
  <c r="AE12" i="22" s="1"/>
  <c r="F33" i="22"/>
  <c r="G33" i="22" s="1"/>
  <c r="H33" i="22" s="1"/>
  <c r="I33" i="22" s="1"/>
  <c r="J33" i="22" s="1"/>
  <c r="K33" i="22" s="1"/>
  <c r="L33" i="22" s="1"/>
  <c r="M33" i="22" s="1"/>
  <c r="N33" i="22" s="1"/>
  <c r="O33" i="22" s="1"/>
  <c r="P33" i="22" s="1"/>
  <c r="Q33" i="22" s="1"/>
  <c r="R33" i="22" s="1"/>
  <c r="S33" i="22" s="1"/>
  <c r="T33" i="22" s="1"/>
  <c r="U33" i="22" s="1"/>
  <c r="V33" i="22" s="1"/>
  <c r="W33" i="22" s="1"/>
  <c r="X33" i="22" s="1"/>
  <c r="Y33" i="22" s="1"/>
  <c r="Z33" i="22" s="1"/>
  <c r="AA33" i="22" s="1"/>
  <c r="AB33" i="22" s="1"/>
  <c r="AC33" i="22" s="1"/>
  <c r="AD33" i="22" s="1"/>
  <c r="AE33" i="22" s="1"/>
  <c r="L11" i="25"/>
  <c r="Y11" i="25"/>
  <c r="Y13" i="25" s="1"/>
  <c r="AD11" i="25"/>
  <c r="AD13" i="25" s="1"/>
  <c r="AD14" i="25" s="1"/>
  <c r="AD15" i="25" s="1"/>
  <c r="BF15" i="25" s="1"/>
  <c r="AH7" i="23"/>
  <c r="P11" i="25"/>
  <c r="P13" i="25" s="1"/>
  <c r="T11" i="25"/>
  <c r="T13" i="25" s="1"/>
  <c r="V11" i="25"/>
  <c r="AE11" i="25"/>
  <c r="G11" i="25"/>
  <c r="U11" i="25"/>
  <c r="U13" i="25" s="1"/>
  <c r="K11" i="25"/>
  <c r="K13" i="25" s="1"/>
  <c r="Q11" i="28"/>
  <c r="T11" i="28"/>
  <c r="I11" i="28"/>
  <c r="AB11" i="28"/>
  <c r="N11" i="25"/>
  <c r="M11" i="25"/>
  <c r="M13" i="25" s="1"/>
  <c r="M14" i="25" s="1"/>
  <c r="M15" i="25" s="1"/>
  <c r="AO15" i="25" s="1"/>
  <c r="AA11" i="25"/>
  <c r="AA13" i="25" s="1"/>
  <c r="Q11" i="25"/>
  <c r="AC11" i="28"/>
  <c r="AC13" i="28" s="1"/>
  <c r="W11" i="28"/>
  <c r="W13" i="28" s="1"/>
  <c r="O11" i="28"/>
  <c r="O13" i="28" s="1"/>
  <c r="O14" i="28" s="1"/>
  <c r="O15" i="28" s="1"/>
  <c r="AQ15" i="28" s="1"/>
  <c r="M11" i="28"/>
  <c r="AE11" i="28"/>
  <c r="AA11" i="28"/>
  <c r="H11" i="25"/>
  <c r="I11" i="25"/>
  <c r="I13" i="25" s="1"/>
  <c r="I14" i="25" s="1"/>
  <c r="I15" i="25" s="1"/>
  <c r="AK15" i="25" s="1"/>
  <c r="Z11" i="28"/>
  <c r="R11" i="25"/>
  <c r="S11" i="25"/>
  <c r="J11" i="25"/>
  <c r="W11" i="25"/>
  <c r="W13" i="25" s="1"/>
  <c r="W14" i="25" s="1"/>
  <c r="W15" i="25" s="1"/>
  <c r="AY15" i="25" s="1"/>
  <c r="S11" i="28"/>
  <c r="S13" i="28" s="1"/>
  <c r="S14" i="28" s="1"/>
  <c r="S15" i="28" s="1"/>
  <c r="AU15" i="28" s="1"/>
  <c r="F11" i="28"/>
  <c r="U11" i="28"/>
  <c r="L11" i="28"/>
  <c r="L13" i="28" s="1"/>
  <c r="F11" i="25"/>
  <c r="F13" i="25" s="1"/>
  <c r="AB11" i="25"/>
  <c r="Y11" i="28"/>
  <c r="R11" i="28"/>
  <c r="R13" i="28" s="1"/>
  <c r="J11" i="28"/>
  <c r="J13" i="28" s="1"/>
  <c r="Z11" i="25"/>
  <c r="X11" i="25"/>
  <c r="O11" i="25"/>
  <c r="O13" i="25" s="1"/>
  <c r="N11" i="28"/>
  <c r="N13" i="28" s="1"/>
  <c r="N14" i="28" s="1"/>
  <c r="N15" i="28" s="1"/>
  <c r="AP15" i="28" s="1"/>
  <c r="H11" i="28"/>
  <c r="X11" i="28"/>
  <c r="V11" i="28"/>
  <c r="G11" i="28"/>
  <c r="G13" i="28" s="1"/>
  <c r="G14" i="28" s="1"/>
  <c r="G15" i="28" s="1"/>
  <c r="AI15" i="28" s="1"/>
  <c r="K11" i="28"/>
  <c r="K13" i="28" s="1"/>
  <c r="AD11" i="28"/>
  <c r="P13" i="28"/>
  <c r="P14" i="28" s="1"/>
  <c r="P15" i="28" s="1"/>
  <c r="AR15" i="28" s="1"/>
  <c r="N13" i="27"/>
  <c r="N14" i="27" s="1"/>
  <c r="N15" i="27" s="1"/>
  <c r="AP15" i="27" s="1"/>
  <c r="AC13" i="25"/>
  <c r="AC14" i="25" s="1"/>
  <c r="AC15" i="25" s="1"/>
  <c r="BE15" i="25" s="1"/>
  <c r="AB13" i="23"/>
  <c r="AB14" i="23" s="1"/>
  <c r="AB15" i="23" s="1"/>
  <c r="BD15" i="23" s="1"/>
  <c r="D23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U23" i="38" l="1"/>
  <c r="BB23" i="36"/>
  <c r="BF23" i="36"/>
  <c r="AY23" i="36"/>
  <c r="AN23" i="38"/>
  <c r="AW23" i="38"/>
  <c r="AM23" i="38"/>
  <c r="AQ23" i="36"/>
  <c r="BF23" i="38"/>
  <c r="AO23" i="38"/>
  <c r="AJ23" i="38"/>
  <c r="AK23" i="38"/>
  <c r="AL23" i="38"/>
  <c r="AY23" i="38"/>
  <c r="Q28" i="38"/>
  <c r="Q29" i="38" s="1"/>
  <c r="Q30" i="38" s="1"/>
  <c r="AS30" i="38" s="1"/>
  <c r="I28" i="38"/>
  <c r="I29" i="38" s="1"/>
  <c r="I30" i="38" s="1"/>
  <c r="AK30" i="38" s="1"/>
  <c r="T28" i="38"/>
  <c r="T29" i="38" s="1"/>
  <c r="T30" i="38" s="1"/>
  <c r="AV30" i="38" s="1"/>
  <c r="AD28" i="38"/>
  <c r="AD29" i="38" s="1"/>
  <c r="AD30" i="38" s="1"/>
  <c r="BF30" i="38" s="1"/>
  <c r="AT23" i="38"/>
  <c r="BD23" i="38"/>
  <c r="BA23" i="38"/>
  <c r="AX23" i="38"/>
  <c r="Y28" i="38"/>
  <c r="Y29" i="38" s="1"/>
  <c r="Y30" i="38" s="1"/>
  <c r="BA30" i="38" s="1"/>
  <c r="AB28" i="38"/>
  <c r="AB29" i="38" s="1"/>
  <c r="AB30" i="38" s="1"/>
  <c r="BD30" i="38" s="1"/>
  <c r="G28" i="38"/>
  <c r="G29" i="38" s="1"/>
  <c r="G30" i="38" s="1"/>
  <c r="AI30" i="38" s="1"/>
  <c r="BC23" i="38"/>
  <c r="AI23" i="38"/>
  <c r="BE23" i="38"/>
  <c r="F28" i="38"/>
  <c r="F29" i="38" s="1"/>
  <c r="F30" i="38" s="1"/>
  <c r="R28" i="38"/>
  <c r="R29" i="38" s="1"/>
  <c r="R30" i="38" s="1"/>
  <c r="AT30" i="38" s="1"/>
  <c r="L28" i="38"/>
  <c r="L29" i="38" s="1"/>
  <c r="L30" i="38" s="1"/>
  <c r="AN30" i="38" s="1"/>
  <c r="V28" i="38"/>
  <c r="V29" i="38" s="1"/>
  <c r="V30" i="38" s="1"/>
  <c r="AX30" i="38" s="1"/>
  <c r="AP23" i="36"/>
  <c r="AP23" i="38"/>
  <c r="J28" i="38"/>
  <c r="J29" i="38" s="1"/>
  <c r="J30" i="38" s="1"/>
  <c r="AL30" i="38" s="1"/>
  <c r="M28" i="38"/>
  <c r="M29" i="38" s="1"/>
  <c r="M30" i="38" s="1"/>
  <c r="AO30" i="38" s="1"/>
  <c r="O28" i="38"/>
  <c r="O29" i="38" s="1"/>
  <c r="O30" i="38" s="1"/>
  <c r="AQ30" i="38" s="1"/>
  <c r="AZ23" i="38"/>
  <c r="AH23" i="38"/>
  <c r="BG23" i="38"/>
  <c r="H28" i="38"/>
  <c r="H29" i="38" s="1"/>
  <c r="H30" i="38" s="1"/>
  <c r="AJ30" i="38" s="1"/>
  <c r="AA28" i="38"/>
  <c r="AA29" i="38" s="1"/>
  <c r="AA30" i="38" s="1"/>
  <c r="BC30" i="38" s="1"/>
  <c r="P28" i="38"/>
  <c r="P29" i="38" s="1"/>
  <c r="P30" i="38" s="1"/>
  <c r="AR30" i="38" s="1"/>
  <c r="N28" i="38"/>
  <c r="N29" i="38" s="1"/>
  <c r="N30" i="38" s="1"/>
  <c r="AP30" i="38" s="1"/>
  <c r="S28" i="38"/>
  <c r="S29" i="38" s="1"/>
  <c r="S30" i="38" s="1"/>
  <c r="AU30" i="38" s="1"/>
  <c r="Z28" i="38"/>
  <c r="Z29" i="38" s="1"/>
  <c r="Z30" i="38" s="1"/>
  <c r="BB30" i="38" s="1"/>
  <c r="U28" i="38"/>
  <c r="U29" i="38" s="1"/>
  <c r="U30" i="38" s="1"/>
  <c r="AW30" i="38" s="1"/>
  <c r="W28" i="38"/>
  <c r="W29" i="38" s="1"/>
  <c r="W30" i="38" s="1"/>
  <c r="AY30" i="38" s="1"/>
  <c r="AS23" i="38"/>
  <c r="AQ23" i="38"/>
  <c r="BB23" i="38"/>
  <c r="AN23" i="36"/>
  <c r="X28" i="38"/>
  <c r="X29" i="38" s="1"/>
  <c r="X30" i="38" s="1"/>
  <c r="AZ30" i="38" s="1"/>
  <c r="K28" i="38"/>
  <c r="K29" i="38" s="1"/>
  <c r="K30" i="38" s="1"/>
  <c r="AM30" i="38" s="1"/>
  <c r="AC28" i="38"/>
  <c r="AC29" i="38" s="1"/>
  <c r="AC30" i="38" s="1"/>
  <c r="BE30" i="38" s="1"/>
  <c r="AE28" i="38"/>
  <c r="AE29" i="38" s="1"/>
  <c r="AE30" i="38" s="1"/>
  <c r="BG30" i="38" s="1"/>
  <c r="AV23" i="38"/>
  <c r="AR23" i="38"/>
  <c r="AL29" i="37"/>
  <c r="AL28" i="37"/>
  <c r="AI29" i="37"/>
  <c r="AI28" i="37"/>
  <c r="AM28" i="37"/>
  <c r="AM29" i="37"/>
  <c r="BE29" i="37"/>
  <c r="BE28" i="37"/>
  <c r="AT29" i="37"/>
  <c r="AT28" i="37"/>
  <c r="AV28" i="37"/>
  <c r="AV29" i="37"/>
  <c r="BC29" i="37"/>
  <c r="BC28" i="37"/>
  <c r="AW29" i="37"/>
  <c r="AW28" i="37"/>
  <c r="BA28" i="37"/>
  <c r="BA29" i="37"/>
  <c r="AN28" i="37"/>
  <c r="AN29" i="37"/>
  <c r="AQ29" i="37"/>
  <c r="AQ28" i="37"/>
  <c r="AS28" i="37"/>
  <c r="AS29" i="37"/>
  <c r="AJ29" i="37"/>
  <c r="AJ28" i="37"/>
  <c r="BF28" i="37"/>
  <c r="BF29" i="37"/>
  <c r="BD28" i="37"/>
  <c r="BD29" i="37"/>
  <c r="AZ29" i="37"/>
  <c r="AZ28" i="37"/>
  <c r="AR29" i="37"/>
  <c r="AR28" i="37"/>
  <c r="AO29" i="37"/>
  <c r="AO28" i="37"/>
  <c r="AK28" i="37"/>
  <c r="AK29" i="37"/>
  <c r="AU29" i="37"/>
  <c r="AU28" i="37"/>
  <c r="AX28" i="37"/>
  <c r="AX29" i="37"/>
  <c r="AP28" i="37"/>
  <c r="AP29" i="37"/>
  <c r="AF30" i="37"/>
  <c r="AH30" i="37"/>
  <c r="AR23" i="36"/>
  <c r="BG29" i="37"/>
  <c r="BG28" i="37"/>
  <c r="AY29" i="37"/>
  <c r="AY28" i="37"/>
  <c r="BB29" i="37"/>
  <c r="BB28" i="37"/>
  <c r="AX23" i="36"/>
  <c r="BG23" i="36"/>
  <c r="BC23" i="36"/>
  <c r="AJ23" i="36"/>
  <c r="AV23" i="36"/>
  <c r="AU23" i="36"/>
  <c r="AK23" i="36"/>
  <c r="AH23" i="36"/>
  <c r="AW23" i="36"/>
  <c r="AL23" i="36"/>
  <c r="BA23" i="36"/>
  <c r="AM23" i="36"/>
  <c r="AI23" i="36"/>
  <c r="AS23" i="36"/>
  <c r="BE23" i="36"/>
  <c r="AZ23" i="36"/>
  <c r="BD23" i="36"/>
  <c r="AE28" i="36"/>
  <c r="AE29" i="36" s="1"/>
  <c r="AE30" i="36" s="1"/>
  <c r="BG30" i="36" s="1"/>
  <c r="Q28" i="36"/>
  <c r="Q29" i="36" s="1"/>
  <c r="Q30" i="36" s="1"/>
  <c r="AS30" i="36" s="1"/>
  <c r="M28" i="36"/>
  <c r="M29" i="36" s="1"/>
  <c r="M30" i="36" s="1"/>
  <c r="AO30" i="36" s="1"/>
  <c r="T28" i="36"/>
  <c r="T29" i="36" s="1"/>
  <c r="T30" i="36" s="1"/>
  <c r="AV30" i="36" s="1"/>
  <c r="J28" i="36"/>
  <c r="J29" i="36" s="1"/>
  <c r="J30" i="36" s="1"/>
  <c r="AL30" i="36" s="1"/>
  <c r="AB28" i="36"/>
  <c r="AB29" i="36" s="1"/>
  <c r="AB30" i="36" s="1"/>
  <c r="BD30" i="36" s="1"/>
  <c r="U28" i="36"/>
  <c r="U29" i="36" s="1"/>
  <c r="U30" i="36" s="1"/>
  <c r="AW30" i="36" s="1"/>
  <c r="V28" i="36"/>
  <c r="V29" i="36" s="1"/>
  <c r="V30" i="36" s="1"/>
  <c r="AX30" i="36" s="1"/>
  <c r="L28" i="36"/>
  <c r="L29" i="36" s="1"/>
  <c r="L30" i="36" s="1"/>
  <c r="AN30" i="36" s="1"/>
  <c r="Y28" i="36"/>
  <c r="Y29" i="36" s="1"/>
  <c r="Y30" i="36" s="1"/>
  <c r="BA30" i="36" s="1"/>
  <c r="R28" i="36"/>
  <c r="R29" i="36" s="1"/>
  <c r="R30" i="36" s="1"/>
  <c r="AT30" i="36" s="1"/>
  <c r="Z28" i="36"/>
  <c r="Z29" i="36" s="1"/>
  <c r="Z30" i="36" s="1"/>
  <c r="BB30" i="36" s="1"/>
  <c r="O28" i="36"/>
  <c r="O29" i="36" s="1"/>
  <c r="O30" i="36" s="1"/>
  <c r="AQ30" i="36" s="1"/>
  <c r="H28" i="36"/>
  <c r="H29" i="36" s="1"/>
  <c r="H30" i="36" s="1"/>
  <c r="AJ30" i="36" s="1"/>
  <c r="N28" i="36"/>
  <c r="N29" i="36" s="1"/>
  <c r="N30" i="36" s="1"/>
  <c r="AP30" i="36" s="1"/>
  <c r="F28" i="36"/>
  <c r="F29" i="36" s="1"/>
  <c r="F30" i="36" s="1"/>
  <c r="AD28" i="36"/>
  <c r="AD29" i="36" s="1"/>
  <c r="AD30" i="36" s="1"/>
  <c r="BF30" i="36" s="1"/>
  <c r="X28" i="36"/>
  <c r="X29" i="36" s="1"/>
  <c r="X30" i="36" s="1"/>
  <c r="AZ30" i="36" s="1"/>
  <c r="S28" i="36"/>
  <c r="S29" i="36" s="1"/>
  <c r="S30" i="36" s="1"/>
  <c r="AU30" i="36" s="1"/>
  <c r="I28" i="36"/>
  <c r="I29" i="36" s="1"/>
  <c r="I30" i="36" s="1"/>
  <c r="AK30" i="36" s="1"/>
  <c r="G28" i="36"/>
  <c r="G29" i="36" s="1"/>
  <c r="G30" i="36" s="1"/>
  <c r="AI30" i="36" s="1"/>
  <c r="AA28" i="36"/>
  <c r="AA29" i="36" s="1"/>
  <c r="AA30" i="36" s="1"/>
  <c r="BC30" i="36" s="1"/>
  <c r="AC28" i="36"/>
  <c r="AC29" i="36" s="1"/>
  <c r="AC30" i="36" s="1"/>
  <c r="BE30" i="36" s="1"/>
  <c r="W28" i="36"/>
  <c r="W29" i="36" s="1"/>
  <c r="W30" i="36" s="1"/>
  <c r="AY30" i="36" s="1"/>
  <c r="P28" i="36"/>
  <c r="P29" i="36" s="1"/>
  <c r="P30" i="36" s="1"/>
  <c r="AR30" i="36" s="1"/>
  <c r="K28" i="36"/>
  <c r="K29" i="36" s="1"/>
  <c r="K30" i="36" s="1"/>
  <c r="AM30" i="36" s="1"/>
  <c r="AT23" i="36"/>
  <c r="AO23" i="36"/>
  <c r="Q69" i="31"/>
  <c r="AQ69" i="31"/>
  <c r="AQ68" i="31"/>
  <c r="Q77" i="31"/>
  <c r="AQ77" i="31"/>
  <c r="AQ76" i="31"/>
  <c r="Q73" i="31"/>
  <c r="AQ73" i="31"/>
  <c r="AQ72" i="31"/>
  <c r="P53" i="31"/>
  <c r="AP53" i="31"/>
  <c r="AP52" i="31"/>
  <c r="P59" i="31"/>
  <c r="AP59" i="31"/>
  <c r="AP58" i="31"/>
  <c r="P35" i="31"/>
  <c r="AP34" i="31"/>
  <c r="AP35" i="31"/>
  <c r="P37" i="31"/>
  <c r="AP36" i="31"/>
  <c r="AP37" i="31"/>
  <c r="P57" i="31"/>
  <c r="AP57" i="31"/>
  <c r="AP56" i="31"/>
  <c r="R55" i="31"/>
  <c r="AR54" i="31"/>
  <c r="AR55" i="31"/>
  <c r="Q49" i="31"/>
  <c r="AQ49" i="31"/>
  <c r="AQ48" i="31"/>
  <c r="R45" i="31"/>
  <c r="AR44" i="31"/>
  <c r="AR45" i="31"/>
  <c r="Q61" i="31"/>
  <c r="AQ61" i="31"/>
  <c r="AQ60" i="31"/>
  <c r="P51" i="31"/>
  <c r="AP50" i="31"/>
  <c r="AP51" i="31"/>
  <c r="R41" i="31"/>
  <c r="AR40" i="31"/>
  <c r="AR41" i="31"/>
  <c r="P67" i="31"/>
  <c r="AP66" i="31"/>
  <c r="AP67" i="31"/>
  <c r="Q39" i="31"/>
  <c r="AQ39" i="31"/>
  <c r="AQ38" i="31"/>
  <c r="P63" i="31"/>
  <c r="AP62" i="31"/>
  <c r="AP63" i="31"/>
  <c r="P65" i="31"/>
  <c r="AP65" i="31"/>
  <c r="AP64" i="31"/>
  <c r="P43" i="31"/>
  <c r="AP43" i="31"/>
  <c r="AP42" i="31"/>
  <c r="P11" i="29"/>
  <c r="P13" i="29" s="1"/>
  <c r="P14" i="29" s="1"/>
  <c r="P15" i="29" s="1"/>
  <c r="AR15" i="29" s="1"/>
  <c r="AR13" i="29" s="1"/>
  <c r="K11" i="29"/>
  <c r="K13" i="29" s="1"/>
  <c r="K14" i="29" s="1"/>
  <c r="K15" i="29" s="1"/>
  <c r="AM15" i="29" s="1"/>
  <c r="AM13" i="29" s="1"/>
  <c r="I11" i="29"/>
  <c r="I13" i="29" s="1"/>
  <c r="I14" i="29" s="1"/>
  <c r="I15" i="29" s="1"/>
  <c r="AK15" i="29" s="1"/>
  <c r="AK13" i="29" s="1"/>
  <c r="O11" i="29"/>
  <c r="O13" i="29" s="1"/>
  <c r="O14" i="29" s="1"/>
  <c r="O15" i="29" s="1"/>
  <c r="AQ15" i="29" s="1"/>
  <c r="AQ14" i="29" s="1"/>
  <c r="V11" i="29"/>
  <c r="V13" i="29" s="1"/>
  <c r="V14" i="29" s="1"/>
  <c r="V15" i="29" s="1"/>
  <c r="AX15" i="29" s="1"/>
  <c r="AX13" i="29" s="1"/>
  <c r="J11" i="29"/>
  <c r="J13" i="29" s="1"/>
  <c r="J14" i="29" s="1"/>
  <c r="J15" i="29" s="1"/>
  <c r="AL15" i="29" s="1"/>
  <c r="Z11" i="29"/>
  <c r="Z13" i="29" s="1"/>
  <c r="Z14" i="29" s="1"/>
  <c r="Z15" i="29" s="1"/>
  <c r="BB15" i="29" s="1"/>
  <c r="BB13" i="29" s="1"/>
  <c r="AC11" i="29"/>
  <c r="AC13" i="29" s="1"/>
  <c r="AC14" i="29" s="1"/>
  <c r="AC15" i="29" s="1"/>
  <c r="BE15" i="29" s="1"/>
  <c r="BE14" i="29" s="1"/>
  <c r="L11" i="29"/>
  <c r="L13" i="29" s="1"/>
  <c r="L14" i="29" s="1"/>
  <c r="L15" i="29" s="1"/>
  <c r="AN15" i="29" s="1"/>
  <c r="AN14" i="29" s="1"/>
  <c r="AB11" i="29"/>
  <c r="AB13" i="29" s="1"/>
  <c r="AB14" i="29" s="1"/>
  <c r="AB15" i="29" s="1"/>
  <c r="BD15" i="29" s="1"/>
  <c r="BD14" i="29" s="1"/>
  <c r="G11" i="29"/>
  <c r="G13" i="29" s="1"/>
  <c r="G14" i="29" s="1"/>
  <c r="G15" i="29" s="1"/>
  <c r="AI15" i="29" s="1"/>
  <c r="AI13" i="29" s="1"/>
  <c r="H11" i="29"/>
  <c r="H13" i="29" s="1"/>
  <c r="Q11" i="29"/>
  <c r="Q13" i="29" s="1"/>
  <c r="Q14" i="29" s="1"/>
  <c r="Q15" i="29" s="1"/>
  <c r="AS15" i="29" s="1"/>
  <c r="AS14" i="29" s="1"/>
  <c r="T11" i="29"/>
  <c r="T13" i="29" s="1"/>
  <c r="T14" i="29" s="1"/>
  <c r="T15" i="29" s="1"/>
  <c r="AV15" i="29" s="1"/>
  <c r="AV13" i="29" s="1"/>
  <c r="R11" i="29"/>
  <c r="R13" i="29" s="1"/>
  <c r="R14" i="29" s="1"/>
  <c r="R15" i="29" s="1"/>
  <c r="AT15" i="29" s="1"/>
  <c r="AT14" i="29" s="1"/>
  <c r="F11" i="29"/>
  <c r="F13" i="29" s="1"/>
  <c r="S11" i="29"/>
  <c r="S13" i="29" s="1"/>
  <c r="S14" i="29" s="1"/>
  <c r="S15" i="29" s="1"/>
  <c r="AU15" i="29" s="1"/>
  <c r="AU13" i="29" s="1"/>
  <c r="AE11" i="29"/>
  <c r="AE13" i="29" s="1"/>
  <c r="AE14" i="29" s="1"/>
  <c r="AE15" i="29" s="1"/>
  <c r="BG15" i="29" s="1"/>
  <c r="N11" i="29"/>
  <c r="N13" i="29" s="1"/>
  <c r="N14" i="29" s="1"/>
  <c r="N15" i="29" s="1"/>
  <c r="AP15" i="29" s="1"/>
  <c r="AP14" i="29" s="1"/>
  <c r="Y11" i="29"/>
  <c r="Y13" i="29" s="1"/>
  <c r="Y14" i="29" s="1"/>
  <c r="Y15" i="29" s="1"/>
  <c r="BA15" i="29" s="1"/>
  <c r="BA13" i="29" s="1"/>
  <c r="X11" i="29"/>
  <c r="X13" i="29" s="1"/>
  <c r="X14" i="29" s="1"/>
  <c r="X15" i="29" s="1"/>
  <c r="AZ15" i="29" s="1"/>
  <c r="AZ14" i="29" s="1"/>
  <c r="AA11" i="29"/>
  <c r="AA13" i="29" s="1"/>
  <c r="AA14" i="29" s="1"/>
  <c r="AA15" i="29" s="1"/>
  <c r="BC15" i="29" s="1"/>
  <c r="BC14" i="29" s="1"/>
  <c r="U11" i="29"/>
  <c r="U13" i="29" s="1"/>
  <c r="W11" i="29"/>
  <c r="W13" i="29" s="1"/>
  <c r="W14" i="29" s="1"/>
  <c r="W15" i="29" s="1"/>
  <c r="AY15" i="29" s="1"/>
  <c r="AY14" i="29" s="1"/>
  <c r="M11" i="29"/>
  <c r="M13" i="29" s="1"/>
  <c r="M14" i="29" s="1"/>
  <c r="M15" i="29" s="1"/>
  <c r="AO15" i="29" s="1"/>
  <c r="AO13" i="29" s="1"/>
  <c r="AC14" i="27"/>
  <c r="AC15" i="27" s="1"/>
  <c r="BE15" i="27" s="1"/>
  <c r="BE14" i="27" s="1"/>
  <c r="X14" i="27"/>
  <c r="X15" i="27" s="1"/>
  <c r="AZ15" i="27" s="1"/>
  <c r="AZ13" i="27" s="1"/>
  <c r="I14" i="27"/>
  <c r="I15" i="27" s="1"/>
  <c r="AK15" i="27" s="1"/>
  <c r="AK14" i="27" s="1"/>
  <c r="T11" i="26"/>
  <c r="T13" i="26" s="1"/>
  <c r="T14" i="26" s="1"/>
  <c r="T15" i="26" s="1"/>
  <c r="AV15" i="26" s="1"/>
  <c r="G11" i="26"/>
  <c r="AA11" i="24"/>
  <c r="G13" i="27"/>
  <c r="G14" i="27" s="1"/>
  <c r="G15" i="27" s="1"/>
  <c r="AI15" i="27" s="1"/>
  <c r="Z11" i="24"/>
  <c r="Z13" i="24" s="1"/>
  <c r="Z14" i="24" s="1"/>
  <c r="Z15" i="24" s="1"/>
  <c r="BB15" i="24" s="1"/>
  <c r="BB13" i="24" s="1"/>
  <c r="AB11" i="24"/>
  <c r="R14" i="27"/>
  <c r="R15" i="27" s="1"/>
  <c r="AT15" i="27" s="1"/>
  <c r="AT14" i="27" s="1"/>
  <c r="K11" i="24"/>
  <c r="K13" i="24" s="1"/>
  <c r="K14" i="24" s="1"/>
  <c r="K15" i="24" s="1"/>
  <c r="AM15" i="24" s="1"/>
  <c r="AM13" i="24" s="1"/>
  <c r="U14" i="27"/>
  <c r="U15" i="27" s="1"/>
  <c r="AW15" i="27" s="1"/>
  <c r="AW14" i="27" s="1"/>
  <c r="AE13" i="27"/>
  <c r="AE14" i="27" s="1"/>
  <c r="AE15" i="27" s="1"/>
  <c r="BG15" i="27" s="1"/>
  <c r="AD13" i="27"/>
  <c r="AD14" i="27" s="1"/>
  <c r="AD15" i="27" s="1"/>
  <c r="BF15" i="27" s="1"/>
  <c r="BF13" i="27" s="1"/>
  <c r="V14" i="27"/>
  <c r="V15" i="27" s="1"/>
  <c r="AX15" i="27" s="1"/>
  <c r="AX13" i="27" s="1"/>
  <c r="T11" i="24"/>
  <c r="O11" i="24"/>
  <c r="O13" i="24" s="1"/>
  <c r="O14" i="24" s="1"/>
  <c r="O15" i="24" s="1"/>
  <c r="AQ15" i="24" s="1"/>
  <c r="AQ14" i="24" s="1"/>
  <c r="V11" i="24"/>
  <c r="I11" i="24"/>
  <c r="I13" i="24" s="1"/>
  <c r="I14" i="24" s="1"/>
  <c r="I15" i="24" s="1"/>
  <c r="AK15" i="24" s="1"/>
  <c r="AK13" i="24" s="1"/>
  <c r="N11" i="24"/>
  <c r="N13" i="24" s="1"/>
  <c r="N14" i="24" s="1"/>
  <c r="N15" i="24" s="1"/>
  <c r="AP15" i="24" s="1"/>
  <c r="AP14" i="24" s="1"/>
  <c r="G11" i="24"/>
  <c r="G13" i="24" s="1"/>
  <c r="Q11" i="24"/>
  <c r="Q13" i="24" s="1"/>
  <c r="Q14" i="24" s="1"/>
  <c r="Q15" i="24" s="1"/>
  <c r="AS15" i="24" s="1"/>
  <c r="AS13" i="24" s="1"/>
  <c r="S11" i="24"/>
  <c r="S13" i="24" s="1"/>
  <c r="U11" i="24"/>
  <c r="U13" i="24" s="1"/>
  <c r="U14" i="24" s="1"/>
  <c r="U15" i="24" s="1"/>
  <c r="AW15" i="24" s="1"/>
  <c r="AW14" i="24" s="1"/>
  <c r="L11" i="24"/>
  <c r="L13" i="24" s="1"/>
  <c r="R11" i="24"/>
  <c r="R13" i="24" s="1"/>
  <c r="R14" i="24" s="1"/>
  <c r="R15" i="24" s="1"/>
  <c r="AT15" i="24" s="1"/>
  <c r="AT14" i="24" s="1"/>
  <c r="Q11" i="26"/>
  <c r="Q13" i="26" s="1"/>
  <c r="M11" i="24"/>
  <c r="M13" i="24" s="1"/>
  <c r="M14" i="24" s="1"/>
  <c r="M15" i="24" s="1"/>
  <c r="AO15" i="24" s="1"/>
  <c r="AO13" i="24" s="1"/>
  <c r="AC11" i="24"/>
  <c r="AC13" i="24" s="1"/>
  <c r="AC14" i="24" s="1"/>
  <c r="AC15" i="24" s="1"/>
  <c r="BE15" i="24" s="1"/>
  <c r="BE14" i="24" s="1"/>
  <c r="F11" i="24"/>
  <c r="F13" i="24" s="1"/>
  <c r="F14" i="24" s="1"/>
  <c r="F15" i="24" s="1"/>
  <c r="AH15" i="24" s="1"/>
  <c r="P11" i="24"/>
  <c r="P13" i="24" s="1"/>
  <c r="P14" i="24" s="1"/>
  <c r="P15" i="24" s="1"/>
  <c r="AR15" i="24" s="1"/>
  <c r="AR14" i="24" s="1"/>
  <c r="J11" i="24"/>
  <c r="J13" i="24" s="1"/>
  <c r="J14" i="24" s="1"/>
  <c r="J15" i="24" s="1"/>
  <c r="AL15" i="24" s="1"/>
  <c r="AL14" i="24" s="1"/>
  <c r="AD11" i="24"/>
  <c r="AD13" i="24" s="1"/>
  <c r="AD14" i="24" s="1"/>
  <c r="AD15" i="24" s="1"/>
  <c r="BF15" i="24" s="1"/>
  <c r="BF13" i="24" s="1"/>
  <c r="AE11" i="24"/>
  <c r="AE13" i="24" s="1"/>
  <c r="X11" i="26"/>
  <c r="X13" i="26" s="1"/>
  <c r="X11" i="24"/>
  <c r="H11" i="24"/>
  <c r="H13" i="24" s="1"/>
  <c r="H14" i="24" s="1"/>
  <c r="H15" i="24" s="1"/>
  <c r="AJ15" i="24" s="1"/>
  <c r="AJ14" i="24" s="1"/>
  <c r="W11" i="24"/>
  <c r="W13" i="24" s="1"/>
  <c r="W14" i="24" s="1"/>
  <c r="W15" i="24" s="1"/>
  <c r="AY15" i="24" s="1"/>
  <c r="AY13" i="24" s="1"/>
  <c r="L11" i="26"/>
  <c r="U11" i="26"/>
  <c r="U13" i="26" s="1"/>
  <c r="U14" i="26" s="1"/>
  <c r="U15" i="26" s="1"/>
  <c r="AW15" i="26" s="1"/>
  <c r="AW14" i="26" s="1"/>
  <c r="AD11" i="26"/>
  <c r="AD13" i="26" s="1"/>
  <c r="O11" i="26"/>
  <c r="N11" i="26"/>
  <c r="N13" i="26" s="1"/>
  <c r="AA11" i="26"/>
  <c r="AA13" i="26" s="1"/>
  <c r="AA14" i="26" s="1"/>
  <c r="AA15" i="26" s="1"/>
  <c r="BC15" i="26" s="1"/>
  <c r="BC14" i="26" s="1"/>
  <c r="K11" i="26"/>
  <c r="K13" i="26" s="1"/>
  <c r="I11" i="26"/>
  <c r="I13" i="26" s="1"/>
  <c r="I14" i="26" s="1"/>
  <c r="I15" i="26" s="1"/>
  <c r="AK15" i="26" s="1"/>
  <c r="AK13" i="26" s="1"/>
  <c r="P11" i="26"/>
  <c r="P13" i="26" s="1"/>
  <c r="P14" i="26" s="1"/>
  <c r="P15" i="26" s="1"/>
  <c r="AR15" i="26" s="1"/>
  <c r="AC11" i="26"/>
  <c r="AC13" i="26" s="1"/>
  <c r="AC14" i="26" s="1"/>
  <c r="AC15" i="26" s="1"/>
  <c r="BE15" i="26" s="1"/>
  <c r="BE13" i="26" s="1"/>
  <c r="R11" i="26"/>
  <c r="R13" i="26" s="1"/>
  <c r="F11" i="26"/>
  <c r="V11" i="26"/>
  <c r="V13" i="26" s="1"/>
  <c r="AB11" i="26"/>
  <c r="AB13" i="26" s="1"/>
  <c r="AB14" i="26" s="1"/>
  <c r="AB15" i="26" s="1"/>
  <c r="BD15" i="26" s="1"/>
  <c r="BD14" i="26" s="1"/>
  <c r="J11" i="26"/>
  <c r="H11" i="26"/>
  <c r="H13" i="26" s="1"/>
  <c r="H14" i="26" s="1"/>
  <c r="H15" i="26" s="1"/>
  <c r="AJ15" i="26" s="1"/>
  <c r="AJ13" i="26" s="1"/>
  <c r="Z11" i="26"/>
  <c r="Z13" i="26" s="1"/>
  <c r="Z14" i="26" s="1"/>
  <c r="Z15" i="26" s="1"/>
  <c r="BB15" i="26" s="1"/>
  <c r="BB13" i="26" s="1"/>
  <c r="AE11" i="26"/>
  <c r="AE13" i="26" s="1"/>
  <c r="AE14" i="26" s="1"/>
  <c r="AE15" i="26" s="1"/>
  <c r="BG15" i="26" s="1"/>
  <c r="BG14" i="26" s="1"/>
  <c r="M11" i="26"/>
  <c r="M13" i="26" s="1"/>
  <c r="M14" i="26" s="1"/>
  <c r="M15" i="26" s="1"/>
  <c r="AO15" i="26" s="1"/>
  <c r="AO14" i="26" s="1"/>
  <c r="Y11" i="26"/>
  <c r="Y13" i="26" s="1"/>
  <c r="S11" i="26"/>
  <c r="S13" i="26" s="1"/>
  <c r="L13" i="25"/>
  <c r="L14" i="25" s="1"/>
  <c r="L15" i="25" s="1"/>
  <c r="AN15" i="25" s="1"/>
  <c r="Y14" i="25"/>
  <c r="Y15" i="25" s="1"/>
  <c r="BA15" i="25" s="1"/>
  <c r="BA14" i="25" s="1"/>
  <c r="AB13" i="28"/>
  <c r="AB14" i="28" s="1"/>
  <c r="AB15" i="28" s="1"/>
  <c r="BD15" i="28" s="1"/>
  <c r="BD13" i="28" s="1"/>
  <c r="G13" i="25"/>
  <c r="G14" i="25" s="1"/>
  <c r="G15" i="25" s="1"/>
  <c r="AI15" i="25" s="1"/>
  <c r="AI13" i="25" s="1"/>
  <c r="V13" i="28"/>
  <c r="V14" i="28" s="1"/>
  <c r="V15" i="28" s="1"/>
  <c r="AX15" i="28" s="1"/>
  <c r="T14" i="25"/>
  <c r="T15" i="25" s="1"/>
  <c r="AV15" i="25" s="1"/>
  <c r="AV14" i="25" s="1"/>
  <c r="S13" i="25"/>
  <c r="S14" i="25" s="1"/>
  <c r="S15" i="25" s="1"/>
  <c r="AU15" i="25" s="1"/>
  <c r="V13" i="25"/>
  <c r="V14" i="25" s="1"/>
  <c r="V15" i="25" s="1"/>
  <c r="AX15" i="25" s="1"/>
  <c r="J14" i="28"/>
  <c r="J15" i="28" s="1"/>
  <c r="AL15" i="28" s="1"/>
  <c r="AL14" i="28" s="1"/>
  <c r="X13" i="28"/>
  <c r="X14" i="28" s="1"/>
  <c r="X15" i="28" s="1"/>
  <c r="AZ15" i="28" s="1"/>
  <c r="W14" i="28"/>
  <c r="W15" i="28" s="1"/>
  <c r="AY15" i="28" s="1"/>
  <c r="K14" i="25"/>
  <c r="K15" i="25" s="1"/>
  <c r="AM15" i="25" s="1"/>
  <c r="AM14" i="25" s="1"/>
  <c r="AA13" i="28"/>
  <c r="AA14" i="28" s="1"/>
  <c r="AA15" i="28" s="1"/>
  <c r="BC15" i="28" s="1"/>
  <c r="P14" i="25"/>
  <c r="P15" i="25" s="1"/>
  <c r="AR15" i="25" s="1"/>
  <c r="AR14" i="25" s="1"/>
  <c r="R13" i="25"/>
  <c r="R14" i="25" s="1"/>
  <c r="R15" i="25" s="1"/>
  <c r="AT15" i="25" s="1"/>
  <c r="U13" i="28"/>
  <c r="U14" i="28" s="1"/>
  <c r="U15" i="28" s="1"/>
  <c r="AW15" i="28" s="1"/>
  <c r="M13" i="28"/>
  <c r="M14" i="28" s="1"/>
  <c r="M15" i="28" s="1"/>
  <c r="AO15" i="28" s="1"/>
  <c r="Q13" i="25"/>
  <c r="Q14" i="25" s="1"/>
  <c r="Q15" i="25" s="1"/>
  <c r="AS15" i="25" s="1"/>
  <c r="J13" i="25"/>
  <c r="J14" i="25" s="1"/>
  <c r="J15" i="25" s="1"/>
  <c r="AL15" i="25" s="1"/>
  <c r="AC14" i="28"/>
  <c r="AC15" i="28" s="1"/>
  <c r="BE15" i="28" s="1"/>
  <c r="BE14" i="28" s="1"/>
  <c r="F14" i="25"/>
  <c r="F15" i="25" s="1"/>
  <c r="AH15" i="25" s="1"/>
  <c r="X13" i="25"/>
  <c r="X14" i="25" s="1"/>
  <c r="X15" i="25" s="1"/>
  <c r="AZ15" i="25" s="1"/>
  <c r="T13" i="28"/>
  <c r="T14" i="28" s="1"/>
  <c r="T15" i="28" s="1"/>
  <c r="AV15" i="28" s="1"/>
  <c r="H13" i="28"/>
  <c r="H14" i="28" s="1"/>
  <c r="H15" i="28" s="1"/>
  <c r="AJ15" i="28" s="1"/>
  <c r="Q13" i="28"/>
  <c r="Q14" i="28" s="1"/>
  <c r="Q15" i="28" s="1"/>
  <c r="AS15" i="28" s="1"/>
  <c r="Z13" i="28"/>
  <c r="Z14" i="28" s="1"/>
  <c r="Z15" i="28" s="1"/>
  <c r="BB15" i="28" s="1"/>
  <c r="BB13" i="28" s="1"/>
  <c r="R14" i="28"/>
  <c r="R15" i="28" s="1"/>
  <c r="AT15" i="28" s="1"/>
  <c r="AT14" i="28" s="1"/>
  <c r="Y13" i="28"/>
  <c r="Y14" i="28" s="1"/>
  <c r="Y15" i="28" s="1"/>
  <c r="BA15" i="28" s="1"/>
  <c r="BA14" i="28" s="1"/>
  <c r="N13" i="25"/>
  <c r="N14" i="25" s="1"/>
  <c r="N15" i="25" s="1"/>
  <c r="AP15" i="25" s="1"/>
  <c r="AP14" i="25" s="1"/>
  <c r="U14" i="25"/>
  <c r="U15" i="25" s="1"/>
  <c r="AW15" i="25" s="1"/>
  <c r="AW13" i="25" s="1"/>
  <c r="F13" i="28"/>
  <c r="F14" i="28" s="1"/>
  <c r="F15" i="28" s="1"/>
  <c r="AH15" i="28" s="1"/>
  <c r="AE13" i="25"/>
  <c r="AE14" i="25" s="1"/>
  <c r="AE15" i="25" s="1"/>
  <c r="BG15" i="25" s="1"/>
  <c r="O14" i="25"/>
  <c r="O15" i="25" s="1"/>
  <c r="AQ15" i="25" s="1"/>
  <c r="AQ13" i="25" s="1"/>
  <c r="AB13" i="25"/>
  <c r="AB14" i="25" s="1"/>
  <c r="AB15" i="25" s="1"/>
  <c r="BD15" i="25" s="1"/>
  <c r="K14" i="28"/>
  <c r="K15" i="28" s="1"/>
  <c r="AM15" i="28" s="1"/>
  <c r="AM14" i="28" s="1"/>
  <c r="H13" i="25"/>
  <c r="H14" i="25" s="1"/>
  <c r="H15" i="25" s="1"/>
  <c r="AJ15" i="25" s="1"/>
  <c r="I13" i="28"/>
  <c r="I14" i="28" s="1"/>
  <c r="I15" i="28" s="1"/>
  <c r="AK15" i="28" s="1"/>
  <c r="Z13" i="25"/>
  <c r="Z14" i="25" s="1"/>
  <c r="Z15" i="25" s="1"/>
  <c r="BB15" i="25" s="1"/>
  <c r="BB14" i="25" s="1"/>
  <c r="AE13" i="28"/>
  <c r="AE14" i="28" s="1"/>
  <c r="AE15" i="28" s="1"/>
  <c r="BG15" i="28" s="1"/>
  <c r="BG14" i="28" s="1"/>
  <c r="AA14" i="25"/>
  <c r="AA15" i="25" s="1"/>
  <c r="BC15" i="25" s="1"/>
  <c r="L14" i="28"/>
  <c r="L15" i="28" s="1"/>
  <c r="AN15" i="28" s="1"/>
  <c r="AN13" i="28" s="1"/>
  <c r="AD13" i="28"/>
  <c r="AD14" i="28" s="1"/>
  <c r="AD15" i="28" s="1"/>
  <c r="BF15" i="28" s="1"/>
  <c r="BF14" i="29"/>
  <c r="BF13" i="29"/>
  <c r="AI14" i="28"/>
  <c r="AI13" i="28"/>
  <c r="AU14" i="28"/>
  <c r="AU13" i="28"/>
  <c r="AR13" i="28"/>
  <c r="AR14" i="28"/>
  <c r="AP14" i="28"/>
  <c r="AP13" i="28"/>
  <c r="AQ13" i="28"/>
  <c r="AQ14" i="28"/>
  <c r="AS13" i="27"/>
  <c r="AS14" i="27"/>
  <c r="BB14" i="27"/>
  <c r="BB13" i="27"/>
  <c r="BC14" i="27"/>
  <c r="BC13" i="27"/>
  <c r="AP14" i="27"/>
  <c r="AP13" i="27"/>
  <c r="AL13" i="27"/>
  <c r="AL14" i="27"/>
  <c r="BD13" i="27"/>
  <c r="BD14" i="27"/>
  <c r="AM13" i="27"/>
  <c r="AM14" i="27"/>
  <c r="AJ14" i="27"/>
  <c r="AJ13" i="27"/>
  <c r="AQ14" i="27"/>
  <c r="AQ13" i="27"/>
  <c r="BA13" i="27"/>
  <c r="BA14" i="27"/>
  <c r="AO13" i="27"/>
  <c r="AO14" i="27"/>
  <c r="AH15" i="27"/>
  <c r="AU13" i="27"/>
  <c r="AU14" i="27"/>
  <c r="AN13" i="27"/>
  <c r="AN14" i="27"/>
  <c r="AY13" i="27"/>
  <c r="AY14" i="27"/>
  <c r="AV14" i="27"/>
  <c r="AV13" i="27"/>
  <c r="AR14" i="27"/>
  <c r="AR13" i="27"/>
  <c r="AY13" i="26"/>
  <c r="AY14" i="26"/>
  <c r="AK13" i="25"/>
  <c r="AK14" i="25"/>
  <c r="AO13" i="25"/>
  <c r="AO14" i="25"/>
  <c r="AY14" i="25"/>
  <c r="AY13" i="25"/>
  <c r="BF13" i="25"/>
  <c r="BF14" i="25"/>
  <c r="BE14" i="25"/>
  <c r="BE13" i="25"/>
  <c r="BA14" i="24"/>
  <c r="BA13" i="24"/>
  <c r="AK14" i="23"/>
  <c r="AK13" i="23"/>
  <c r="AY14" i="23"/>
  <c r="AY13" i="23"/>
  <c r="BD14" i="23"/>
  <c r="BD13" i="23"/>
  <c r="AQ14" i="23"/>
  <c r="AQ13" i="23"/>
  <c r="BE14" i="23"/>
  <c r="BE13" i="23"/>
  <c r="AT14" i="23"/>
  <c r="AT13" i="23"/>
  <c r="AU13" i="23"/>
  <c r="AU14" i="23"/>
  <c r="BG13" i="23"/>
  <c r="BG14" i="23"/>
  <c r="AJ14" i="23"/>
  <c r="AJ13" i="23"/>
  <c r="AL13" i="23"/>
  <c r="AL14" i="23"/>
  <c r="AX14" i="23"/>
  <c r="AX13" i="23"/>
  <c r="AN14" i="23"/>
  <c r="AN13" i="23"/>
  <c r="AV14" i="23"/>
  <c r="AV13" i="23"/>
  <c r="BA13" i="23"/>
  <c r="BA14" i="23"/>
  <c r="AM14" i="23"/>
  <c r="AM13" i="23"/>
  <c r="AW14" i="23"/>
  <c r="AW13" i="23"/>
  <c r="AP14" i="23"/>
  <c r="AP13" i="23"/>
  <c r="AH15" i="23"/>
  <c r="AF15" i="23"/>
  <c r="BF14" i="23"/>
  <c r="BF13" i="23"/>
  <c r="BB14" i="23"/>
  <c r="BB13" i="23"/>
  <c r="AI13" i="23"/>
  <c r="AI14" i="23"/>
  <c r="AR14" i="23"/>
  <c r="AR13" i="23"/>
  <c r="AZ13" i="23"/>
  <c r="AZ14" i="23"/>
  <c r="AS13" i="23"/>
  <c r="AS14" i="23"/>
  <c r="BC14" i="23"/>
  <c r="BC13" i="23"/>
  <c r="AO13" i="23"/>
  <c r="AO14" i="23"/>
  <c r="U7" i="1"/>
  <c r="U8" i="1" s="1"/>
  <c r="T7" i="1"/>
  <c r="T8" i="1" s="1"/>
  <c r="T9" i="1" s="1"/>
  <c r="AV9" i="1" s="1"/>
  <c r="AE7" i="1"/>
  <c r="AE8" i="1" s="1"/>
  <c r="AE9" i="1" s="1"/>
  <c r="BG9" i="1" s="1"/>
  <c r="S7" i="1"/>
  <c r="S8" i="1" s="1"/>
  <c r="S9" i="1" s="1"/>
  <c r="AU9" i="1" s="1"/>
  <c r="Y7" i="1"/>
  <c r="Y8" i="1" s="1"/>
  <c r="Y9" i="1" s="1"/>
  <c r="BA9" i="1" s="1"/>
  <c r="M7" i="1"/>
  <c r="M8" i="1" s="1"/>
  <c r="M9" i="1" s="1"/>
  <c r="AO9" i="1" s="1"/>
  <c r="AD7" i="1"/>
  <c r="AD8" i="1" s="1"/>
  <c r="AD9" i="1" s="1"/>
  <c r="BF9" i="1" s="1"/>
  <c r="R7" i="1"/>
  <c r="R8" i="1" s="1"/>
  <c r="R9" i="1" s="1"/>
  <c r="AT9" i="1" s="1"/>
  <c r="Q7" i="1"/>
  <c r="Q8" i="1" s="1"/>
  <c r="Q9" i="1" s="1"/>
  <c r="AS9" i="1" s="1"/>
  <c r="AB7" i="1"/>
  <c r="AB8" i="1" s="1"/>
  <c r="AB9" i="1" s="1"/>
  <c r="BD9" i="1" s="1"/>
  <c r="V7" i="1"/>
  <c r="V8" i="1" s="1"/>
  <c r="V9" i="1" s="1"/>
  <c r="AX9" i="1" s="1"/>
  <c r="P7" i="1"/>
  <c r="P8" i="1" s="1"/>
  <c r="P9" i="1" s="1"/>
  <c r="AR9" i="1" s="1"/>
  <c r="AP29" i="38" l="1"/>
  <c r="AP28" i="38"/>
  <c r="AO29" i="38"/>
  <c r="AO28" i="38"/>
  <c r="AT29" i="38"/>
  <c r="AT28" i="38"/>
  <c r="BF29" i="38"/>
  <c r="BF28" i="38"/>
  <c r="BG29" i="38"/>
  <c r="BG28" i="38"/>
  <c r="AF30" i="38"/>
  <c r="AH30" i="38"/>
  <c r="AN28" i="38"/>
  <c r="AN29" i="38"/>
  <c r="BE29" i="38"/>
  <c r="BE28" i="38"/>
  <c r="AY28" i="38"/>
  <c r="AY29" i="38"/>
  <c r="BC28" i="38"/>
  <c r="BC29" i="38"/>
  <c r="AV29" i="38"/>
  <c r="AV28" i="38"/>
  <c r="AX29" i="38"/>
  <c r="AX28" i="38"/>
  <c r="AI29" i="38"/>
  <c r="AI28" i="38"/>
  <c r="AM28" i="38"/>
  <c r="AM29" i="38"/>
  <c r="AJ29" i="38"/>
  <c r="AJ28" i="38"/>
  <c r="BA28" i="38"/>
  <c r="BA29" i="38"/>
  <c r="AK28" i="38"/>
  <c r="AK29" i="38"/>
  <c r="AU29" i="38"/>
  <c r="AU28" i="38"/>
  <c r="AQ29" i="38"/>
  <c r="AQ28" i="38"/>
  <c r="AR29" i="38"/>
  <c r="AR28" i="38"/>
  <c r="AW29" i="38"/>
  <c r="AW28" i="38"/>
  <c r="AZ29" i="38"/>
  <c r="AZ28" i="38"/>
  <c r="BB29" i="38"/>
  <c r="BB28" i="38"/>
  <c r="AS28" i="38"/>
  <c r="AS29" i="38"/>
  <c r="BD28" i="38"/>
  <c r="BD29" i="38"/>
  <c r="AL29" i="38"/>
  <c r="AL28" i="38"/>
  <c r="AH28" i="37"/>
  <c r="AH29" i="37"/>
  <c r="Y32" i="37"/>
  <c r="Q32" i="37"/>
  <c r="I32" i="37"/>
  <c r="X32" i="37"/>
  <c r="AE32" i="37"/>
  <c r="W32" i="37"/>
  <c r="O32" i="37"/>
  <c r="G32" i="37"/>
  <c r="AD32" i="37"/>
  <c r="AB32" i="37"/>
  <c r="T32" i="37"/>
  <c r="L32" i="37"/>
  <c r="R32" i="37"/>
  <c r="P32" i="37"/>
  <c r="AC32" i="37"/>
  <c r="N32" i="37"/>
  <c r="AA32" i="37"/>
  <c r="M32" i="37"/>
  <c r="Z32" i="37"/>
  <c r="K32" i="37"/>
  <c r="V32" i="37"/>
  <c r="U32" i="37"/>
  <c r="S32" i="37"/>
  <c r="J32" i="37"/>
  <c r="H32" i="37"/>
  <c r="F32" i="37"/>
  <c r="BE29" i="36"/>
  <c r="BE28" i="36"/>
  <c r="BC29" i="36"/>
  <c r="BC28" i="36"/>
  <c r="AI28" i="36"/>
  <c r="AI29" i="36"/>
  <c r="AH30" i="36"/>
  <c r="AF30" i="36"/>
  <c r="BA28" i="36"/>
  <c r="BA29" i="36"/>
  <c r="AL28" i="36"/>
  <c r="AL29" i="36"/>
  <c r="BD29" i="36"/>
  <c r="BD28" i="36"/>
  <c r="AM29" i="36"/>
  <c r="AM28" i="36"/>
  <c r="AP29" i="36"/>
  <c r="AP28" i="36"/>
  <c r="AN29" i="36"/>
  <c r="AN28" i="36"/>
  <c r="AV29" i="36"/>
  <c r="AV28" i="36"/>
  <c r="AW29" i="36"/>
  <c r="AW28" i="36"/>
  <c r="AK28" i="36"/>
  <c r="AK29" i="36"/>
  <c r="AU29" i="36"/>
  <c r="AU28" i="36"/>
  <c r="AO29" i="36"/>
  <c r="AO28" i="36"/>
  <c r="BB28" i="36"/>
  <c r="BB29" i="36"/>
  <c r="BF29" i="36"/>
  <c r="BF28" i="36"/>
  <c r="AR28" i="36"/>
  <c r="AR29" i="36"/>
  <c r="AJ28" i="36"/>
  <c r="AJ29" i="36"/>
  <c r="AX29" i="36"/>
  <c r="AX28" i="36"/>
  <c r="AS28" i="36"/>
  <c r="AS29" i="36"/>
  <c r="AT28" i="36"/>
  <c r="AT29" i="36"/>
  <c r="AY28" i="36"/>
  <c r="AY29" i="36"/>
  <c r="AZ28" i="36"/>
  <c r="AZ29" i="36"/>
  <c r="AQ28" i="36"/>
  <c r="AQ29" i="36"/>
  <c r="BG28" i="36"/>
  <c r="BG29" i="36"/>
  <c r="Q43" i="31"/>
  <c r="AQ42" i="31"/>
  <c r="AQ43" i="31"/>
  <c r="S45" i="31"/>
  <c r="AS44" i="31"/>
  <c r="AS45" i="31"/>
  <c r="R73" i="31"/>
  <c r="AR73" i="31"/>
  <c r="AR72" i="31"/>
  <c r="R39" i="31"/>
  <c r="AR38" i="31"/>
  <c r="AR39" i="31"/>
  <c r="Q57" i="31"/>
  <c r="AQ56" i="31"/>
  <c r="AQ57" i="31"/>
  <c r="Q51" i="31"/>
  <c r="AQ51" i="31"/>
  <c r="AQ50" i="31"/>
  <c r="Q59" i="31"/>
  <c r="AQ59" i="31"/>
  <c r="AQ58" i="31"/>
  <c r="Q65" i="31"/>
  <c r="AQ65" i="31"/>
  <c r="AQ64" i="31"/>
  <c r="R49" i="31"/>
  <c r="AR48" i="31"/>
  <c r="AR49" i="31"/>
  <c r="R77" i="31"/>
  <c r="AR77" i="31"/>
  <c r="AR76" i="31"/>
  <c r="Q67" i="31"/>
  <c r="AQ66" i="31"/>
  <c r="AQ67" i="31"/>
  <c r="Q37" i="31"/>
  <c r="AQ37" i="31"/>
  <c r="AQ36" i="31"/>
  <c r="S41" i="31"/>
  <c r="AS41" i="31"/>
  <c r="AS40" i="31"/>
  <c r="R61" i="31"/>
  <c r="AR61" i="31"/>
  <c r="AR60" i="31"/>
  <c r="Q53" i="31"/>
  <c r="AQ53" i="31"/>
  <c r="AQ52" i="31"/>
  <c r="Q35" i="31"/>
  <c r="AQ35" i="31"/>
  <c r="AQ34" i="31"/>
  <c r="Q63" i="31"/>
  <c r="AQ62" i="31"/>
  <c r="AQ63" i="31"/>
  <c r="S55" i="31"/>
  <c r="AS54" i="31"/>
  <c r="AS55" i="31"/>
  <c r="R69" i="31"/>
  <c r="AR69" i="31"/>
  <c r="AR68" i="31"/>
  <c r="AQ13" i="29"/>
  <c r="AP13" i="29"/>
  <c r="AR14" i="29"/>
  <c r="AO14" i="29"/>
  <c r="AK14" i="29"/>
  <c r="AM14" i="29"/>
  <c r="AI14" i="29"/>
  <c r="AX14" i="29"/>
  <c r="AU14" i="29"/>
  <c r="U14" i="29"/>
  <c r="U15" i="29" s="1"/>
  <c r="AW15" i="29" s="1"/>
  <c r="AW14" i="29" s="1"/>
  <c r="H14" i="29"/>
  <c r="H15" i="29" s="1"/>
  <c r="AJ15" i="29" s="1"/>
  <c r="AJ14" i="29" s="1"/>
  <c r="BB14" i="29"/>
  <c r="AS13" i="29"/>
  <c r="AN13" i="29"/>
  <c r="F14" i="29"/>
  <c r="F15" i="29" s="1"/>
  <c r="AH15" i="29" s="1"/>
  <c r="AH13" i="29" s="1"/>
  <c r="BC13" i="29"/>
  <c r="AT13" i="29"/>
  <c r="AY13" i="29"/>
  <c r="BA14" i="29"/>
  <c r="AZ13" i="29"/>
  <c r="AS14" i="28"/>
  <c r="AS13" i="28"/>
  <c r="AI13" i="27"/>
  <c r="AI14" i="27"/>
  <c r="AZ14" i="25"/>
  <c r="AZ13" i="25"/>
  <c r="AL14" i="25"/>
  <c r="AL13" i="25"/>
  <c r="AN13" i="25"/>
  <c r="AN14" i="25"/>
  <c r="BE13" i="27"/>
  <c r="AX14" i="28"/>
  <c r="AX13" i="28"/>
  <c r="BG14" i="27"/>
  <c r="BG13" i="27"/>
  <c r="AZ14" i="27"/>
  <c r="G13" i="26"/>
  <c r="G14" i="26" s="1"/>
  <c r="G15" i="26" s="1"/>
  <c r="AI15" i="26" s="1"/>
  <c r="AK13" i="27"/>
  <c r="BF14" i="28"/>
  <c r="BF13" i="28"/>
  <c r="AL13" i="29"/>
  <c r="AL14" i="29"/>
  <c r="BF14" i="27"/>
  <c r="AA13" i="24"/>
  <c r="AA14" i="24" s="1"/>
  <c r="AA15" i="24" s="1"/>
  <c r="BC15" i="24" s="1"/>
  <c r="AB13" i="24"/>
  <c r="AB14" i="24" s="1"/>
  <c r="AB15" i="24" s="1"/>
  <c r="BD15" i="24" s="1"/>
  <c r="AX14" i="27"/>
  <c r="BB14" i="24"/>
  <c r="AM14" i="24"/>
  <c r="AW13" i="27"/>
  <c r="AT13" i="27"/>
  <c r="AV14" i="29"/>
  <c r="AF15" i="27"/>
  <c r="M17" i="27" s="1"/>
  <c r="AJ13" i="24"/>
  <c r="BD13" i="29"/>
  <c r="N14" i="26"/>
  <c r="N15" i="26" s="1"/>
  <c r="AP15" i="26" s="1"/>
  <c r="AP13" i="26" s="1"/>
  <c r="AO14" i="24"/>
  <c r="BE13" i="24"/>
  <c r="Q14" i="26"/>
  <c r="Q15" i="26" s="1"/>
  <c r="AS15" i="26" s="1"/>
  <c r="AS14" i="26" s="1"/>
  <c r="AY14" i="24"/>
  <c r="AR13" i="24"/>
  <c r="AP13" i="24"/>
  <c r="G14" i="24"/>
  <c r="G15" i="24" s="1"/>
  <c r="AI15" i="24" s="1"/>
  <c r="AI14" i="24" s="1"/>
  <c r="BE13" i="29"/>
  <c r="V13" i="24"/>
  <c r="V14" i="24" s="1"/>
  <c r="V15" i="24" s="1"/>
  <c r="AX15" i="24" s="1"/>
  <c r="AL13" i="24"/>
  <c r="BG14" i="29"/>
  <c r="BG13" i="29"/>
  <c r="AW13" i="24"/>
  <c r="AK14" i="24"/>
  <c r="AW13" i="26"/>
  <c r="T13" i="24"/>
  <c r="T14" i="24" s="1"/>
  <c r="T15" i="24" s="1"/>
  <c r="AV15" i="24" s="1"/>
  <c r="BF14" i="24"/>
  <c r="AT13" i="24"/>
  <c r="AO13" i="26"/>
  <c r="K14" i="26"/>
  <c r="K15" i="26" s="1"/>
  <c r="AM15" i="26" s="1"/>
  <c r="AM14" i="26" s="1"/>
  <c r="AQ13" i="24"/>
  <c r="L13" i="26"/>
  <c r="L14" i="26" s="1"/>
  <c r="L15" i="26" s="1"/>
  <c r="AN15" i="26" s="1"/>
  <c r="AN13" i="26" s="1"/>
  <c r="L14" i="24"/>
  <c r="L15" i="24" s="1"/>
  <c r="AN15" i="24" s="1"/>
  <c r="AN14" i="24" s="1"/>
  <c r="BC13" i="26"/>
  <c r="R14" i="26"/>
  <c r="R15" i="26" s="1"/>
  <c r="AT15" i="26" s="1"/>
  <c r="AT13" i="26" s="1"/>
  <c r="X14" i="26"/>
  <c r="X15" i="26" s="1"/>
  <c r="AZ15" i="26" s="1"/>
  <c r="AZ13" i="26" s="1"/>
  <c r="AE14" i="24"/>
  <c r="AE15" i="24" s="1"/>
  <c r="BG15" i="24" s="1"/>
  <c r="BG14" i="24" s="1"/>
  <c r="AS14" i="24"/>
  <c r="X13" i="24"/>
  <c r="X14" i="24" s="1"/>
  <c r="X15" i="24" s="1"/>
  <c r="AZ15" i="24" s="1"/>
  <c r="AZ13" i="24" s="1"/>
  <c r="S14" i="24"/>
  <c r="S15" i="24" s="1"/>
  <c r="AU15" i="24" s="1"/>
  <c r="AU14" i="24" s="1"/>
  <c r="AD14" i="26"/>
  <c r="AD15" i="26" s="1"/>
  <c r="BF15" i="26" s="1"/>
  <c r="BF14" i="26" s="1"/>
  <c r="BD13" i="26"/>
  <c r="O13" i="26"/>
  <c r="O14" i="26" s="1"/>
  <c r="O15" i="26" s="1"/>
  <c r="AQ15" i="26" s="1"/>
  <c r="AQ14" i="26" s="1"/>
  <c r="BE14" i="26"/>
  <c r="J13" i="26"/>
  <c r="J14" i="26" s="1"/>
  <c r="J15" i="26" s="1"/>
  <c r="AL15" i="26" s="1"/>
  <c r="AL13" i="26" s="1"/>
  <c r="Y14" i="26"/>
  <c r="Y15" i="26" s="1"/>
  <c r="BA15" i="26" s="1"/>
  <c r="BA13" i="26" s="1"/>
  <c r="F13" i="26"/>
  <c r="F14" i="26" s="1"/>
  <c r="F15" i="26" s="1"/>
  <c r="AH15" i="26" s="1"/>
  <c r="AH13" i="26" s="1"/>
  <c r="V14" i="26"/>
  <c r="V15" i="26" s="1"/>
  <c r="AX15" i="26" s="1"/>
  <c r="AX13" i="26" s="1"/>
  <c r="AJ14" i="26"/>
  <c r="BB14" i="26"/>
  <c r="BG13" i="26"/>
  <c r="S14" i="26"/>
  <c r="S15" i="26" s="1"/>
  <c r="AU15" i="26" s="1"/>
  <c r="AU13" i="26" s="1"/>
  <c r="AX14" i="25"/>
  <c r="AX13" i="25"/>
  <c r="AK13" i="28"/>
  <c r="AK14" i="28"/>
  <c r="BA13" i="25"/>
  <c r="BC13" i="28"/>
  <c r="BC14" i="28"/>
  <c r="AR13" i="26"/>
  <c r="AR14" i="26"/>
  <c r="AI14" i="25"/>
  <c r="AJ13" i="28"/>
  <c r="AJ14" i="28"/>
  <c r="AU14" i="25"/>
  <c r="AU13" i="25"/>
  <c r="AY14" i="28"/>
  <c r="AY13" i="28"/>
  <c r="AS13" i="25"/>
  <c r="AS14" i="25"/>
  <c r="BB14" i="28"/>
  <c r="AJ13" i="25"/>
  <c r="AJ14" i="25"/>
  <c r="AO13" i="28"/>
  <c r="AO14" i="28"/>
  <c r="AV13" i="28"/>
  <c r="AV14" i="28"/>
  <c r="BA13" i="28"/>
  <c r="AZ14" i="28"/>
  <c r="AZ13" i="28"/>
  <c r="BC13" i="25"/>
  <c r="BC14" i="25"/>
  <c r="AV14" i="26"/>
  <c r="AV13" i="26"/>
  <c r="BD14" i="28"/>
  <c r="BG13" i="28"/>
  <c r="AK14" i="26"/>
  <c r="AV13" i="25"/>
  <c r="AR13" i="25"/>
  <c r="AL13" i="28"/>
  <c r="AW13" i="28"/>
  <c r="AW14" i="28"/>
  <c r="AT13" i="25"/>
  <c r="AT14" i="25"/>
  <c r="AM13" i="28"/>
  <c r="BG13" i="25"/>
  <c r="BG14" i="25"/>
  <c r="BB13" i="25"/>
  <c r="AM13" i="25"/>
  <c r="AN14" i="28"/>
  <c r="AP13" i="25"/>
  <c r="AW14" i="25"/>
  <c r="BE13" i="28"/>
  <c r="AT13" i="28"/>
  <c r="AF15" i="28"/>
  <c r="N17" i="28" s="1"/>
  <c r="BD14" i="25"/>
  <c r="BD13" i="25"/>
  <c r="AF15" i="25"/>
  <c r="N17" i="25" s="1"/>
  <c r="AQ14" i="25"/>
  <c r="AH13" i="28"/>
  <c r="AH14" i="28"/>
  <c r="AH13" i="27"/>
  <c r="AH14" i="27"/>
  <c r="AH14" i="25"/>
  <c r="AH13" i="25"/>
  <c r="AH14" i="24"/>
  <c r="AH13" i="24"/>
  <c r="AH14" i="23"/>
  <c r="AH13" i="23"/>
  <c r="AD17" i="23"/>
  <c r="X17" i="23"/>
  <c r="R17" i="23"/>
  <c r="L17" i="23"/>
  <c r="F17" i="23"/>
  <c r="AE17" i="23"/>
  <c r="Y17" i="23"/>
  <c r="S17" i="23"/>
  <c r="AB17" i="23"/>
  <c r="T17" i="23"/>
  <c r="K17" i="23"/>
  <c r="AA17" i="23"/>
  <c r="Q17" i="23"/>
  <c r="J17" i="23"/>
  <c r="Z17" i="23"/>
  <c r="P17" i="23"/>
  <c r="I17" i="23"/>
  <c r="W17" i="23"/>
  <c r="O17" i="23"/>
  <c r="H17" i="23"/>
  <c r="V17" i="23"/>
  <c r="N17" i="23"/>
  <c r="G17" i="23"/>
  <c r="AC17" i="23"/>
  <c r="U17" i="23"/>
  <c r="M17" i="23"/>
  <c r="W7" i="1"/>
  <c r="W8" i="1" s="1"/>
  <c r="W9" i="1" s="1"/>
  <c r="AY9" i="1" s="1"/>
  <c r="AY7" i="1" s="1"/>
  <c r="Z7" i="1"/>
  <c r="Z8" i="1" s="1"/>
  <c r="Z9" i="1" s="1"/>
  <c r="BB9" i="1" s="1"/>
  <c r="BB8" i="1" s="1"/>
  <c r="L7" i="1"/>
  <c r="L8" i="1" s="1"/>
  <c r="L9" i="1" s="1"/>
  <c r="AN9" i="1" s="1"/>
  <c r="AN7" i="1" s="1"/>
  <c r="G7" i="1"/>
  <c r="G8" i="1" s="1"/>
  <c r="H7" i="1"/>
  <c r="H8" i="1" s="1"/>
  <c r="H9" i="1" s="1"/>
  <c r="AJ9" i="1" s="1"/>
  <c r="AJ8" i="1" s="1"/>
  <c r="AU8" i="1"/>
  <c r="AU7" i="1"/>
  <c r="AT7" i="1"/>
  <c r="AT8" i="1"/>
  <c r="AO8" i="1"/>
  <c r="AO7" i="1"/>
  <c r="BA8" i="1"/>
  <c r="BA7" i="1"/>
  <c r="BG8" i="1"/>
  <c r="BG7" i="1"/>
  <c r="AV8" i="1"/>
  <c r="AV7" i="1"/>
  <c r="AX8" i="1"/>
  <c r="AX7" i="1"/>
  <c r="BD7" i="1"/>
  <c r="BD8" i="1"/>
  <c r="BF7" i="1"/>
  <c r="BF8" i="1"/>
  <c r="AR7" i="1"/>
  <c r="AR8" i="1"/>
  <c r="AS7" i="1"/>
  <c r="AS8" i="1"/>
  <c r="I7" i="1"/>
  <c r="I8" i="1" s="1"/>
  <c r="AA7" i="1"/>
  <c r="AA8" i="1" s="1"/>
  <c r="AA9" i="1" s="1"/>
  <c r="BC9" i="1" s="1"/>
  <c r="J7" i="1"/>
  <c r="J8" i="1" s="1"/>
  <c r="J9" i="1" s="1"/>
  <c r="AL9" i="1" s="1"/>
  <c r="N7" i="1"/>
  <c r="N8" i="1" s="1"/>
  <c r="N9" i="1" s="1"/>
  <c r="AP9" i="1" s="1"/>
  <c r="K7" i="1"/>
  <c r="K8" i="1" s="1"/>
  <c r="K9" i="1" s="1"/>
  <c r="AM9" i="1" s="1"/>
  <c r="AC7" i="1"/>
  <c r="AC8" i="1" s="1"/>
  <c r="AC9" i="1" s="1"/>
  <c r="BE9" i="1" s="1"/>
  <c r="O7" i="1"/>
  <c r="O8" i="1" s="1"/>
  <c r="O9" i="1" s="1"/>
  <c r="AQ9" i="1" s="1"/>
  <c r="X7" i="1"/>
  <c r="X8" i="1" s="1"/>
  <c r="X9" i="1" s="1"/>
  <c r="AZ9" i="1" s="1"/>
  <c r="F7" i="1"/>
  <c r="F8" i="1" s="1"/>
  <c r="F9" i="1" s="1"/>
  <c r="AH9" i="1" s="1"/>
  <c r="AH7" i="1" s="1"/>
  <c r="F18" i="1"/>
  <c r="F27" i="1" s="1"/>
  <c r="G27" i="1" s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E27" i="1"/>
  <c r="F33" i="1"/>
  <c r="E33" i="1"/>
  <c r="E39" i="1"/>
  <c r="AH29" i="38" l="1"/>
  <c r="AH28" i="38"/>
  <c r="Y32" i="38"/>
  <c r="Q32" i="38"/>
  <c r="I32" i="38"/>
  <c r="X32" i="38"/>
  <c r="P32" i="38"/>
  <c r="H32" i="38"/>
  <c r="AE32" i="38"/>
  <c r="W32" i="38"/>
  <c r="O32" i="38"/>
  <c r="G32" i="38"/>
  <c r="AB32" i="38"/>
  <c r="T32" i="38"/>
  <c r="L32" i="38"/>
  <c r="R32" i="38"/>
  <c r="AD32" i="38"/>
  <c r="N32" i="38"/>
  <c r="AC32" i="38"/>
  <c r="M32" i="38"/>
  <c r="AA32" i="38"/>
  <c r="K32" i="38"/>
  <c r="Z32" i="38"/>
  <c r="V32" i="38"/>
  <c r="U32" i="38"/>
  <c r="S32" i="38"/>
  <c r="J32" i="38"/>
  <c r="F32" i="38"/>
  <c r="P34" i="37"/>
  <c r="P35" i="37" s="1"/>
  <c r="P36" i="37" s="1"/>
  <c r="AR36" i="37" s="1"/>
  <c r="V34" i="37"/>
  <c r="V35" i="37" s="1"/>
  <c r="V36" i="37" s="1"/>
  <c r="AX36" i="37" s="1"/>
  <c r="R34" i="37"/>
  <c r="R35" i="37" s="1"/>
  <c r="R36" i="37" s="1"/>
  <c r="AT36" i="37" s="1"/>
  <c r="AE34" i="37"/>
  <c r="AE35" i="37" s="1"/>
  <c r="AE36" i="37" s="1"/>
  <c r="BG36" i="37" s="1"/>
  <c r="K34" i="37"/>
  <c r="K35" i="37" s="1"/>
  <c r="K36" i="37" s="1"/>
  <c r="AM36" i="37" s="1"/>
  <c r="L34" i="37"/>
  <c r="L35" i="37" s="1"/>
  <c r="L36" i="37" s="1"/>
  <c r="AN36" i="37" s="1"/>
  <c r="X34" i="37"/>
  <c r="X35" i="37" s="1"/>
  <c r="X36" i="37" s="1"/>
  <c r="AZ36" i="37" s="1"/>
  <c r="F34" i="37"/>
  <c r="F35" i="37" s="1"/>
  <c r="F36" i="37" s="1"/>
  <c r="M34" i="37"/>
  <c r="M35" i="37" s="1"/>
  <c r="M36" i="37" s="1"/>
  <c r="AO36" i="37" s="1"/>
  <c r="AB34" i="37"/>
  <c r="AB35" i="37" s="1"/>
  <c r="AB36" i="37" s="1"/>
  <c r="BD36" i="37" s="1"/>
  <c r="Q34" i="37"/>
  <c r="Q35" i="37" s="1"/>
  <c r="Q36" i="37" s="1"/>
  <c r="AS36" i="37" s="1"/>
  <c r="U34" i="37"/>
  <c r="U35" i="37" s="1"/>
  <c r="U36" i="37" s="1"/>
  <c r="AW36" i="37" s="1"/>
  <c r="H34" i="37"/>
  <c r="H35" i="37" s="1"/>
  <c r="H36" i="37" s="1"/>
  <c r="AJ36" i="37" s="1"/>
  <c r="AA34" i="37"/>
  <c r="AA35" i="37" s="1"/>
  <c r="AA36" i="37" s="1"/>
  <c r="BC36" i="37" s="1"/>
  <c r="AD34" i="37"/>
  <c r="AD35" i="37" s="1"/>
  <c r="AD36" i="37" s="1"/>
  <c r="BF36" i="37" s="1"/>
  <c r="Y34" i="37"/>
  <c r="Y35" i="37" s="1"/>
  <c r="Y36" i="37" s="1"/>
  <c r="BA36" i="37" s="1"/>
  <c r="W34" i="37"/>
  <c r="W35" i="37" s="1"/>
  <c r="W36" i="37" s="1"/>
  <c r="AY36" i="37" s="1"/>
  <c r="Z34" i="37"/>
  <c r="Z35" i="37" s="1"/>
  <c r="Z36" i="37" s="1"/>
  <c r="BB36" i="37" s="1"/>
  <c r="T34" i="37"/>
  <c r="T35" i="37" s="1"/>
  <c r="T36" i="37" s="1"/>
  <c r="AV36" i="37" s="1"/>
  <c r="I34" i="37"/>
  <c r="I35" i="37" s="1"/>
  <c r="I36" i="37" s="1"/>
  <c r="AK36" i="37" s="1"/>
  <c r="J34" i="37"/>
  <c r="J35" i="37" s="1"/>
  <c r="J36" i="37" s="1"/>
  <c r="AL36" i="37" s="1"/>
  <c r="N34" i="37"/>
  <c r="N35" i="37" s="1"/>
  <c r="N36" i="37" s="1"/>
  <c r="AP36" i="37" s="1"/>
  <c r="G34" i="37"/>
  <c r="G35" i="37" s="1"/>
  <c r="G36" i="37" s="1"/>
  <c r="AI36" i="37" s="1"/>
  <c r="S34" i="37"/>
  <c r="S35" i="37" s="1"/>
  <c r="S36" i="37" s="1"/>
  <c r="AU36" i="37" s="1"/>
  <c r="AC34" i="37"/>
  <c r="AC35" i="37" s="1"/>
  <c r="AC36" i="37" s="1"/>
  <c r="BE36" i="37" s="1"/>
  <c r="O34" i="37"/>
  <c r="O35" i="37" s="1"/>
  <c r="O36" i="37" s="1"/>
  <c r="AQ36" i="37" s="1"/>
  <c r="AQ31" i="37"/>
  <c r="AX31" i="37"/>
  <c r="BG31" i="37"/>
  <c r="BA31" i="37"/>
  <c r="BE31" i="37"/>
  <c r="AH31" i="37"/>
  <c r="AM31" i="37"/>
  <c r="BB31" i="37"/>
  <c r="AK31" i="37"/>
  <c r="AI31" i="37"/>
  <c r="AJ31" i="37"/>
  <c r="BC31" i="37"/>
  <c r="AP31" i="37"/>
  <c r="AO31" i="37"/>
  <c r="AV31" i="37"/>
  <c r="AU31" i="37"/>
  <c r="AN31" i="37"/>
  <c r="AT31" i="37"/>
  <c r="AR31" i="37"/>
  <c r="AS31" i="37"/>
  <c r="AY31" i="37"/>
  <c r="AZ31" i="37"/>
  <c r="BF31" i="37"/>
  <c r="BD31" i="37"/>
  <c r="AL31" i="37"/>
  <c r="AW31" i="37"/>
  <c r="AH29" i="36"/>
  <c r="AH28" i="36"/>
  <c r="AC32" i="36"/>
  <c r="U32" i="36"/>
  <c r="M32" i="36"/>
  <c r="AB32" i="36"/>
  <c r="T32" i="36"/>
  <c r="L32" i="36"/>
  <c r="AA32" i="36"/>
  <c r="S32" i="36"/>
  <c r="K32" i="36"/>
  <c r="Z32" i="36"/>
  <c r="R32" i="36"/>
  <c r="J32" i="36"/>
  <c r="Q32" i="36"/>
  <c r="P32" i="36"/>
  <c r="AE32" i="36"/>
  <c r="O32" i="36"/>
  <c r="AD32" i="36"/>
  <c r="N32" i="36"/>
  <c r="G32" i="36"/>
  <c r="F32" i="36"/>
  <c r="Y32" i="36"/>
  <c r="X32" i="36"/>
  <c r="W32" i="36"/>
  <c r="V32" i="36"/>
  <c r="I32" i="36"/>
  <c r="H32" i="36"/>
  <c r="S61" i="31"/>
  <c r="AS61" i="31"/>
  <c r="AS60" i="31"/>
  <c r="S69" i="31"/>
  <c r="AS69" i="31"/>
  <c r="AS68" i="31"/>
  <c r="S73" i="31"/>
  <c r="AS73" i="31"/>
  <c r="AS72" i="31"/>
  <c r="R35" i="31"/>
  <c r="AR35" i="31"/>
  <c r="AR34" i="31"/>
  <c r="R65" i="31"/>
  <c r="AR65" i="31"/>
  <c r="AR64" i="31"/>
  <c r="R51" i="31"/>
  <c r="AR51" i="31"/>
  <c r="AR50" i="31"/>
  <c r="T41" i="31"/>
  <c r="AT41" i="31"/>
  <c r="AT40" i="31"/>
  <c r="R57" i="31"/>
  <c r="AR57" i="31"/>
  <c r="AR56" i="31"/>
  <c r="R67" i="31"/>
  <c r="AR67" i="31"/>
  <c r="AR66" i="31"/>
  <c r="T55" i="31"/>
  <c r="AT54" i="31"/>
  <c r="AT55" i="31"/>
  <c r="S77" i="31"/>
  <c r="AS77" i="31"/>
  <c r="AS76" i="31"/>
  <c r="T45" i="31"/>
  <c r="AT45" i="31"/>
  <c r="AT44" i="31"/>
  <c r="R53" i="31"/>
  <c r="AR53" i="31"/>
  <c r="AR52" i="31"/>
  <c r="R59" i="31"/>
  <c r="AR58" i="31"/>
  <c r="AR59" i="31"/>
  <c r="R37" i="31"/>
  <c r="AR37" i="31"/>
  <c r="AR36" i="31"/>
  <c r="S39" i="31"/>
  <c r="AS39" i="31"/>
  <c r="AS38" i="31"/>
  <c r="R63" i="31"/>
  <c r="AR63" i="31"/>
  <c r="AR62" i="31"/>
  <c r="S49" i="31"/>
  <c r="AS48" i="31"/>
  <c r="AS49" i="31"/>
  <c r="R43" i="31"/>
  <c r="AR43" i="31"/>
  <c r="AR42" i="31"/>
  <c r="AH14" i="29"/>
  <c r="AJ13" i="29"/>
  <c r="AW13" i="29"/>
  <c r="AF15" i="29"/>
  <c r="J17" i="29" s="1"/>
  <c r="J19" i="29" s="1"/>
  <c r="J20" i="29" s="1"/>
  <c r="J21" i="29" s="1"/>
  <c r="AL21" i="29" s="1"/>
  <c r="AI14" i="26"/>
  <c r="AI13" i="26"/>
  <c r="BC14" i="24"/>
  <c r="BC13" i="24"/>
  <c r="BD14" i="24"/>
  <c r="BD13" i="24"/>
  <c r="AV13" i="24"/>
  <c r="AV14" i="24"/>
  <c r="AX13" i="24"/>
  <c r="AX14" i="24"/>
  <c r="X17" i="27"/>
  <c r="X19" i="27" s="1"/>
  <c r="X20" i="27" s="1"/>
  <c r="X21" i="27" s="1"/>
  <c r="AZ21" i="27" s="1"/>
  <c r="J17" i="27"/>
  <c r="J19" i="27" s="1"/>
  <c r="J20" i="27" s="1"/>
  <c r="J21" i="27" s="1"/>
  <c r="AL21" i="27" s="1"/>
  <c r="P17" i="27"/>
  <c r="P19" i="27" s="1"/>
  <c r="P20" i="27" s="1"/>
  <c r="P21" i="27" s="1"/>
  <c r="AR21" i="27" s="1"/>
  <c r="L17" i="27"/>
  <c r="L19" i="27" s="1"/>
  <c r="L20" i="27" s="1"/>
  <c r="L21" i="27" s="1"/>
  <c r="AN21" i="27" s="1"/>
  <c r="AA17" i="27"/>
  <c r="AA19" i="27" s="1"/>
  <c r="AA20" i="27" s="1"/>
  <c r="AA21" i="27" s="1"/>
  <c r="BC21" i="27" s="1"/>
  <c r="U17" i="27"/>
  <c r="U19" i="27" s="1"/>
  <c r="U20" i="27" s="1"/>
  <c r="U21" i="27" s="1"/>
  <c r="AW21" i="27" s="1"/>
  <c r="K17" i="27"/>
  <c r="N17" i="27"/>
  <c r="O17" i="27"/>
  <c r="O19" i="27" s="1"/>
  <c r="O20" i="27" s="1"/>
  <c r="O21" i="27" s="1"/>
  <c r="AQ21" i="27" s="1"/>
  <c r="V17" i="27"/>
  <c r="V19" i="27" s="1"/>
  <c r="V20" i="27" s="1"/>
  <c r="V21" i="27" s="1"/>
  <c r="AX21" i="27" s="1"/>
  <c r="F17" i="27"/>
  <c r="F19" i="27" s="1"/>
  <c r="F20" i="27" s="1"/>
  <c r="F21" i="27" s="1"/>
  <c r="T17" i="27"/>
  <c r="T19" i="27" s="1"/>
  <c r="T20" i="27" s="1"/>
  <c r="T21" i="27" s="1"/>
  <c r="AV21" i="27" s="1"/>
  <c r="S17" i="27"/>
  <c r="S19" i="27" s="1"/>
  <c r="S20" i="27" s="1"/>
  <c r="S21" i="27" s="1"/>
  <c r="AU21" i="27" s="1"/>
  <c r="W17" i="27"/>
  <c r="W19" i="27" s="1"/>
  <c r="W20" i="27" s="1"/>
  <c r="W21" i="27" s="1"/>
  <c r="AY21" i="27" s="1"/>
  <c r="Y17" i="27"/>
  <c r="Y19" i="27" s="1"/>
  <c r="Y20" i="27" s="1"/>
  <c r="Y21" i="27" s="1"/>
  <c r="BA21" i="27" s="1"/>
  <c r="R17" i="27"/>
  <c r="R19" i="27" s="1"/>
  <c r="R20" i="27" s="1"/>
  <c r="R21" i="27" s="1"/>
  <c r="AT21" i="27" s="1"/>
  <c r="Q17" i="27"/>
  <c r="Q19" i="27" s="1"/>
  <c r="Q20" i="27" s="1"/>
  <c r="Q21" i="27" s="1"/>
  <c r="AS21" i="27" s="1"/>
  <c r="AE17" i="27"/>
  <c r="AE19" i="27" s="1"/>
  <c r="AD17" i="27"/>
  <c r="AD19" i="27" s="1"/>
  <c r="AD20" i="27" s="1"/>
  <c r="AD21" i="27" s="1"/>
  <c r="BF21" i="27" s="1"/>
  <c r="I17" i="27"/>
  <c r="AC17" i="27"/>
  <c r="AC19" i="27" s="1"/>
  <c r="AC20" i="27" s="1"/>
  <c r="AC21" i="27" s="1"/>
  <c r="BE21" i="27" s="1"/>
  <c r="AB17" i="27"/>
  <c r="AB19" i="27" s="1"/>
  <c r="AB20" i="27" s="1"/>
  <c r="AB21" i="27" s="1"/>
  <c r="BD21" i="27" s="1"/>
  <c r="G17" i="27"/>
  <c r="H17" i="27"/>
  <c r="Z17" i="27"/>
  <c r="Z19" i="27" s="1"/>
  <c r="Z20" i="27" s="1"/>
  <c r="Z21" i="27" s="1"/>
  <c r="BB21" i="27" s="1"/>
  <c r="AP14" i="26"/>
  <c r="AN14" i="26"/>
  <c r="AZ14" i="24"/>
  <c r="AI13" i="24"/>
  <c r="AS13" i="26"/>
  <c r="AT14" i="26"/>
  <c r="AN13" i="24"/>
  <c r="AQ13" i="26"/>
  <c r="AM13" i="26"/>
  <c r="AZ14" i="26"/>
  <c r="AU13" i="24"/>
  <c r="BG13" i="24"/>
  <c r="AF15" i="24"/>
  <c r="Y17" i="24" s="1"/>
  <c r="Y19" i="24" s="1"/>
  <c r="Y20" i="24" s="1"/>
  <c r="Y21" i="24" s="1"/>
  <c r="BA21" i="24" s="1"/>
  <c r="BF13" i="26"/>
  <c r="AH14" i="26"/>
  <c r="BA14" i="26"/>
  <c r="AL14" i="26"/>
  <c r="AX14" i="26"/>
  <c r="AU14" i="26"/>
  <c r="AF15" i="26"/>
  <c r="Q17" i="26" s="1"/>
  <c r="Q19" i="26" s="1"/>
  <c r="W17" i="25"/>
  <c r="W19" i="25" s="1"/>
  <c r="Z17" i="25"/>
  <c r="O17" i="25"/>
  <c r="O19" i="25" s="1"/>
  <c r="O20" i="25" s="1"/>
  <c r="O21" i="25" s="1"/>
  <c r="AQ21" i="25" s="1"/>
  <c r="S17" i="25"/>
  <c r="V17" i="25"/>
  <c r="V19" i="25" s="1"/>
  <c r="V20" i="25" s="1"/>
  <c r="V21" i="25" s="1"/>
  <c r="AX21" i="25" s="1"/>
  <c r="T17" i="25"/>
  <c r="T19" i="25" s="1"/>
  <c r="AD17" i="25"/>
  <c r="AD19" i="25" s="1"/>
  <c r="AD20" i="25" s="1"/>
  <c r="AD21" i="25" s="1"/>
  <c r="BF21" i="25" s="1"/>
  <c r="Q17" i="25"/>
  <c r="Q19" i="25" s="1"/>
  <c r="M17" i="25"/>
  <c r="AA17" i="25"/>
  <c r="R17" i="28"/>
  <c r="V17" i="28"/>
  <c r="Y17" i="28"/>
  <c r="J17" i="28"/>
  <c r="W17" i="28"/>
  <c r="W19" i="28" s="1"/>
  <c r="W20" i="28" s="1"/>
  <c r="W21" i="28" s="1"/>
  <c r="AY21" i="28" s="1"/>
  <c r="Q17" i="28"/>
  <c r="M17" i="28"/>
  <c r="T17" i="28"/>
  <c r="T19" i="28" s="1"/>
  <c r="L17" i="28"/>
  <c r="AC17" i="28"/>
  <c r="P17" i="28"/>
  <c r="H17" i="28"/>
  <c r="S17" i="28"/>
  <c r="S19" i="28" s="1"/>
  <c r="S20" i="28" s="1"/>
  <c r="S21" i="28" s="1"/>
  <c r="AU21" i="28" s="1"/>
  <c r="X17" i="28"/>
  <c r="U17" i="28"/>
  <c r="U19" i="28" s="1"/>
  <c r="U20" i="28" s="1"/>
  <c r="U21" i="28" s="1"/>
  <c r="AW21" i="28" s="1"/>
  <c r="I17" i="28"/>
  <c r="F17" i="28"/>
  <c r="F19" i="28" s="1"/>
  <c r="F20" i="28" s="1"/>
  <c r="F21" i="28" s="1"/>
  <c r="AA17" i="28"/>
  <c r="AE17" i="28"/>
  <c r="AE19" i="28" s="1"/>
  <c r="AE20" i="28" s="1"/>
  <c r="AE21" i="28" s="1"/>
  <c r="BG21" i="28" s="1"/>
  <c r="O17" i="28"/>
  <c r="AD17" i="28"/>
  <c r="AD19" i="28" s="1"/>
  <c r="K17" i="28"/>
  <c r="G17" i="28"/>
  <c r="G19" i="28" s="1"/>
  <c r="Z17" i="28"/>
  <c r="Z19" i="28" s="1"/>
  <c r="Y17" i="25"/>
  <c r="F17" i="25"/>
  <c r="U17" i="25"/>
  <c r="P17" i="25"/>
  <c r="R17" i="25"/>
  <c r="AE17" i="25"/>
  <c r="AE19" i="25" s="1"/>
  <c r="K17" i="25"/>
  <c r="J17" i="25"/>
  <c r="J19" i="25" s="1"/>
  <c r="J20" i="25" s="1"/>
  <c r="J21" i="25" s="1"/>
  <c r="AL21" i="25" s="1"/>
  <c r="AC17" i="25"/>
  <c r="AC19" i="25" s="1"/>
  <c r="X17" i="25"/>
  <c r="AB17" i="25"/>
  <c r="AB19" i="25" s="1"/>
  <c r="H17" i="25"/>
  <c r="H19" i="25" s="1"/>
  <c r="L17" i="25"/>
  <c r="I17" i="25"/>
  <c r="I19" i="25" s="1"/>
  <c r="G17" i="25"/>
  <c r="G19" i="25" s="1"/>
  <c r="AB17" i="28"/>
  <c r="AB19" i="28" s="1"/>
  <c r="AB20" i="28" s="1"/>
  <c r="AB21" i="28" s="1"/>
  <c r="BD21" i="28" s="1"/>
  <c r="AM16" i="28"/>
  <c r="BF16" i="28"/>
  <c r="AT16" i="28"/>
  <c r="AP16" i="28"/>
  <c r="AN16" i="28"/>
  <c r="BD16" i="28"/>
  <c r="BC16" i="28"/>
  <c r="AU16" i="28"/>
  <c r="AQ16" i="28"/>
  <c r="AW16" i="28"/>
  <c r="AK16" i="28"/>
  <c r="AV16" i="28"/>
  <c r="AJ16" i="28"/>
  <c r="BB16" i="28"/>
  <c r="BG16" i="28"/>
  <c r="AY16" i="28"/>
  <c r="AH16" i="28"/>
  <c r="AS16" i="28"/>
  <c r="BA16" i="28"/>
  <c r="BE16" i="28"/>
  <c r="AR16" i="28"/>
  <c r="AI16" i="28"/>
  <c r="AZ16" i="28"/>
  <c r="AL16" i="28"/>
  <c r="AX16" i="28"/>
  <c r="AO16" i="28"/>
  <c r="N19" i="28"/>
  <c r="N20" i="28" s="1"/>
  <c r="N21" i="28" s="1"/>
  <c r="AP21" i="28" s="1"/>
  <c r="BG16" i="27"/>
  <c r="BA16" i="27"/>
  <c r="AS16" i="27"/>
  <c r="BD16" i="27"/>
  <c r="AO16" i="27"/>
  <c r="AP16" i="27"/>
  <c r="AW16" i="27"/>
  <c r="AT16" i="27"/>
  <c r="BE16" i="27"/>
  <c r="AU16" i="27"/>
  <c r="BC16" i="27"/>
  <c r="BB16" i="27"/>
  <c r="AV16" i="27"/>
  <c r="AZ16" i="27"/>
  <c r="BF16" i="27"/>
  <c r="AJ16" i="27"/>
  <c r="AK16" i="27"/>
  <c r="AQ16" i="27"/>
  <c r="AY16" i="27"/>
  <c r="AM16" i="27"/>
  <c r="AN16" i="27"/>
  <c r="AL16" i="27"/>
  <c r="AI16" i="27"/>
  <c r="AX16" i="27"/>
  <c r="AR16" i="27"/>
  <c r="AH16" i="27"/>
  <c r="M19" i="27"/>
  <c r="M20" i="27" s="1"/>
  <c r="M21" i="27" s="1"/>
  <c r="AO21" i="27" s="1"/>
  <c r="BG16" i="25"/>
  <c r="AS16" i="25"/>
  <c r="BE16" i="25"/>
  <c r="AO16" i="25"/>
  <c r="BA16" i="25"/>
  <c r="AU16" i="25"/>
  <c r="AL16" i="25"/>
  <c r="AR16" i="25"/>
  <c r="AK16" i="25"/>
  <c r="AJ16" i="25"/>
  <c r="BD16" i="25"/>
  <c r="AP16" i="25"/>
  <c r="AV16" i="25"/>
  <c r="AQ16" i="25"/>
  <c r="AX16" i="25"/>
  <c r="BB16" i="25"/>
  <c r="AW16" i="25"/>
  <c r="BC16" i="25"/>
  <c r="AY16" i="25"/>
  <c r="AZ16" i="25"/>
  <c r="AI16" i="25"/>
  <c r="AM16" i="25"/>
  <c r="BF16" i="25"/>
  <c r="AN16" i="25"/>
  <c r="AT16" i="25"/>
  <c r="AH16" i="25"/>
  <c r="N19" i="25"/>
  <c r="N20" i="25" s="1"/>
  <c r="N21" i="25" s="1"/>
  <c r="AP21" i="25" s="1"/>
  <c r="N19" i="23"/>
  <c r="N20" i="23" s="1"/>
  <c r="N21" i="23" s="1"/>
  <c r="AP21" i="23" s="1"/>
  <c r="P19" i="23"/>
  <c r="P20" i="23" s="1"/>
  <c r="P21" i="23" s="1"/>
  <c r="AR21" i="23" s="1"/>
  <c r="T19" i="23"/>
  <c r="T20" i="23" s="1"/>
  <c r="T21" i="23" s="1"/>
  <c r="AV21" i="23" s="1"/>
  <c r="L19" i="23"/>
  <c r="L20" i="23" s="1"/>
  <c r="L21" i="23" s="1"/>
  <c r="AN21" i="23" s="1"/>
  <c r="V19" i="23"/>
  <c r="V20" i="23" s="1"/>
  <c r="V21" i="23" s="1"/>
  <c r="AX21" i="23" s="1"/>
  <c r="Z19" i="23"/>
  <c r="Z20" i="23" s="1"/>
  <c r="Z21" i="23" s="1"/>
  <c r="BB21" i="23" s="1"/>
  <c r="AB19" i="23"/>
  <c r="AB20" i="23" s="1"/>
  <c r="AB21" i="23" s="1"/>
  <c r="BD21" i="23" s="1"/>
  <c r="R19" i="23"/>
  <c r="R20" i="23" s="1"/>
  <c r="R21" i="23" s="1"/>
  <c r="AT21" i="23" s="1"/>
  <c r="M19" i="23"/>
  <c r="M20" i="23" s="1"/>
  <c r="M21" i="23" s="1"/>
  <c r="AO21" i="23" s="1"/>
  <c r="H19" i="23"/>
  <c r="H20" i="23" s="1"/>
  <c r="H21" i="23" s="1"/>
  <c r="AJ21" i="23" s="1"/>
  <c r="J19" i="23"/>
  <c r="J20" i="23" s="1"/>
  <c r="J21" i="23" s="1"/>
  <c r="AL21" i="23" s="1"/>
  <c r="S19" i="23"/>
  <c r="S20" i="23" s="1"/>
  <c r="S21" i="23" s="1"/>
  <c r="AU21" i="23" s="1"/>
  <c r="X19" i="23"/>
  <c r="X20" i="23" s="1"/>
  <c r="X21" i="23" s="1"/>
  <c r="AZ21" i="23" s="1"/>
  <c r="U19" i="23"/>
  <c r="U20" i="23" s="1"/>
  <c r="U21" i="23" s="1"/>
  <c r="AW21" i="23" s="1"/>
  <c r="O19" i="23"/>
  <c r="O20" i="23" s="1"/>
  <c r="O21" i="23" s="1"/>
  <c r="AQ21" i="23" s="1"/>
  <c r="Q19" i="23"/>
  <c r="Q20" i="23" s="1"/>
  <c r="Q21" i="23" s="1"/>
  <c r="AS21" i="23" s="1"/>
  <c r="Y19" i="23"/>
  <c r="Y20" i="23" s="1"/>
  <c r="Y21" i="23" s="1"/>
  <c r="BA21" i="23" s="1"/>
  <c r="AD19" i="23"/>
  <c r="AD20" i="23" s="1"/>
  <c r="AD21" i="23" s="1"/>
  <c r="BF21" i="23" s="1"/>
  <c r="AC19" i="23"/>
  <c r="AC20" i="23" s="1"/>
  <c r="AC21" i="23" s="1"/>
  <c r="BE21" i="23" s="1"/>
  <c r="W19" i="23"/>
  <c r="W20" i="23" s="1"/>
  <c r="W21" i="23" s="1"/>
  <c r="AY21" i="23" s="1"/>
  <c r="AA19" i="23"/>
  <c r="AA20" i="23" s="1"/>
  <c r="AA21" i="23" s="1"/>
  <c r="BC21" i="23" s="1"/>
  <c r="AE19" i="23"/>
  <c r="AE20" i="23" s="1"/>
  <c r="AE21" i="23" s="1"/>
  <c r="BG21" i="23" s="1"/>
  <c r="AR16" i="23"/>
  <c r="AY16" i="23"/>
  <c r="BE16" i="23"/>
  <c r="AM16" i="23"/>
  <c r="AS16" i="23"/>
  <c r="AX16" i="23"/>
  <c r="BA16" i="23"/>
  <c r="BB16" i="23"/>
  <c r="AU16" i="23"/>
  <c r="AL16" i="23"/>
  <c r="AP16" i="23"/>
  <c r="AQ16" i="23"/>
  <c r="AI16" i="23"/>
  <c r="AJ16" i="23"/>
  <c r="AN16" i="23"/>
  <c r="AK16" i="23"/>
  <c r="AW16" i="23"/>
  <c r="BG16" i="23"/>
  <c r="AT16" i="23"/>
  <c r="AV16" i="23"/>
  <c r="AO16" i="23"/>
  <c r="AZ16" i="23"/>
  <c r="BD16" i="23"/>
  <c r="BC16" i="23"/>
  <c r="BF16" i="23"/>
  <c r="AH16" i="23"/>
  <c r="G19" i="23"/>
  <c r="G20" i="23" s="1"/>
  <c r="G21" i="23" s="1"/>
  <c r="AI21" i="23" s="1"/>
  <c r="I19" i="23"/>
  <c r="I20" i="23" s="1"/>
  <c r="I21" i="23" s="1"/>
  <c r="AK21" i="23" s="1"/>
  <c r="K19" i="23"/>
  <c r="K20" i="23" s="1"/>
  <c r="K21" i="23" s="1"/>
  <c r="AM21" i="23" s="1"/>
  <c r="F19" i="23"/>
  <c r="F20" i="23" s="1"/>
  <c r="F21" i="23" s="1"/>
  <c r="BB7" i="1"/>
  <c r="AJ7" i="1"/>
  <c r="AY8" i="1"/>
  <c r="AN8" i="1"/>
  <c r="AP8" i="1"/>
  <c r="AP7" i="1"/>
  <c r="AL8" i="1"/>
  <c r="AL7" i="1"/>
  <c r="AH8" i="1"/>
  <c r="AZ7" i="1"/>
  <c r="AZ8" i="1"/>
  <c r="BC8" i="1"/>
  <c r="BC7" i="1"/>
  <c r="AQ8" i="1"/>
  <c r="AQ7" i="1"/>
  <c r="BE7" i="1"/>
  <c r="BE8" i="1"/>
  <c r="AM7" i="1"/>
  <c r="AM8" i="1"/>
  <c r="E1" i="1"/>
  <c r="B2" i="39" s="1"/>
  <c r="G18" i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G12" i="1"/>
  <c r="H12" i="1" s="1"/>
  <c r="G33" i="1"/>
  <c r="H33" i="1" s="1"/>
  <c r="I33" i="1" s="1"/>
  <c r="J33" i="1" s="1"/>
  <c r="K33" i="1" s="1"/>
  <c r="L33" i="1" s="1"/>
  <c r="M33" i="1" s="1"/>
  <c r="N33" i="1" s="1"/>
  <c r="O33" i="1" s="1"/>
  <c r="P33" i="1" s="1"/>
  <c r="Q33" i="1" s="1"/>
  <c r="R33" i="1" s="1"/>
  <c r="S33" i="1" s="1"/>
  <c r="T33" i="1" s="1"/>
  <c r="U33" i="1" s="1"/>
  <c r="V33" i="1" s="1"/>
  <c r="W33" i="1" s="1"/>
  <c r="X33" i="1" s="1"/>
  <c r="Y33" i="1" s="1"/>
  <c r="Z33" i="1" s="1"/>
  <c r="AA33" i="1" s="1"/>
  <c r="AB33" i="1" s="1"/>
  <c r="AC33" i="1" s="1"/>
  <c r="AD33" i="1" s="1"/>
  <c r="AE33" i="1" s="1"/>
  <c r="F39" i="1"/>
  <c r="G6" i="1"/>
  <c r="G9" i="1" s="1"/>
  <c r="AI9" i="1" s="1"/>
  <c r="Z34" i="38" l="1"/>
  <c r="Z35" i="38" s="1"/>
  <c r="Z36" i="38" s="1"/>
  <c r="BB36" i="38" s="1"/>
  <c r="L34" i="38"/>
  <c r="L35" i="38" s="1"/>
  <c r="L36" i="38" s="1"/>
  <c r="AN36" i="38" s="1"/>
  <c r="P34" i="38"/>
  <c r="P35" i="38" s="1"/>
  <c r="P36" i="38" s="1"/>
  <c r="AR36" i="38" s="1"/>
  <c r="K34" i="38"/>
  <c r="K35" i="38" s="1"/>
  <c r="K36" i="38" s="1"/>
  <c r="AM36" i="38" s="1"/>
  <c r="T34" i="38"/>
  <c r="T35" i="38" s="1"/>
  <c r="T36" i="38" s="1"/>
  <c r="AV36" i="38" s="1"/>
  <c r="X34" i="38"/>
  <c r="X35" i="38" s="1"/>
  <c r="X36" i="38" s="1"/>
  <c r="AZ36" i="38" s="1"/>
  <c r="V34" i="38"/>
  <c r="V35" i="38" s="1"/>
  <c r="V36" i="38" s="1"/>
  <c r="AX36" i="38" s="1"/>
  <c r="R34" i="38"/>
  <c r="R35" i="38" s="1"/>
  <c r="R36" i="38" s="1"/>
  <c r="AT36" i="38" s="1"/>
  <c r="AA34" i="38"/>
  <c r="AA35" i="38" s="1"/>
  <c r="AA36" i="38" s="1"/>
  <c r="BC36" i="38" s="1"/>
  <c r="AB34" i="38"/>
  <c r="AB35" i="38" s="1"/>
  <c r="AB36" i="38" s="1"/>
  <c r="BD36" i="38" s="1"/>
  <c r="I34" i="38"/>
  <c r="I35" i="38" s="1"/>
  <c r="I36" i="38" s="1"/>
  <c r="AK36" i="38" s="1"/>
  <c r="F34" i="38"/>
  <c r="F35" i="38" s="1"/>
  <c r="F36" i="38" s="1"/>
  <c r="M34" i="38"/>
  <c r="M35" i="38" s="1"/>
  <c r="M36" i="38" s="1"/>
  <c r="AO36" i="38" s="1"/>
  <c r="G34" i="38"/>
  <c r="G35" i="38" s="1"/>
  <c r="G36" i="38" s="1"/>
  <c r="AI36" i="38" s="1"/>
  <c r="Q34" i="38"/>
  <c r="Q35" i="38" s="1"/>
  <c r="Q36" i="38" s="1"/>
  <c r="AS36" i="38" s="1"/>
  <c r="J34" i="38"/>
  <c r="J35" i="38" s="1"/>
  <c r="J36" i="38" s="1"/>
  <c r="AL36" i="38" s="1"/>
  <c r="AC34" i="38"/>
  <c r="AC35" i="38" s="1"/>
  <c r="AC36" i="38" s="1"/>
  <c r="BE36" i="38" s="1"/>
  <c r="O34" i="38"/>
  <c r="O35" i="38" s="1"/>
  <c r="O36" i="38" s="1"/>
  <c r="AQ36" i="38" s="1"/>
  <c r="Y34" i="38"/>
  <c r="Y35" i="38" s="1"/>
  <c r="Y36" i="38" s="1"/>
  <c r="BA36" i="38" s="1"/>
  <c r="H34" i="38"/>
  <c r="H35" i="38" s="1"/>
  <c r="H36" i="38" s="1"/>
  <c r="AJ36" i="38" s="1"/>
  <c r="S34" i="38"/>
  <c r="S35" i="38" s="1"/>
  <c r="S36" i="38" s="1"/>
  <c r="AU36" i="38" s="1"/>
  <c r="N34" i="38"/>
  <c r="N35" i="38" s="1"/>
  <c r="N36" i="38" s="1"/>
  <c r="AP36" i="38" s="1"/>
  <c r="W34" i="38"/>
  <c r="W35" i="38" s="1"/>
  <c r="W36" i="38" s="1"/>
  <c r="AY36" i="38" s="1"/>
  <c r="AU31" i="38"/>
  <c r="AJ31" i="38"/>
  <c r="AN31" i="38"/>
  <c r="AO31" i="38"/>
  <c r="AW31" i="38"/>
  <c r="AY31" i="38"/>
  <c r="AM31" i="38"/>
  <c r="AL31" i="38"/>
  <c r="BF31" i="38"/>
  <c r="AK31" i="38"/>
  <c r="BE31" i="38"/>
  <c r="AV31" i="38"/>
  <c r="BC31" i="38"/>
  <c r="AI31" i="38"/>
  <c r="AS31" i="38"/>
  <c r="BA31" i="38"/>
  <c r="BD31" i="38"/>
  <c r="AZ31" i="38"/>
  <c r="AH31" i="38"/>
  <c r="AR31" i="38"/>
  <c r="AQ31" i="38"/>
  <c r="BG31" i="38"/>
  <c r="AP31" i="38"/>
  <c r="BB31" i="38"/>
  <c r="AX31" i="38"/>
  <c r="AT31" i="38"/>
  <c r="U34" i="38"/>
  <c r="U35" i="38" s="1"/>
  <c r="U36" i="38" s="1"/>
  <c r="AW36" i="38" s="1"/>
  <c r="AD34" i="38"/>
  <c r="AD35" i="38" s="1"/>
  <c r="AD36" i="38" s="1"/>
  <c r="BF36" i="38" s="1"/>
  <c r="AE34" i="38"/>
  <c r="AE35" i="38" s="1"/>
  <c r="AE36" i="38" s="1"/>
  <c r="BG36" i="38" s="1"/>
  <c r="AQ34" i="37"/>
  <c r="AQ35" i="37"/>
  <c r="BD35" i="37"/>
  <c r="BD34" i="37"/>
  <c r="AU35" i="37"/>
  <c r="AU34" i="37"/>
  <c r="AV35" i="37"/>
  <c r="AV34" i="37"/>
  <c r="AO34" i="37"/>
  <c r="AO35" i="37"/>
  <c r="AH36" i="37"/>
  <c r="AF36" i="37"/>
  <c r="BC35" i="37"/>
  <c r="BC34" i="37"/>
  <c r="AZ34" i="37"/>
  <c r="AZ35" i="37"/>
  <c r="AT35" i="37"/>
  <c r="AT34" i="37"/>
  <c r="BE34" i="37"/>
  <c r="BE35" i="37"/>
  <c r="BG34" i="37"/>
  <c r="BG35" i="37"/>
  <c r="AJ34" i="37"/>
  <c r="AJ35" i="37"/>
  <c r="AX34" i="37"/>
  <c r="AX35" i="37"/>
  <c r="AS35" i="37"/>
  <c r="AS34" i="37"/>
  <c r="BB35" i="37"/>
  <c r="BB34" i="37"/>
  <c r="AY34" i="37"/>
  <c r="AY35" i="37"/>
  <c r="AP34" i="37"/>
  <c r="AP35" i="37"/>
  <c r="BA35" i="37"/>
  <c r="BA34" i="37"/>
  <c r="AR34" i="37"/>
  <c r="AR35" i="37"/>
  <c r="AK35" i="37"/>
  <c r="AK34" i="37"/>
  <c r="AI34" i="37"/>
  <c r="AI35" i="37"/>
  <c r="AL35" i="37"/>
  <c r="AL34" i="37"/>
  <c r="AW34" i="37"/>
  <c r="AW35" i="37"/>
  <c r="AN35" i="37"/>
  <c r="AN34" i="37"/>
  <c r="AM35" i="37"/>
  <c r="AM34" i="37"/>
  <c r="BF34" i="37"/>
  <c r="BF35" i="37"/>
  <c r="P34" i="36"/>
  <c r="P35" i="36" s="1"/>
  <c r="P36" i="36" s="1"/>
  <c r="AR36" i="36" s="1"/>
  <c r="Y34" i="36"/>
  <c r="Y35" i="36" s="1"/>
  <c r="Y36" i="36" s="1"/>
  <c r="BA36" i="36" s="1"/>
  <c r="Q34" i="36"/>
  <c r="Q35" i="36" s="1"/>
  <c r="Q36" i="36" s="1"/>
  <c r="AS36" i="36" s="1"/>
  <c r="T34" i="36"/>
  <c r="T35" i="36" s="1"/>
  <c r="T36" i="36" s="1"/>
  <c r="AV36" i="36" s="1"/>
  <c r="F34" i="36"/>
  <c r="F35" i="36" s="1"/>
  <c r="F36" i="36" s="1"/>
  <c r="J34" i="36"/>
  <c r="J35" i="36" s="1"/>
  <c r="J36" i="36" s="1"/>
  <c r="AL36" i="36" s="1"/>
  <c r="AB34" i="36"/>
  <c r="AB35" i="36" s="1"/>
  <c r="AB36" i="36" s="1"/>
  <c r="BD36" i="36" s="1"/>
  <c r="L34" i="36"/>
  <c r="L35" i="36" s="1"/>
  <c r="L36" i="36" s="1"/>
  <c r="AN36" i="36" s="1"/>
  <c r="H34" i="36"/>
  <c r="H35" i="36" s="1"/>
  <c r="H36" i="36" s="1"/>
  <c r="AJ36" i="36" s="1"/>
  <c r="N34" i="36"/>
  <c r="N35" i="36" s="1"/>
  <c r="N36" i="36" s="1"/>
  <c r="AP36" i="36" s="1"/>
  <c r="Z34" i="36"/>
  <c r="Z35" i="36" s="1"/>
  <c r="Z36" i="36" s="1"/>
  <c r="BB36" i="36" s="1"/>
  <c r="U34" i="36"/>
  <c r="U35" i="36" s="1"/>
  <c r="U36" i="36" s="1"/>
  <c r="AW36" i="36" s="1"/>
  <c r="R34" i="36"/>
  <c r="R35" i="36" s="1"/>
  <c r="R36" i="36" s="1"/>
  <c r="AT36" i="36" s="1"/>
  <c r="M34" i="36"/>
  <c r="M35" i="36" s="1"/>
  <c r="M36" i="36" s="1"/>
  <c r="AO36" i="36" s="1"/>
  <c r="I34" i="36"/>
  <c r="I35" i="36" s="1"/>
  <c r="I36" i="36" s="1"/>
  <c r="AK36" i="36" s="1"/>
  <c r="AD34" i="36"/>
  <c r="AD35" i="36" s="1"/>
  <c r="AD36" i="36" s="1"/>
  <c r="BF36" i="36" s="1"/>
  <c r="K34" i="36"/>
  <c r="K35" i="36" s="1"/>
  <c r="K36" i="36" s="1"/>
  <c r="AM36" i="36" s="1"/>
  <c r="AC34" i="36"/>
  <c r="AC35" i="36" s="1"/>
  <c r="AC36" i="36" s="1"/>
  <c r="BE36" i="36" s="1"/>
  <c r="G34" i="36"/>
  <c r="G35" i="36" s="1"/>
  <c r="G36" i="36" s="1"/>
  <c r="AI36" i="36" s="1"/>
  <c r="V34" i="36"/>
  <c r="V35" i="36" s="1"/>
  <c r="V36" i="36" s="1"/>
  <c r="AX36" i="36" s="1"/>
  <c r="O34" i="36"/>
  <c r="O35" i="36" s="1"/>
  <c r="O36" i="36" s="1"/>
  <c r="AQ36" i="36" s="1"/>
  <c r="S34" i="36"/>
  <c r="S35" i="36" s="1"/>
  <c r="S36" i="36" s="1"/>
  <c r="AU36" i="36" s="1"/>
  <c r="BB31" i="36"/>
  <c r="AK31" i="36"/>
  <c r="AN31" i="36"/>
  <c r="AZ31" i="36"/>
  <c r="AR31" i="36"/>
  <c r="BF31" i="36"/>
  <c r="BA31" i="36"/>
  <c r="BD31" i="36"/>
  <c r="AX31" i="36"/>
  <c r="AY31" i="36"/>
  <c r="AQ31" i="36"/>
  <c r="AL31" i="36"/>
  <c r="BC31" i="36"/>
  <c r="BG31" i="36"/>
  <c r="AJ31" i="36"/>
  <c r="AM31" i="36"/>
  <c r="AI31" i="36"/>
  <c r="AS31" i="36"/>
  <c r="AP31" i="36"/>
  <c r="AU31" i="36"/>
  <c r="AW31" i="36"/>
  <c r="AV31" i="36"/>
  <c r="BE31" i="36"/>
  <c r="AH31" i="36"/>
  <c r="AT31" i="36"/>
  <c r="AO31" i="36"/>
  <c r="X34" i="36"/>
  <c r="X35" i="36" s="1"/>
  <c r="X36" i="36" s="1"/>
  <c r="AZ36" i="36" s="1"/>
  <c r="W34" i="36"/>
  <c r="W35" i="36" s="1"/>
  <c r="W36" i="36" s="1"/>
  <c r="AY36" i="36" s="1"/>
  <c r="AE34" i="36"/>
  <c r="AE35" i="36" s="1"/>
  <c r="AE36" i="36" s="1"/>
  <c r="BG36" i="36" s="1"/>
  <c r="AA34" i="36"/>
  <c r="AA35" i="36" s="1"/>
  <c r="AA36" i="36" s="1"/>
  <c r="BC36" i="36" s="1"/>
  <c r="S43" i="31"/>
  <c r="AS43" i="31"/>
  <c r="AS42" i="31"/>
  <c r="T77" i="31"/>
  <c r="AT76" i="31"/>
  <c r="AT77" i="31"/>
  <c r="T73" i="31"/>
  <c r="AT72" i="31"/>
  <c r="AT73" i="31"/>
  <c r="T39" i="31"/>
  <c r="AT39" i="31"/>
  <c r="AT38" i="31"/>
  <c r="S57" i="31"/>
  <c r="AS56" i="31"/>
  <c r="AS57" i="31"/>
  <c r="S53" i="31"/>
  <c r="AS52" i="31"/>
  <c r="AS53" i="31"/>
  <c r="S65" i="31"/>
  <c r="AS65" i="31"/>
  <c r="AS64" i="31"/>
  <c r="S59" i="31"/>
  <c r="AS58" i="31"/>
  <c r="AS59" i="31"/>
  <c r="T49" i="31"/>
  <c r="AT49" i="31"/>
  <c r="AT48" i="31"/>
  <c r="U55" i="31"/>
  <c r="AU55" i="31"/>
  <c r="AU54" i="31"/>
  <c r="T69" i="31"/>
  <c r="AT68" i="31"/>
  <c r="AT69" i="31"/>
  <c r="S37" i="31"/>
  <c r="AS36" i="31"/>
  <c r="AS37" i="31"/>
  <c r="U41" i="31"/>
  <c r="AU40" i="31"/>
  <c r="AU41" i="31"/>
  <c r="S51" i="31"/>
  <c r="AS50" i="31"/>
  <c r="AS51" i="31"/>
  <c r="U45" i="31"/>
  <c r="AU45" i="31"/>
  <c r="AU44" i="31"/>
  <c r="S35" i="31"/>
  <c r="AS34" i="31"/>
  <c r="AS35" i="31"/>
  <c r="S63" i="31"/>
  <c r="AS63" i="31"/>
  <c r="AS62" i="31"/>
  <c r="S67" i="31"/>
  <c r="AS67" i="31"/>
  <c r="AS66" i="31"/>
  <c r="T61" i="31"/>
  <c r="AT60" i="31"/>
  <c r="AT61" i="31"/>
  <c r="AS16" i="29"/>
  <c r="BF16" i="29"/>
  <c r="AI16" i="29"/>
  <c r="BE16" i="29"/>
  <c r="AT16" i="29"/>
  <c r="AR16" i="29"/>
  <c r="AU16" i="29"/>
  <c r="BC16" i="29"/>
  <c r="AO16" i="29"/>
  <c r="BG16" i="29"/>
  <c r="BD16" i="29"/>
  <c r="AH16" i="29"/>
  <c r="AN16" i="29"/>
  <c r="AK16" i="29"/>
  <c r="AV16" i="29"/>
  <c r="BA16" i="29"/>
  <c r="AX16" i="29"/>
  <c r="AW16" i="29"/>
  <c r="AP16" i="29"/>
  <c r="AJ16" i="29"/>
  <c r="AQ16" i="29"/>
  <c r="AY16" i="29"/>
  <c r="AM16" i="29"/>
  <c r="BB16" i="29"/>
  <c r="AZ16" i="29"/>
  <c r="AL16" i="29"/>
  <c r="Q17" i="29"/>
  <c r="Q19" i="29" s="1"/>
  <c r="Q20" i="29" s="1"/>
  <c r="Q21" i="29" s="1"/>
  <c r="AS21" i="29" s="1"/>
  <c r="AS19" i="29" s="1"/>
  <c r="AC17" i="29"/>
  <c r="AC19" i="29" s="1"/>
  <c r="AC20" i="29" s="1"/>
  <c r="AC21" i="29" s="1"/>
  <c r="BE21" i="29" s="1"/>
  <c r="BE20" i="29" s="1"/>
  <c r="U17" i="29"/>
  <c r="U19" i="29" s="1"/>
  <c r="U20" i="29" s="1"/>
  <c r="U21" i="29" s="1"/>
  <c r="AW21" i="29" s="1"/>
  <c r="AW20" i="29" s="1"/>
  <c r="Z17" i="29"/>
  <c r="Z19" i="29" s="1"/>
  <c r="K17" i="29"/>
  <c r="K19" i="29" s="1"/>
  <c r="K20" i="29" s="1"/>
  <c r="K21" i="29" s="1"/>
  <c r="AM21" i="29" s="1"/>
  <c r="L17" i="29"/>
  <c r="L19" i="29" s="1"/>
  <c r="L20" i="29" s="1"/>
  <c r="L21" i="29" s="1"/>
  <c r="AN21" i="29" s="1"/>
  <c r="M17" i="29"/>
  <c r="M19" i="29" s="1"/>
  <c r="M20" i="29" s="1"/>
  <c r="M21" i="29" s="1"/>
  <c r="AO21" i="29" s="1"/>
  <c r="AO20" i="29" s="1"/>
  <c r="I17" i="29"/>
  <c r="I19" i="29" s="1"/>
  <c r="I20" i="29" s="1"/>
  <c r="I21" i="29" s="1"/>
  <c r="AK21" i="29" s="1"/>
  <c r="AK20" i="29" s="1"/>
  <c r="N17" i="29"/>
  <c r="N19" i="29" s="1"/>
  <c r="N20" i="29" s="1"/>
  <c r="N21" i="29" s="1"/>
  <c r="AP21" i="29" s="1"/>
  <c r="AP19" i="29" s="1"/>
  <c r="V17" i="29"/>
  <c r="V19" i="29" s="1"/>
  <c r="V20" i="29" s="1"/>
  <c r="V21" i="29" s="1"/>
  <c r="AX21" i="29" s="1"/>
  <c r="AX20" i="29" s="1"/>
  <c r="S17" i="29"/>
  <c r="S19" i="29" s="1"/>
  <c r="S20" i="29" s="1"/>
  <c r="S21" i="29" s="1"/>
  <c r="AU21" i="29" s="1"/>
  <c r="AU19" i="29" s="1"/>
  <c r="X17" i="29"/>
  <c r="X19" i="29" s="1"/>
  <c r="X20" i="29" s="1"/>
  <c r="X21" i="29" s="1"/>
  <c r="AZ21" i="29" s="1"/>
  <c r="F17" i="29"/>
  <c r="F19" i="29" s="1"/>
  <c r="F20" i="29" s="1"/>
  <c r="F21" i="29" s="1"/>
  <c r="AH21" i="29" s="1"/>
  <c r="AB17" i="29"/>
  <c r="AB19" i="29" s="1"/>
  <c r="AB20" i="29" s="1"/>
  <c r="AB21" i="29" s="1"/>
  <c r="BD21" i="29" s="1"/>
  <c r="BD20" i="29" s="1"/>
  <c r="T17" i="29"/>
  <c r="T19" i="29" s="1"/>
  <c r="T20" i="29" s="1"/>
  <c r="T21" i="29" s="1"/>
  <c r="AV21" i="29" s="1"/>
  <c r="AV19" i="29" s="1"/>
  <c r="R17" i="29"/>
  <c r="R19" i="29" s="1"/>
  <c r="R20" i="29" s="1"/>
  <c r="R21" i="29" s="1"/>
  <c r="AT21" i="29" s="1"/>
  <c r="AT20" i="29" s="1"/>
  <c r="W17" i="29"/>
  <c r="W19" i="29" s="1"/>
  <c r="W20" i="29" s="1"/>
  <c r="W21" i="29" s="1"/>
  <c r="AY21" i="29" s="1"/>
  <c r="AY19" i="29" s="1"/>
  <c r="AE17" i="29"/>
  <c r="AE19" i="29" s="1"/>
  <c r="AE20" i="29" s="1"/>
  <c r="AE21" i="29" s="1"/>
  <c r="BG21" i="29" s="1"/>
  <c r="BG20" i="29" s="1"/>
  <c r="Y17" i="29"/>
  <c r="Y19" i="29" s="1"/>
  <c r="Y20" i="29" s="1"/>
  <c r="Y21" i="29" s="1"/>
  <c r="BA21" i="29" s="1"/>
  <c r="BA20" i="29" s="1"/>
  <c r="O17" i="29"/>
  <c r="O19" i="29" s="1"/>
  <c r="AA17" i="29"/>
  <c r="AA19" i="29" s="1"/>
  <c r="AA20" i="29" s="1"/>
  <c r="AA21" i="29" s="1"/>
  <c r="BC21" i="29" s="1"/>
  <c r="BC20" i="29" s="1"/>
  <c r="G17" i="29"/>
  <c r="G19" i="29" s="1"/>
  <c r="G20" i="29" s="1"/>
  <c r="G21" i="29" s="1"/>
  <c r="AI21" i="29" s="1"/>
  <c r="AD17" i="29"/>
  <c r="AD19" i="29" s="1"/>
  <c r="AD20" i="29" s="1"/>
  <c r="AD21" i="29" s="1"/>
  <c r="BF21" i="29" s="1"/>
  <c r="H17" i="29"/>
  <c r="H19" i="29" s="1"/>
  <c r="H20" i="29" s="1"/>
  <c r="H21" i="29" s="1"/>
  <c r="AJ21" i="29" s="1"/>
  <c r="AJ20" i="29" s="1"/>
  <c r="P17" i="29"/>
  <c r="P19" i="29" s="1"/>
  <c r="P20" i="29" s="1"/>
  <c r="P21" i="29" s="1"/>
  <c r="AR21" i="29" s="1"/>
  <c r="AR19" i="29" s="1"/>
  <c r="BG16" i="24"/>
  <c r="AK16" i="26"/>
  <c r="AN16" i="24"/>
  <c r="AQ16" i="24"/>
  <c r="BD16" i="24"/>
  <c r="AO16" i="24"/>
  <c r="BE16" i="24"/>
  <c r="AL16" i="24"/>
  <c r="AP16" i="24"/>
  <c r="AU16" i="24"/>
  <c r="BA16" i="24"/>
  <c r="BC16" i="24"/>
  <c r="AT16" i="24"/>
  <c r="AH16" i="24"/>
  <c r="AX16" i="24"/>
  <c r="AS16" i="24"/>
  <c r="BF16" i="24"/>
  <c r="AK16" i="24"/>
  <c r="AW16" i="24"/>
  <c r="BB16" i="24"/>
  <c r="AM16" i="24"/>
  <c r="I19" i="27"/>
  <c r="I20" i="27" s="1"/>
  <c r="I21" i="27" s="1"/>
  <c r="AK21" i="27" s="1"/>
  <c r="AZ16" i="24"/>
  <c r="AY16" i="24"/>
  <c r="AV16" i="24"/>
  <c r="AI16" i="24"/>
  <c r="AR16" i="24"/>
  <c r="N19" i="27"/>
  <c r="N20" i="27" s="1"/>
  <c r="N21" i="27" s="1"/>
  <c r="AP21" i="27" s="1"/>
  <c r="H19" i="27"/>
  <c r="H20" i="27" s="1"/>
  <c r="H21" i="27" s="1"/>
  <c r="AJ21" i="27" s="1"/>
  <c r="AJ16" i="24"/>
  <c r="AE20" i="27"/>
  <c r="AE21" i="27" s="1"/>
  <c r="BG21" i="27" s="1"/>
  <c r="BG19" i="27" s="1"/>
  <c r="K19" i="27"/>
  <c r="K20" i="27" s="1"/>
  <c r="K21" i="27" s="1"/>
  <c r="AM21" i="27" s="1"/>
  <c r="G19" i="27"/>
  <c r="G20" i="27" s="1"/>
  <c r="G21" i="27" s="1"/>
  <c r="AI21" i="27" s="1"/>
  <c r="AO16" i="26"/>
  <c r="K17" i="24"/>
  <c r="K19" i="24" s="1"/>
  <c r="AE17" i="24"/>
  <c r="AE19" i="24" s="1"/>
  <c r="AE20" i="24" s="1"/>
  <c r="AE21" i="24" s="1"/>
  <c r="BG21" i="24" s="1"/>
  <c r="BG20" i="24" s="1"/>
  <c r="I17" i="24"/>
  <c r="I19" i="24" s="1"/>
  <c r="AB17" i="24"/>
  <c r="AB19" i="24" s="1"/>
  <c r="AB20" i="24" s="1"/>
  <c r="AB21" i="24" s="1"/>
  <c r="BD21" i="24" s="1"/>
  <c r="BD20" i="24" s="1"/>
  <c r="S17" i="24"/>
  <c r="S19" i="24" s="1"/>
  <c r="S20" i="24" s="1"/>
  <c r="S21" i="24" s="1"/>
  <c r="AU21" i="24" s="1"/>
  <c r="AU19" i="24" s="1"/>
  <c r="AC17" i="24"/>
  <c r="BE16" i="26"/>
  <c r="G17" i="24"/>
  <c r="F17" i="24"/>
  <c r="F19" i="24" s="1"/>
  <c r="U17" i="24"/>
  <c r="U19" i="24" s="1"/>
  <c r="V17" i="24"/>
  <c r="V19" i="24" s="1"/>
  <c r="X17" i="24"/>
  <c r="X19" i="24" s="1"/>
  <c r="X20" i="24" s="1"/>
  <c r="X21" i="24" s="1"/>
  <c r="AZ21" i="24" s="1"/>
  <c r="AZ19" i="24" s="1"/>
  <c r="W17" i="24"/>
  <c r="W19" i="24" s="1"/>
  <c r="W20" i="24" s="1"/>
  <c r="W21" i="24" s="1"/>
  <c r="AY21" i="24" s="1"/>
  <c r="AY20" i="24" s="1"/>
  <c r="J17" i="24"/>
  <c r="J19" i="24" s="1"/>
  <c r="J20" i="24" s="1"/>
  <c r="J21" i="24" s="1"/>
  <c r="AL21" i="24" s="1"/>
  <c r="AL19" i="24" s="1"/>
  <c r="O17" i="24"/>
  <c r="O19" i="24" s="1"/>
  <c r="Z17" i="24"/>
  <c r="Z19" i="24" s="1"/>
  <c r="Z20" i="24" s="1"/>
  <c r="Z21" i="24" s="1"/>
  <c r="BB21" i="24" s="1"/>
  <c r="BB20" i="24" s="1"/>
  <c r="P17" i="24"/>
  <c r="P19" i="24" s="1"/>
  <c r="P20" i="24" s="1"/>
  <c r="P21" i="24" s="1"/>
  <c r="AR21" i="24" s="1"/>
  <c r="AR20" i="24" s="1"/>
  <c r="AW16" i="26"/>
  <c r="L17" i="24"/>
  <c r="L19" i="24" s="1"/>
  <c r="R17" i="24"/>
  <c r="R19" i="24" s="1"/>
  <c r="M17" i="24"/>
  <c r="M19" i="24" s="1"/>
  <c r="M20" i="24" s="1"/>
  <c r="M21" i="24" s="1"/>
  <c r="AO21" i="24" s="1"/>
  <c r="AO20" i="24" s="1"/>
  <c r="AU16" i="26"/>
  <c r="AT16" i="26"/>
  <c r="AV16" i="26"/>
  <c r="BA16" i="26"/>
  <c r="BG16" i="26"/>
  <c r="BB16" i="26"/>
  <c r="AI16" i="26"/>
  <c r="AX16" i="26"/>
  <c r="AP16" i="26"/>
  <c r="AQ16" i="26"/>
  <c r="AN16" i="26"/>
  <c r="AR16" i="26"/>
  <c r="AY16" i="26"/>
  <c r="AZ16" i="26"/>
  <c r="AS16" i="26"/>
  <c r="AL16" i="26"/>
  <c r="AJ16" i="26"/>
  <c r="BD16" i="26"/>
  <c r="BC16" i="26"/>
  <c r="AH16" i="26"/>
  <c r="BF16" i="26"/>
  <c r="AM16" i="26"/>
  <c r="AA17" i="24"/>
  <c r="AA19" i="24" s="1"/>
  <c r="N17" i="24"/>
  <c r="N19" i="24" s="1"/>
  <c r="Q17" i="24"/>
  <c r="Q19" i="24" s="1"/>
  <c r="Q20" i="24" s="1"/>
  <c r="Q21" i="24" s="1"/>
  <c r="AS21" i="24" s="1"/>
  <c r="AS20" i="24" s="1"/>
  <c r="H17" i="24"/>
  <c r="H19" i="24" s="1"/>
  <c r="AD17" i="24"/>
  <c r="AD19" i="24" s="1"/>
  <c r="AD20" i="24" s="1"/>
  <c r="AD21" i="24" s="1"/>
  <c r="BF21" i="24" s="1"/>
  <c r="BF20" i="24" s="1"/>
  <c r="T17" i="24"/>
  <c r="T19" i="24" s="1"/>
  <c r="T20" i="24" s="1"/>
  <c r="T21" i="24" s="1"/>
  <c r="AV21" i="24" s="1"/>
  <c r="AV20" i="24" s="1"/>
  <c r="AC17" i="26"/>
  <c r="AC19" i="26" s="1"/>
  <c r="N17" i="26"/>
  <c r="N19" i="26" s="1"/>
  <c r="N20" i="26" s="1"/>
  <c r="N21" i="26" s="1"/>
  <c r="AP21" i="26" s="1"/>
  <c r="AP19" i="26" s="1"/>
  <c r="I17" i="26"/>
  <c r="I19" i="26" s="1"/>
  <c r="I20" i="26" s="1"/>
  <c r="I21" i="26" s="1"/>
  <c r="AK21" i="26" s="1"/>
  <c r="AK19" i="26" s="1"/>
  <c r="O17" i="26"/>
  <c r="O19" i="26" s="1"/>
  <c r="O20" i="26" s="1"/>
  <c r="O21" i="26" s="1"/>
  <c r="AQ21" i="26" s="1"/>
  <c r="AQ20" i="26" s="1"/>
  <c r="X17" i="26"/>
  <c r="X19" i="26" s="1"/>
  <c r="X20" i="26" s="1"/>
  <c r="X21" i="26" s="1"/>
  <c r="AZ21" i="26" s="1"/>
  <c r="Z17" i="26"/>
  <c r="Z19" i="26" s="1"/>
  <c r="Z20" i="26" s="1"/>
  <c r="Z21" i="26" s="1"/>
  <c r="BB21" i="26" s="1"/>
  <c r="BB19" i="26" s="1"/>
  <c r="W17" i="26"/>
  <c r="W19" i="26" s="1"/>
  <c r="G17" i="26"/>
  <c r="G19" i="26" s="1"/>
  <c r="G20" i="26" s="1"/>
  <c r="G21" i="26" s="1"/>
  <c r="AI21" i="26" s="1"/>
  <c r="AI20" i="26" s="1"/>
  <c r="AE17" i="26"/>
  <c r="AE19" i="26" s="1"/>
  <c r="AA17" i="26"/>
  <c r="AA19" i="26" s="1"/>
  <c r="H17" i="26"/>
  <c r="H19" i="26" s="1"/>
  <c r="H20" i="26" s="1"/>
  <c r="H21" i="26" s="1"/>
  <c r="AJ21" i="26" s="1"/>
  <c r="AJ20" i="26" s="1"/>
  <c r="Q20" i="26"/>
  <c r="Q21" i="26" s="1"/>
  <c r="AS21" i="26" s="1"/>
  <c r="AS19" i="26" s="1"/>
  <c r="S17" i="26"/>
  <c r="S19" i="26" s="1"/>
  <c r="S20" i="26" s="1"/>
  <c r="S21" i="26" s="1"/>
  <c r="AU21" i="26" s="1"/>
  <c r="AU20" i="26" s="1"/>
  <c r="F17" i="26"/>
  <c r="F19" i="26" s="1"/>
  <c r="F20" i="26" s="1"/>
  <c r="F21" i="26" s="1"/>
  <c r="AH21" i="26" s="1"/>
  <c r="U17" i="26"/>
  <c r="U19" i="26" s="1"/>
  <c r="U20" i="26" s="1"/>
  <c r="U21" i="26" s="1"/>
  <c r="AW21" i="26" s="1"/>
  <c r="AW19" i="26" s="1"/>
  <c r="J17" i="26"/>
  <c r="J19" i="26" s="1"/>
  <c r="J20" i="26" s="1"/>
  <c r="J21" i="26" s="1"/>
  <c r="AL21" i="26" s="1"/>
  <c r="AL19" i="26" s="1"/>
  <c r="AD17" i="26"/>
  <c r="AD19" i="26" s="1"/>
  <c r="AD20" i="26" s="1"/>
  <c r="AD21" i="26" s="1"/>
  <c r="BF21" i="26" s="1"/>
  <c r="BF19" i="26" s="1"/>
  <c r="K17" i="26"/>
  <c r="M17" i="26"/>
  <c r="M19" i="26" s="1"/>
  <c r="Y17" i="26"/>
  <c r="AB17" i="26"/>
  <c r="R17" i="26"/>
  <c r="R19" i="26" s="1"/>
  <c r="T17" i="26"/>
  <c r="T19" i="26" s="1"/>
  <c r="T20" i="26" s="1"/>
  <c r="T21" i="26" s="1"/>
  <c r="AV21" i="26" s="1"/>
  <c r="V17" i="26"/>
  <c r="V19" i="26" s="1"/>
  <c r="V20" i="26" s="1"/>
  <c r="V21" i="26" s="1"/>
  <c r="AX21" i="26" s="1"/>
  <c r="AX19" i="26" s="1"/>
  <c r="L17" i="26"/>
  <c r="P17" i="26"/>
  <c r="P19" i="26" s="1"/>
  <c r="Z19" i="25"/>
  <c r="Z20" i="25" s="1"/>
  <c r="Z21" i="25" s="1"/>
  <c r="BB21" i="25" s="1"/>
  <c r="W20" i="25"/>
  <c r="W21" i="25" s="1"/>
  <c r="AY21" i="25" s="1"/>
  <c r="AY20" i="25" s="1"/>
  <c r="S19" i="25"/>
  <c r="S20" i="25" s="1"/>
  <c r="S21" i="25" s="1"/>
  <c r="AU21" i="25" s="1"/>
  <c r="K19" i="25"/>
  <c r="K20" i="25" s="1"/>
  <c r="K21" i="25" s="1"/>
  <c r="AM21" i="25" s="1"/>
  <c r="L19" i="25"/>
  <c r="L20" i="25" s="1"/>
  <c r="L21" i="25" s="1"/>
  <c r="AN21" i="25" s="1"/>
  <c r="AN20" i="25" s="1"/>
  <c r="R19" i="28"/>
  <c r="R20" i="28" s="1"/>
  <c r="R21" i="28" s="1"/>
  <c r="AT21" i="28" s="1"/>
  <c r="AT19" i="28" s="1"/>
  <c r="M19" i="25"/>
  <c r="M20" i="25" s="1"/>
  <c r="M21" i="25" s="1"/>
  <c r="AO21" i="25" s="1"/>
  <c r="AO20" i="25" s="1"/>
  <c r="T20" i="25"/>
  <c r="T21" i="25" s="1"/>
  <c r="AV21" i="25" s="1"/>
  <c r="AV20" i="25" s="1"/>
  <c r="M19" i="28"/>
  <c r="M20" i="28" s="1"/>
  <c r="M21" i="28" s="1"/>
  <c r="AO21" i="28" s="1"/>
  <c r="O19" i="28"/>
  <c r="O20" i="28" s="1"/>
  <c r="O21" i="28" s="1"/>
  <c r="AQ21" i="28" s="1"/>
  <c r="X19" i="28"/>
  <c r="X20" i="28" s="1"/>
  <c r="X21" i="28" s="1"/>
  <c r="AZ21" i="28" s="1"/>
  <c r="AZ19" i="28" s="1"/>
  <c r="T20" i="28"/>
  <c r="T21" i="28" s="1"/>
  <c r="AV21" i="28" s="1"/>
  <c r="AV20" i="28" s="1"/>
  <c r="V19" i="28"/>
  <c r="V20" i="28" s="1"/>
  <c r="V21" i="28" s="1"/>
  <c r="AX21" i="28" s="1"/>
  <c r="AX20" i="28" s="1"/>
  <c r="AB20" i="25"/>
  <c r="AB21" i="25" s="1"/>
  <c r="BD21" i="25" s="1"/>
  <c r="BD19" i="25" s="1"/>
  <c r="G20" i="28"/>
  <c r="G21" i="28" s="1"/>
  <c r="AI21" i="28" s="1"/>
  <c r="AI19" i="28" s="1"/>
  <c r="P19" i="28"/>
  <c r="P20" i="28" s="1"/>
  <c r="P21" i="28" s="1"/>
  <c r="AR21" i="28" s="1"/>
  <c r="AR19" i="28" s="1"/>
  <c r="Q20" i="25"/>
  <c r="Q21" i="25" s="1"/>
  <c r="AS21" i="25" s="1"/>
  <c r="U19" i="25"/>
  <c r="U20" i="25" s="1"/>
  <c r="U21" i="25" s="1"/>
  <c r="AW21" i="25" s="1"/>
  <c r="AW20" i="25" s="1"/>
  <c r="Y19" i="28"/>
  <c r="Y20" i="28" s="1"/>
  <c r="Y21" i="28" s="1"/>
  <c r="BA21" i="28" s="1"/>
  <c r="BA20" i="28" s="1"/>
  <c r="L19" i="28"/>
  <c r="L20" i="28" s="1"/>
  <c r="L21" i="28" s="1"/>
  <c r="AN21" i="28" s="1"/>
  <c r="AN19" i="28" s="1"/>
  <c r="AD20" i="28"/>
  <c r="AD21" i="28" s="1"/>
  <c r="BF21" i="28" s="1"/>
  <c r="BF20" i="28" s="1"/>
  <c r="AA19" i="25"/>
  <c r="AA20" i="25" s="1"/>
  <c r="AA21" i="25" s="1"/>
  <c r="BC21" i="25" s="1"/>
  <c r="BC20" i="25" s="1"/>
  <c r="AC19" i="28"/>
  <c r="AC20" i="28" s="1"/>
  <c r="AC21" i="28" s="1"/>
  <c r="BE21" i="28" s="1"/>
  <c r="P19" i="25"/>
  <c r="P20" i="25" s="1"/>
  <c r="P21" i="25" s="1"/>
  <c r="AR21" i="25" s="1"/>
  <c r="AR20" i="25" s="1"/>
  <c r="I19" i="28"/>
  <c r="I20" i="28" s="1"/>
  <c r="I21" i="28" s="1"/>
  <c r="AK21" i="28" s="1"/>
  <c r="AK20" i="28" s="1"/>
  <c r="Q19" i="28"/>
  <c r="Q20" i="28" s="1"/>
  <c r="Q21" i="28" s="1"/>
  <c r="AS21" i="28" s="1"/>
  <c r="H20" i="25"/>
  <c r="H21" i="25" s="1"/>
  <c r="AJ21" i="25" s="1"/>
  <c r="AJ20" i="25" s="1"/>
  <c r="AA19" i="28"/>
  <c r="AA20" i="28" s="1"/>
  <c r="AA21" i="28" s="1"/>
  <c r="BC21" i="28" s="1"/>
  <c r="H19" i="28"/>
  <c r="H20" i="28" s="1"/>
  <c r="H21" i="28" s="1"/>
  <c r="AJ21" i="28" s="1"/>
  <c r="X19" i="25"/>
  <c r="X20" i="25" s="1"/>
  <c r="X21" i="25" s="1"/>
  <c r="AZ21" i="25" s="1"/>
  <c r="AC20" i="25"/>
  <c r="AC21" i="25" s="1"/>
  <c r="BE21" i="25" s="1"/>
  <c r="G20" i="25"/>
  <c r="G21" i="25" s="1"/>
  <c r="AI21" i="25" s="1"/>
  <c r="J19" i="28"/>
  <c r="J20" i="28" s="1"/>
  <c r="J21" i="28" s="1"/>
  <c r="AL21" i="28" s="1"/>
  <c r="K19" i="28"/>
  <c r="K20" i="28" s="1"/>
  <c r="K21" i="28" s="1"/>
  <c r="AM21" i="28" s="1"/>
  <c r="I20" i="25"/>
  <c r="I21" i="25" s="1"/>
  <c r="AK21" i="25" s="1"/>
  <c r="AK20" i="25" s="1"/>
  <c r="AE20" i="25"/>
  <c r="AE21" i="25" s="1"/>
  <c r="BG21" i="25" s="1"/>
  <c r="BG19" i="25" s="1"/>
  <c r="Z20" i="28"/>
  <c r="Z21" i="28" s="1"/>
  <c r="BB21" i="28" s="1"/>
  <c r="BB19" i="28" s="1"/>
  <c r="Y19" i="25"/>
  <c r="Y20" i="25" s="1"/>
  <c r="Y21" i="25" s="1"/>
  <c r="BA21" i="25" s="1"/>
  <c r="F19" i="25"/>
  <c r="F20" i="25" s="1"/>
  <c r="F21" i="25" s="1"/>
  <c r="AH21" i="25" s="1"/>
  <c r="R19" i="25"/>
  <c r="R20" i="25" s="1"/>
  <c r="R21" i="25" s="1"/>
  <c r="AT21" i="25" s="1"/>
  <c r="AL20" i="29"/>
  <c r="AL19" i="29"/>
  <c r="AU19" i="28"/>
  <c r="AU20" i="28"/>
  <c r="AY19" i="28"/>
  <c r="AY20" i="28"/>
  <c r="AH21" i="28"/>
  <c r="AW20" i="28"/>
  <c r="AW19" i="28"/>
  <c r="AP20" i="28"/>
  <c r="AP19" i="28"/>
  <c r="BD20" i="28"/>
  <c r="BD19" i="28"/>
  <c r="BG20" i="28"/>
  <c r="BG19" i="28"/>
  <c r="AU20" i="27"/>
  <c r="AU19" i="27"/>
  <c r="BE20" i="27"/>
  <c r="BE19" i="27"/>
  <c r="AW19" i="27"/>
  <c r="AW20" i="27"/>
  <c r="AV19" i="27"/>
  <c r="AV20" i="27"/>
  <c r="AO20" i="27"/>
  <c r="AO19" i="27"/>
  <c r="AX20" i="27"/>
  <c r="AX19" i="27"/>
  <c r="AH21" i="27"/>
  <c r="AR20" i="27"/>
  <c r="AR19" i="27"/>
  <c r="AY20" i="27"/>
  <c r="AY19" i="27"/>
  <c r="BB19" i="27"/>
  <c r="BB20" i="27"/>
  <c r="AS20" i="27"/>
  <c r="AS19" i="27"/>
  <c r="BA20" i="27"/>
  <c r="BA19" i="27"/>
  <c r="AL20" i="27"/>
  <c r="AL19" i="27"/>
  <c r="AN19" i="27"/>
  <c r="AN20" i="27"/>
  <c r="BD20" i="27"/>
  <c r="BD19" i="27"/>
  <c r="AT20" i="27"/>
  <c r="AT19" i="27"/>
  <c r="BF20" i="27"/>
  <c r="BF19" i="27"/>
  <c r="AZ19" i="27"/>
  <c r="AZ20" i="27"/>
  <c r="BC19" i="27"/>
  <c r="BC20" i="27"/>
  <c r="AQ19" i="27"/>
  <c r="AQ20" i="27"/>
  <c r="AL20" i="25"/>
  <c r="AL19" i="25"/>
  <c r="AX20" i="25"/>
  <c r="AX19" i="25"/>
  <c r="BF19" i="25"/>
  <c r="BF20" i="25"/>
  <c r="AQ19" i="25"/>
  <c r="AQ20" i="25"/>
  <c r="AP20" i="25"/>
  <c r="AP19" i="25"/>
  <c r="BA20" i="24"/>
  <c r="BA19" i="24"/>
  <c r="AU20" i="23"/>
  <c r="AU19" i="23"/>
  <c r="BF20" i="23"/>
  <c r="BF19" i="23"/>
  <c r="AT20" i="23"/>
  <c r="AT19" i="23"/>
  <c r="AN20" i="23"/>
  <c r="AN19" i="23"/>
  <c r="AY19" i="23"/>
  <c r="AY20" i="23"/>
  <c r="AS19" i="23"/>
  <c r="AS20" i="23"/>
  <c r="AJ19" i="23"/>
  <c r="AJ20" i="23"/>
  <c r="BB19" i="23"/>
  <c r="BB20" i="23"/>
  <c r="AM19" i="23"/>
  <c r="AM20" i="23"/>
  <c r="BG19" i="23"/>
  <c r="BG20" i="23"/>
  <c r="AW20" i="23"/>
  <c r="AW19" i="23"/>
  <c r="AR19" i="23"/>
  <c r="AR20" i="23"/>
  <c r="AI20" i="23"/>
  <c r="AI19" i="23"/>
  <c r="AZ20" i="23"/>
  <c r="AZ19" i="23"/>
  <c r="AH21" i="23"/>
  <c r="AF21" i="23"/>
  <c r="AK20" i="23"/>
  <c r="AK19" i="23"/>
  <c r="BE19" i="23"/>
  <c r="BE20" i="23"/>
  <c r="AQ20" i="23"/>
  <c r="AQ19" i="23"/>
  <c r="AV19" i="23"/>
  <c r="AV20" i="23"/>
  <c r="AP19" i="23"/>
  <c r="AP20" i="23"/>
  <c r="BC20" i="23"/>
  <c r="BC19" i="23"/>
  <c r="BA20" i="23"/>
  <c r="BA19" i="23"/>
  <c r="AL19" i="23"/>
  <c r="AL20" i="23"/>
  <c r="AO20" i="23"/>
  <c r="AO19" i="23"/>
  <c r="BD19" i="23"/>
  <c r="BD20" i="23"/>
  <c r="AX19" i="23"/>
  <c r="AX20" i="23"/>
  <c r="AI8" i="1"/>
  <c r="AI7" i="1"/>
  <c r="G39" i="1"/>
  <c r="H6" i="1"/>
  <c r="I12" i="1"/>
  <c r="AO34" i="38" l="1"/>
  <c r="AO35" i="38"/>
  <c r="AY34" i="38"/>
  <c r="AY35" i="38"/>
  <c r="AX34" i="38"/>
  <c r="AX35" i="38"/>
  <c r="BE34" i="38"/>
  <c r="BE35" i="38"/>
  <c r="AH36" i="38"/>
  <c r="AF36" i="38"/>
  <c r="AZ34" i="38"/>
  <c r="AZ35" i="38"/>
  <c r="AQ34" i="38"/>
  <c r="AQ35" i="38"/>
  <c r="AL35" i="38"/>
  <c r="AL34" i="38"/>
  <c r="BF34" i="38"/>
  <c r="BF35" i="38"/>
  <c r="AP34" i="38"/>
  <c r="AP35" i="38"/>
  <c r="BD35" i="38"/>
  <c r="BD34" i="38"/>
  <c r="AM35" i="38"/>
  <c r="AM34" i="38"/>
  <c r="AK35" i="38"/>
  <c r="AK34" i="38"/>
  <c r="AU35" i="38"/>
  <c r="AU34" i="38"/>
  <c r="AS35" i="38"/>
  <c r="AS34" i="38"/>
  <c r="AR34" i="38"/>
  <c r="AR35" i="38"/>
  <c r="AV35" i="38"/>
  <c r="AV34" i="38"/>
  <c r="AW34" i="38"/>
  <c r="AW35" i="38"/>
  <c r="AJ34" i="38"/>
  <c r="AJ35" i="38"/>
  <c r="BC35" i="38"/>
  <c r="BC34" i="38"/>
  <c r="AN35" i="38"/>
  <c r="AN34" i="38"/>
  <c r="BG34" i="38"/>
  <c r="BG35" i="38"/>
  <c r="BA35" i="38"/>
  <c r="BA34" i="38"/>
  <c r="AI34" i="38"/>
  <c r="AI35" i="38"/>
  <c r="AT35" i="38"/>
  <c r="AT34" i="38"/>
  <c r="BB35" i="38"/>
  <c r="BB34" i="38"/>
  <c r="AA38" i="37"/>
  <c r="S38" i="37"/>
  <c r="K38" i="37"/>
  <c r="Z38" i="37"/>
  <c r="R38" i="37"/>
  <c r="J38" i="37"/>
  <c r="Y38" i="37"/>
  <c r="Q38" i="37"/>
  <c r="I38" i="37"/>
  <c r="X38" i="37"/>
  <c r="P38" i="37"/>
  <c r="H38" i="37"/>
  <c r="AD38" i="37"/>
  <c r="V38" i="37"/>
  <c r="N38" i="37"/>
  <c r="F38" i="37"/>
  <c r="AC38" i="37"/>
  <c r="G38" i="37"/>
  <c r="AB38" i="37"/>
  <c r="W38" i="37"/>
  <c r="U38" i="37"/>
  <c r="T38" i="37"/>
  <c r="L38" i="37"/>
  <c r="AE38" i="37"/>
  <c r="O38" i="37"/>
  <c r="M38" i="37"/>
  <c r="AH34" i="37"/>
  <c r="AH35" i="37"/>
  <c r="AW35" i="36"/>
  <c r="AW34" i="36"/>
  <c r="AQ35" i="36"/>
  <c r="AQ34" i="36"/>
  <c r="AX35" i="36"/>
  <c r="AX34" i="36"/>
  <c r="BF35" i="36"/>
  <c r="BF34" i="36"/>
  <c r="AP35" i="36"/>
  <c r="AP34" i="36"/>
  <c r="AL34" i="36"/>
  <c r="AL35" i="36"/>
  <c r="BB34" i="36"/>
  <c r="BB35" i="36"/>
  <c r="AH36" i="36"/>
  <c r="AF36" i="36"/>
  <c r="BD34" i="36"/>
  <c r="BD35" i="36"/>
  <c r="AY35" i="36"/>
  <c r="AY34" i="36"/>
  <c r="AI35" i="36"/>
  <c r="AI34" i="36"/>
  <c r="AK34" i="36"/>
  <c r="AK35" i="36"/>
  <c r="AU34" i="36"/>
  <c r="AU35" i="36"/>
  <c r="AZ35" i="36"/>
  <c r="AZ34" i="36"/>
  <c r="BE35" i="36"/>
  <c r="BE34" i="36"/>
  <c r="AO35" i="36"/>
  <c r="AO34" i="36"/>
  <c r="AJ35" i="36"/>
  <c r="AJ34" i="36"/>
  <c r="AV34" i="36"/>
  <c r="AV35" i="36"/>
  <c r="BC34" i="36"/>
  <c r="BC35" i="36"/>
  <c r="AT34" i="36"/>
  <c r="AT35" i="36"/>
  <c r="AN34" i="36"/>
  <c r="AN35" i="36"/>
  <c r="AR35" i="36"/>
  <c r="AR34" i="36"/>
  <c r="BA34" i="36"/>
  <c r="BA35" i="36"/>
  <c r="BG35" i="36"/>
  <c r="BG34" i="36"/>
  <c r="AS34" i="36"/>
  <c r="AS35" i="36"/>
  <c r="AM34" i="36"/>
  <c r="AM35" i="36"/>
  <c r="U61" i="31"/>
  <c r="AU60" i="31"/>
  <c r="AU61" i="31"/>
  <c r="T35" i="31"/>
  <c r="AT35" i="31"/>
  <c r="AT34" i="31"/>
  <c r="T59" i="31"/>
  <c r="AT58" i="31"/>
  <c r="AT59" i="31"/>
  <c r="V41" i="31"/>
  <c r="AV41" i="31"/>
  <c r="AV40" i="31"/>
  <c r="T57" i="31"/>
  <c r="AT57" i="31"/>
  <c r="AT56" i="31"/>
  <c r="T53" i="31"/>
  <c r="AT52" i="31"/>
  <c r="AT53" i="31"/>
  <c r="U69" i="31"/>
  <c r="AU68" i="31"/>
  <c r="AU69" i="31"/>
  <c r="U73" i="31"/>
  <c r="AU72" i="31"/>
  <c r="AU73" i="31"/>
  <c r="T67" i="31"/>
  <c r="AT67" i="31"/>
  <c r="AT66" i="31"/>
  <c r="V55" i="31"/>
  <c r="AV55" i="31"/>
  <c r="AV54" i="31"/>
  <c r="U77" i="31"/>
  <c r="AU76" i="31"/>
  <c r="AU77" i="31"/>
  <c r="T51" i="31"/>
  <c r="AT51" i="31"/>
  <c r="AT50" i="31"/>
  <c r="V45" i="31"/>
  <c r="AV44" i="31"/>
  <c r="AV45" i="31"/>
  <c r="T65" i="31"/>
  <c r="AT64" i="31"/>
  <c r="AT65" i="31"/>
  <c r="T37" i="31"/>
  <c r="AT37" i="31"/>
  <c r="AT36" i="31"/>
  <c r="U39" i="31"/>
  <c r="AU39" i="31"/>
  <c r="AU38" i="31"/>
  <c r="T63" i="31"/>
  <c r="AT63" i="31"/>
  <c r="AT62" i="31"/>
  <c r="U49" i="31"/>
  <c r="AU49" i="31"/>
  <c r="AU48" i="31"/>
  <c r="T43" i="31"/>
  <c r="AT43" i="31"/>
  <c r="AT42" i="31"/>
  <c r="AU20" i="29"/>
  <c r="AY20" i="29"/>
  <c r="BC19" i="29"/>
  <c r="AW19" i="29"/>
  <c r="AO19" i="29"/>
  <c r="AP20" i="29"/>
  <c r="AT19" i="29"/>
  <c r="AV20" i="29"/>
  <c r="AX19" i="29"/>
  <c r="Z20" i="29"/>
  <c r="Z21" i="29" s="1"/>
  <c r="BB21" i="29" s="1"/>
  <c r="BB20" i="29" s="1"/>
  <c r="BG19" i="29"/>
  <c r="BA19" i="29"/>
  <c r="AK19" i="29"/>
  <c r="BD19" i="29"/>
  <c r="O20" i="29"/>
  <c r="O21" i="29" s="1"/>
  <c r="AQ21" i="29" s="1"/>
  <c r="AQ20" i="29" s="1"/>
  <c r="AN20" i="29"/>
  <c r="AN19" i="29"/>
  <c r="BA20" i="25"/>
  <c r="BA19" i="25"/>
  <c r="I20" i="24"/>
  <c r="I21" i="24" s="1"/>
  <c r="AK21" i="24" s="1"/>
  <c r="AK20" i="24" s="1"/>
  <c r="AJ20" i="27"/>
  <c r="AJ19" i="27"/>
  <c r="AI20" i="27"/>
  <c r="AI19" i="27"/>
  <c r="BF20" i="29"/>
  <c r="BF19" i="29"/>
  <c r="AK19" i="27"/>
  <c r="AK20" i="27"/>
  <c r="AM19" i="27"/>
  <c r="AM20" i="27"/>
  <c r="AP20" i="27"/>
  <c r="AP19" i="27"/>
  <c r="BG20" i="27"/>
  <c r="AM19" i="25"/>
  <c r="AM20" i="25"/>
  <c r="AI19" i="29"/>
  <c r="AI20" i="29"/>
  <c r="AF21" i="27"/>
  <c r="S23" i="27" s="1"/>
  <c r="S24" i="27" s="1"/>
  <c r="AU24" i="27" s="1"/>
  <c r="AJ19" i="28"/>
  <c r="AJ20" i="28"/>
  <c r="K20" i="24"/>
  <c r="K21" i="24" s="1"/>
  <c r="AM21" i="24" s="1"/>
  <c r="AM20" i="24" s="1"/>
  <c r="AM19" i="29"/>
  <c r="AM20" i="29"/>
  <c r="AC19" i="24"/>
  <c r="AC20" i="24" s="1"/>
  <c r="AC21" i="24" s="1"/>
  <c r="BE21" i="24" s="1"/>
  <c r="AU20" i="24"/>
  <c r="L20" i="24"/>
  <c r="L21" i="24" s="1"/>
  <c r="AN21" i="24" s="1"/>
  <c r="AN19" i="24" s="1"/>
  <c r="BD19" i="24"/>
  <c r="U20" i="24"/>
  <c r="U21" i="24" s="1"/>
  <c r="AW21" i="24" s="1"/>
  <c r="AW19" i="24" s="1"/>
  <c r="BG19" i="24"/>
  <c r="AR20" i="29"/>
  <c r="AZ20" i="29"/>
  <c r="AZ19" i="29"/>
  <c r="AY19" i="24"/>
  <c r="AL20" i="24"/>
  <c r="F20" i="24"/>
  <c r="F21" i="24" s="1"/>
  <c r="AH21" i="24" s="1"/>
  <c r="AH19" i="24" s="1"/>
  <c r="G19" i="24"/>
  <c r="G20" i="24" s="1"/>
  <c r="G21" i="24" s="1"/>
  <c r="AI21" i="24" s="1"/>
  <c r="AI19" i="24" s="1"/>
  <c r="AO19" i="24"/>
  <c r="R20" i="24"/>
  <c r="R21" i="24" s="1"/>
  <c r="AT21" i="24" s="1"/>
  <c r="AT19" i="24" s="1"/>
  <c r="AZ20" i="24"/>
  <c r="V20" i="24"/>
  <c r="V21" i="24" s="1"/>
  <c r="AX21" i="24" s="1"/>
  <c r="AX20" i="24" s="1"/>
  <c r="AA20" i="24"/>
  <c r="AA21" i="24" s="1"/>
  <c r="BC21" i="24" s="1"/>
  <c r="BC20" i="24" s="1"/>
  <c r="AR19" i="24"/>
  <c r="O20" i="24"/>
  <c r="O21" i="24" s="1"/>
  <c r="AQ21" i="24" s="1"/>
  <c r="AQ19" i="24" s="1"/>
  <c r="BB19" i="24"/>
  <c r="AA20" i="26"/>
  <c r="AA21" i="26" s="1"/>
  <c r="BC21" i="26" s="1"/>
  <c r="BC20" i="26" s="1"/>
  <c r="BE19" i="29"/>
  <c r="AV19" i="24"/>
  <c r="BB20" i="26"/>
  <c r="AS19" i="24"/>
  <c r="AC20" i="26"/>
  <c r="AC21" i="26" s="1"/>
  <c r="BE21" i="26" s="1"/>
  <c r="BE20" i="26" s="1"/>
  <c r="M20" i="26"/>
  <c r="M21" i="26" s="1"/>
  <c r="AO21" i="26" s="1"/>
  <c r="AO19" i="26" s="1"/>
  <c r="N20" i="24"/>
  <c r="N21" i="24" s="1"/>
  <c r="AP21" i="24" s="1"/>
  <c r="AP20" i="24" s="1"/>
  <c r="AJ19" i="29"/>
  <c r="BF19" i="24"/>
  <c r="H20" i="24"/>
  <c r="H21" i="24" s="1"/>
  <c r="AJ21" i="24" s="1"/>
  <c r="AJ20" i="24" s="1"/>
  <c r="W20" i="26"/>
  <c r="W21" i="26" s="1"/>
  <c r="AY21" i="26" s="1"/>
  <c r="AY20" i="26" s="1"/>
  <c r="AI19" i="26"/>
  <c r="R20" i="26"/>
  <c r="R21" i="26" s="1"/>
  <c r="AT21" i="26" s="1"/>
  <c r="AT19" i="26" s="1"/>
  <c r="AK20" i="26"/>
  <c r="AJ19" i="26"/>
  <c r="AS20" i="29"/>
  <c r="AL20" i="26"/>
  <c r="AE20" i="26"/>
  <c r="AE21" i="26" s="1"/>
  <c r="BG21" i="26" s="1"/>
  <c r="BG19" i="26" s="1"/>
  <c r="BF20" i="26"/>
  <c r="P20" i="26"/>
  <c r="P21" i="26" s="1"/>
  <c r="AR21" i="26" s="1"/>
  <c r="AR20" i="26" s="1"/>
  <c r="K19" i="26"/>
  <c r="K20" i="26" s="1"/>
  <c r="K21" i="26" s="1"/>
  <c r="AM21" i="26" s="1"/>
  <c r="AM20" i="26" s="1"/>
  <c r="AQ19" i="26"/>
  <c r="AU19" i="26"/>
  <c r="AX20" i="26"/>
  <c r="AB19" i="26"/>
  <c r="AB20" i="26" s="1"/>
  <c r="AB21" i="26" s="1"/>
  <c r="BD21" i="26" s="1"/>
  <c r="BD20" i="26" s="1"/>
  <c r="AS20" i="26"/>
  <c r="L19" i="26"/>
  <c r="L20" i="26" s="1"/>
  <c r="L21" i="26" s="1"/>
  <c r="AN21" i="26" s="1"/>
  <c r="AN19" i="26" s="1"/>
  <c r="Y19" i="26"/>
  <c r="Y20" i="26" s="1"/>
  <c r="Y21" i="26" s="1"/>
  <c r="BA21" i="26" s="1"/>
  <c r="BA19" i="26" s="1"/>
  <c r="AO20" i="28"/>
  <c r="AO19" i="28"/>
  <c r="AU20" i="25"/>
  <c r="AU19" i="25"/>
  <c r="AM20" i="28"/>
  <c r="AM19" i="28"/>
  <c r="BB20" i="25"/>
  <c r="BB19" i="25"/>
  <c r="AV19" i="26"/>
  <c r="AV20" i="26"/>
  <c r="AQ20" i="28"/>
  <c r="AQ19" i="28"/>
  <c r="AP20" i="26"/>
  <c r="AN19" i="25"/>
  <c r="AX19" i="28"/>
  <c r="AS19" i="28"/>
  <c r="AS20" i="28"/>
  <c r="BC19" i="25"/>
  <c r="AL20" i="28"/>
  <c r="AL19" i="28"/>
  <c r="AS20" i="25"/>
  <c r="AS19" i="25"/>
  <c r="BE20" i="28"/>
  <c r="BE19" i="28"/>
  <c r="AT20" i="25"/>
  <c r="AT19" i="25"/>
  <c r="AY19" i="25"/>
  <c r="AZ19" i="25"/>
  <c r="AZ20" i="25"/>
  <c r="AW20" i="26"/>
  <c r="BC20" i="28"/>
  <c r="BC19" i="28"/>
  <c r="AZ19" i="26"/>
  <c r="AZ20" i="26"/>
  <c r="BE20" i="25"/>
  <c r="BE19" i="25"/>
  <c r="BB20" i="28"/>
  <c r="AT20" i="28"/>
  <c r="AR20" i="28"/>
  <c r="AV19" i="25"/>
  <c r="BA19" i="28"/>
  <c r="BF19" i="28"/>
  <c r="AI20" i="28"/>
  <c r="AV19" i="28"/>
  <c r="AZ20" i="28"/>
  <c r="AO19" i="25"/>
  <c r="BG20" i="25"/>
  <c r="AJ19" i="25"/>
  <c r="AW19" i="25"/>
  <c r="AI20" i="25"/>
  <c r="AI19" i="25"/>
  <c r="BD20" i="25"/>
  <c r="AN20" i="28"/>
  <c r="AR19" i="25"/>
  <c r="AF21" i="28"/>
  <c r="P23" i="28" s="1"/>
  <c r="P24" i="28" s="1"/>
  <c r="AR24" i="28" s="1"/>
  <c r="AK19" i="28"/>
  <c r="AF21" i="25"/>
  <c r="V23" i="25" s="1"/>
  <c r="V24" i="25" s="1"/>
  <c r="AX24" i="25" s="1"/>
  <c r="AK19" i="25"/>
  <c r="AH19" i="29"/>
  <c r="AH20" i="29"/>
  <c r="AH19" i="28"/>
  <c r="AH20" i="28"/>
  <c r="AH20" i="27"/>
  <c r="AH19" i="27"/>
  <c r="AH20" i="26"/>
  <c r="AH19" i="26"/>
  <c r="AH19" i="25"/>
  <c r="AH20" i="25"/>
  <c r="AD23" i="23"/>
  <c r="AD24" i="23" s="1"/>
  <c r="BF24" i="23" s="1"/>
  <c r="X23" i="23"/>
  <c r="X24" i="23" s="1"/>
  <c r="AZ24" i="23" s="1"/>
  <c r="R23" i="23"/>
  <c r="R24" i="23" s="1"/>
  <c r="AT24" i="23" s="1"/>
  <c r="L23" i="23"/>
  <c r="L24" i="23" s="1"/>
  <c r="AN24" i="23" s="1"/>
  <c r="F23" i="23"/>
  <c r="F24" i="23" s="1"/>
  <c r="Z23" i="23"/>
  <c r="Z24" i="23" s="1"/>
  <c r="BB24" i="23" s="1"/>
  <c r="S23" i="23"/>
  <c r="S24" i="23" s="1"/>
  <c r="AU24" i="23" s="1"/>
  <c r="K23" i="23"/>
  <c r="K24" i="23" s="1"/>
  <c r="AM24" i="23" s="1"/>
  <c r="Y23" i="23"/>
  <c r="Y24" i="23" s="1"/>
  <c r="BA24" i="23" s="1"/>
  <c r="Q23" i="23"/>
  <c r="Q24" i="23" s="1"/>
  <c r="AS24" i="23" s="1"/>
  <c r="J23" i="23"/>
  <c r="J24" i="23" s="1"/>
  <c r="AL24" i="23" s="1"/>
  <c r="AE23" i="23"/>
  <c r="AE24" i="23" s="1"/>
  <c r="BG24" i="23" s="1"/>
  <c r="W23" i="23"/>
  <c r="W24" i="23" s="1"/>
  <c r="AY24" i="23" s="1"/>
  <c r="P23" i="23"/>
  <c r="P24" i="23" s="1"/>
  <c r="AR24" i="23" s="1"/>
  <c r="I23" i="23"/>
  <c r="I24" i="23" s="1"/>
  <c r="AK24" i="23" s="1"/>
  <c r="AC23" i="23"/>
  <c r="AC24" i="23" s="1"/>
  <c r="BE24" i="23" s="1"/>
  <c r="V23" i="23"/>
  <c r="V24" i="23" s="1"/>
  <c r="AX24" i="23" s="1"/>
  <c r="O23" i="23"/>
  <c r="O24" i="23" s="1"/>
  <c r="AQ24" i="23" s="1"/>
  <c r="H23" i="23"/>
  <c r="H24" i="23" s="1"/>
  <c r="AJ24" i="23" s="1"/>
  <c r="AA23" i="23"/>
  <c r="AA24" i="23" s="1"/>
  <c r="BC24" i="23" s="1"/>
  <c r="T23" i="23"/>
  <c r="T24" i="23" s="1"/>
  <c r="AV24" i="23" s="1"/>
  <c r="M23" i="23"/>
  <c r="M24" i="23" s="1"/>
  <c r="AO24" i="23" s="1"/>
  <c r="G23" i="23"/>
  <c r="G24" i="23" s="1"/>
  <c r="AI24" i="23" s="1"/>
  <c r="AB23" i="23"/>
  <c r="AB24" i="23" s="1"/>
  <c r="BD24" i="23" s="1"/>
  <c r="U23" i="23"/>
  <c r="U24" i="23" s="1"/>
  <c r="AW24" i="23" s="1"/>
  <c r="N23" i="23"/>
  <c r="N24" i="23" s="1"/>
  <c r="AP24" i="23" s="1"/>
  <c r="AH20" i="23"/>
  <c r="AH19" i="23"/>
  <c r="H39" i="1"/>
  <c r="I6" i="1"/>
  <c r="I9" i="1" s="1"/>
  <c r="AK9" i="1" s="1"/>
  <c r="J12" i="1"/>
  <c r="AA38" i="38" l="1"/>
  <c r="S38" i="38"/>
  <c r="K38" i="38"/>
  <c r="Z38" i="38"/>
  <c r="R38" i="38"/>
  <c r="J38" i="38"/>
  <c r="Y38" i="38"/>
  <c r="Q38" i="38"/>
  <c r="I38" i="38"/>
  <c r="X38" i="38"/>
  <c r="P38" i="38"/>
  <c r="H38" i="38"/>
  <c r="AD38" i="38"/>
  <c r="V38" i="38"/>
  <c r="N38" i="38"/>
  <c r="F38" i="38"/>
  <c r="AC38" i="38"/>
  <c r="G38" i="38"/>
  <c r="AB38" i="38"/>
  <c r="W38" i="38"/>
  <c r="U38" i="38"/>
  <c r="T38" i="38"/>
  <c r="O38" i="38"/>
  <c r="M38" i="38"/>
  <c r="L38" i="38"/>
  <c r="AE38" i="38"/>
  <c r="AH34" i="38"/>
  <c r="AH35" i="38"/>
  <c r="F40" i="37"/>
  <c r="F41" i="37" s="1"/>
  <c r="F42" i="37" s="1"/>
  <c r="L40" i="37"/>
  <c r="L41" i="37" s="1"/>
  <c r="L42" i="37" s="1"/>
  <c r="AN42" i="37" s="1"/>
  <c r="N40" i="37"/>
  <c r="N41" i="37" s="1"/>
  <c r="N42" i="37" s="1"/>
  <c r="AP42" i="37" s="1"/>
  <c r="Y40" i="37"/>
  <c r="Y41" i="37" s="1"/>
  <c r="Y42" i="37" s="1"/>
  <c r="BA42" i="37" s="1"/>
  <c r="T40" i="37"/>
  <c r="T41" i="37" s="1"/>
  <c r="T42" i="37" s="1"/>
  <c r="AV42" i="37" s="1"/>
  <c r="V40" i="37"/>
  <c r="V41" i="37" s="1"/>
  <c r="V42" i="37" s="1"/>
  <c r="AX42" i="37" s="1"/>
  <c r="J40" i="37"/>
  <c r="J41" i="37" s="1"/>
  <c r="J42" i="37" s="1"/>
  <c r="AL42" i="37" s="1"/>
  <c r="Q40" i="37"/>
  <c r="Q41" i="37" s="1"/>
  <c r="Q42" i="37" s="1"/>
  <c r="AS42" i="37" s="1"/>
  <c r="R40" i="37"/>
  <c r="R41" i="37" s="1"/>
  <c r="R42" i="37" s="1"/>
  <c r="AT42" i="37" s="1"/>
  <c r="W40" i="37"/>
  <c r="W41" i="37" s="1"/>
  <c r="W42" i="37" s="1"/>
  <c r="AY42" i="37" s="1"/>
  <c r="H40" i="37"/>
  <c r="H41" i="37" s="1"/>
  <c r="H42" i="37" s="1"/>
  <c r="AJ42" i="37" s="1"/>
  <c r="Z40" i="37"/>
  <c r="Z41" i="37" s="1"/>
  <c r="Z42" i="37" s="1"/>
  <c r="BB42" i="37" s="1"/>
  <c r="AD40" i="37"/>
  <c r="AD41" i="37" s="1"/>
  <c r="AD42" i="37" s="1"/>
  <c r="BF42" i="37" s="1"/>
  <c r="AN37" i="37"/>
  <c r="AL37" i="37"/>
  <c r="BF37" i="37"/>
  <c r="AS37" i="37"/>
  <c r="BD37" i="37"/>
  <c r="AJ37" i="37"/>
  <c r="AK37" i="37"/>
  <c r="AQ37" i="37"/>
  <c r="AV37" i="37"/>
  <c r="AM37" i="37"/>
  <c r="BC37" i="37"/>
  <c r="AT37" i="37"/>
  <c r="AZ37" i="37"/>
  <c r="BA37" i="37"/>
  <c r="AH37" i="37"/>
  <c r="AI37" i="37"/>
  <c r="AO37" i="37"/>
  <c r="AR37" i="37"/>
  <c r="AY37" i="37"/>
  <c r="AU37" i="37"/>
  <c r="AW37" i="37"/>
  <c r="AP37" i="37"/>
  <c r="BG37" i="37"/>
  <c r="BB37" i="37"/>
  <c r="AX37" i="37"/>
  <c r="BE37" i="37"/>
  <c r="AB40" i="37"/>
  <c r="AB41" i="37" s="1"/>
  <c r="AB42" i="37" s="1"/>
  <c r="BD42" i="37" s="1"/>
  <c r="P40" i="37"/>
  <c r="P41" i="37" s="1"/>
  <c r="P42" i="37" s="1"/>
  <c r="AR42" i="37" s="1"/>
  <c r="K40" i="37"/>
  <c r="K41" i="37" s="1"/>
  <c r="K42" i="37" s="1"/>
  <c r="AM42" i="37" s="1"/>
  <c r="AE40" i="37"/>
  <c r="AE41" i="37" s="1"/>
  <c r="AE42" i="37" s="1"/>
  <c r="BG42" i="37" s="1"/>
  <c r="U40" i="37"/>
  <c r="U41" i="37" s="1"/>
  <c r="U42" i="37" s="1"/>
  <c r="AW42" i="37" s="1"/>
  <c r="M40" i="37"/>
  <c r="M41" i="37" s="1"/>
  <c r="M42" i="37" s="1"/>
  <c r="AO42" i="37" s="1"/>
  <c r="G40" i="37"/>
  <c r="G41" i="37" s="1"/>
  <c r="G42" i="37" s="1"/>
  <c r="AI42" i="37" s="1"/>
  <c r="X40" i="37"/>
  <c r="X41" i="37" s="1"/>
  <c r="X42" i="37" s="1"/>
  <c r="AZ42" i="37" s="1"/>
  <c r="S40" i="37"/>
  <c r="S41" i="37" s="1"/>
  <c r="S42" i="37" s="1"/>
  <c r="AU42" i="37" s="1"/>
  <c r="O40" i="37"/>
  <c r="O41" i="37" s="1"/>
  <c r="O42" i="37" s="1"/>
  <c r="AQ42" i="37" s="1"/>
  <c r="AC40" i="37"/>
  <c r="AC41" i="37" s="1"/>
  <c r="AC42" i="37" s="1"/>
  <c r="BE42" i="37" s="1"/>
  <c r="I40" i="37"/>
  <c r="I41" i="37" s="1"/>
  <c r="I42" i="37" s="1"/>
  <c r="AK42" i="37" s="1"/>
  <c r="AA40" i="37"/>
  <c r="AA41" i="37" s="1"/>
  <c r="AA42" i="37" s="1"/>
  <c r="BC42" i="37" s="1"/>
  <c r="AH35" i="36"/>
  <c r="AH34" i="36"/>
  <c r="AE38" i="36"/>
  <c r="W38" i="36"/>
  <c r="O38" i="36"/>
  <c r="G38" i="36"/>
  <c r="AD38" i="36"/>
  <c r="V38" i="36"/>
  <c r="N38" i="36"/>
  <c r="F38" i="36"/>
  <c r="AC38" i="36"/>
  <c r="U38" i="36"/>
  <c r="M38" i="36"/>
  <c r="AB38" i="36"/>
  <c r="T38" i="36"/>
  <c r="L38" i="36"/>
  <c r="S38" i="36"/>
  <c r="R38" i="36"/>
  <c r="Q38" i="36"/>
  <c r="P38" i="36"/>
  <c r="X38" i="36"/>
  <c r="K38" i="36"/>
  <c r="J38" i="36"/>
  <c r="I38" i="36"/>
  <c r="AA38" i="36"/>
  <c r="Z38" i="36"/>
  <c r="Y38" i="36"/>
  <c r="H38" i="36"/>
  <c r="V77" i="31"/>
  <c r="AV77" i="31"/>
  <c r="AV76" i="31"/>
  <c r="V39" i="31"/>
  <c r="AV38" i="31"/>
  <c r="AV39" i="31"/>
  <c r="V73" i="31"/>
  <c r="AV72" i="31"/>
  <c r="AV73" i="31"/>
  <c r="U65" i="31"/>
  <c r="AU64" i="31"/>
  <c r="AU65" i="31"/>
  <c r="U53" i="31"/>
  <c r="AU53" i="31"/>
  <c r="AU52" i="31"/>
  <c r="W45" i="31"/>
  <c r="AW45" i="31"/>
  <c r="AW44" i="31"/>
  <c r="U57" i="31"/>
  <c r="AU56" i="31"/>
  <c r="AU57" i="31"/>
  <c r="V49" i="31"/>
  <c r="AV48" i="31"/>
  <c r="AV49" i="31"/>
  <c r="W55" i="31"/>
  <c r="AW55" i="31"/>
  <c r="AW54" i="31"/>
  <c r="U35" i="31"/>
  <c r="AU35" i="31"/>
  <c r="AU34" i="31"/>
  <c r="U43" i="31"/>
  <c r="AU43" i="31"/>
  <c r="AU42" i="31"/>
  <c r="U37" i="31"/>
  <c r="AU37" i="31"/>
  <c r="AU36" i="31"/>
  <c r="V69" i="31"/>
  <c r="AV69" i="31"/>
  <c r="AV68" i="31"/>
  <c r="U51" i="31"/>
  <c r="AU51" i="31"/>
  <c r="AU50" i="31"/>
  <c r="W41" i="31"/>
  <c r="AW40" i="31"/>
  <c r="AW41" i="31"/>
  <c r="U59" i="31"/>
  <c r="AU58" i="31"/>
  <c r="AU59" i="31"/>
  <c r="U63" i="31"/>
  <c r="AU63" i="31"/>
  <c r="AU62" i="31"/>
  <c r="U67" i="31"/>
  <c r="AU67" i="31"/>
  <c r="AU66" i="31"/>
  <c r="V61" i="31"/>
  <c r="AV61" i="31"/>
  <c r="AV60" i="31"/>
  <c r="BB19" i="29"/>
  <c r="AQ19" i="29"/>
  <c r="AF21" i="29"/>
  <c r="F23" i="29" s="1"/>
  <c r="F24" i="29" s="1"/>
  <c r="AH24" i="29" s="1"/>
  <c r="BE20" i="24"/>
  <c r="BE19" i="24"/>
  <c r="T23" i="27"/>
  <c r="T24" i="27" s="1"/>
  <c r="AV24" i="27" s="1"/>
  <c r="AV25" i="27" s="1"/>
  <c r="H23" i="27"/>
  <c r="H24" i="27" s="1"/>
  <c r="AJ24" i="27" s="1"/>
  <c r="AJ26" i="27" s="1"/>
  <c r="Q23" i="27"/>
  <c r="Q24" i="27" s="1"/>
  <c r="AS24" i="27" s="1"/>
  <c r="AS26" i="27" s="1"/>
  <c r="F23" i="27"/>
  <c r="F24" i="27" s="1"/>
  <c r="AH24" i="27" s="1"/>
  <c r="R23" i="27"/>
  <c r="R24" i="27" s="1"/>
  <c r="AT24" i="27" s="1"/>
  <c r="AT26" i="27" s="1"/>
  <c r="L23" i="27"/>
  <c r="L24" i="27" s="1"/>
  <c r="AN24" i="27" s="1"/>
  <c r="AN26" i="27" s="1"/>
  <c r="X23" i="27"/>
  <c r="X24" i="27" s="1"/>
  <c r="AZ24" i="27" s="1"/>
  <c r="AZ25" i="27" s="1"/>
  <c r="N23" i="27"/>
  <c r="N24" i="27" s="1"/>
  <c r="AP24" i="27" s="1"/>
  <c r="AP26" i="27" s="1"/>
  <c r="W23" i="27"/>
  <c r="W24" i="27" s="1"/>
  <c r="AY24" i="27" s="1"/>
  <c r="AY26" i="27" s="1"/>
  <c r="K23" i="27"/>
  <c r="K24" i="27" s="1"/>
  <c r="AM24" i="27" s="1"/>
  <c r="AM25" i="27" s="1"/>
  <c r="V23" i="27"/>
  <c r="V24" i="27" s="1"/>
  <c r="AX24" i="27" s="1"/>
  <c r="AX25" i="27" s="1"/>
  <c r="M23" i="27"/>
  <c r="M24" i="27" s="1"/>
  <c r="AO24" i="27" s="1"/>
  <c r="AO26" i="27" s="1"/>
  <c r="AD23" i="27"/>
  <c r="AD24" i="27" s="1"/>
  <c r="BF24" i="27" s="1"/>
  <c r="BF26" i="27" s="1"/>
  <c r="P23" i="27"/>
  <c r="P24" i="27" s="1"/>
  <c r="AR24" i="27" s="1"/>
  <c r="AR25" i="27" s="1"/>
  <c r="I23" i="27"/>
  <c r="I24" i="27" s="1"/>
  <c r="AK24" i="27" s="1"/>
  <c r="AK26" i="27" s="1"/>
  <c r="Y23" i="27"/>
  <c r="Y24" i="27" s="1"/>
  <c r="BA24" i="27" s="1"/>
  <c r="BA25" i="27" s="1"/>
  <c r="J23" i="27"/>
  <c r="J24" i="27" s="1"/>
  <c r="AL24" i="27" s="1"/>
  <c r="AL25" i="27" s="1"/>
  <c r="AB23" i="27"/>
  <c r="AB24" i="27" s="1"/>
  <c r="BD24" i="27" s="1"/>
  <c r="BD26" i="27" s="1"/>
  <c r="U23" i="27"/>
  <c r="U24" i="27" s="1"/>
  <c r="AW24" i="27" s="1"/>
  <c r="AW26" i="27" s="1"/>
  <c r="AE23" i="27"/>
  <c r="AE24" i="27" s="1"/>
  <c r="BG24" i="27" s="1"/>
  <c r="BG25" i="27" s="1"/>
  <c r="Z23" i="27"/>
  <c r="Z24" i="27" s="1"/>
  <c r="BB24" i="27" s="1"/>
  <c r="BB26" i="27" s="1"/>
  <c r="O23" i="27"/>
  <c r="O24" i="27" s="1"/>
  <c r="AQ24" i="27" s="1"/>
  <c r="AQ26" i="27" s="1"/>
  <c r="G23" i="27"/>
  <c r="G24" i="27" s="1"/>
  <c r="AI24" i="27" s="1"/>
  <c r="AI26" i="27" s="1"/>
  <c r="AC23" i="27"/>
  <c r="AC24" i="27" s="1"/>
  <c r="BE24" i="27" s="1"/>
  <c r="BE25" i="27" s="1"/>
  <c r="AA23" i="27"/>
  <c r="AA24" i="27" s="1"/>
  <c r="BC24" i="27" s="1"/>
  <c r="BC25" i="27" s="1"/>
  <c r="AM19" i="24"/>
  <c r="AN20" i="24"/>
  <c r="AK19" i="24"/>
  <c r="AW20" i="24"/>
  <c r="AH20" i="24"/>
  <c r="AQ20" i="24"/>
  <c r="AT20" i="24"/>
  <c r="AI20" i="24"/>
  <c r="AX19" i="24"/>
  <c r="AY19" i="26"/>
  <c r="BE19" i="26"/>
  <c r="AF21" i="24"/>
  <c r="X23" i="24" s="1"/>
  <c r="X24" i="24" s="1"/>
  <c r="AZ24" i="24" s="1"/>
  <c r="AZ26" i="24" s="1"/>
  <c r="AJ19" i="24"/>
  <c r="BC19" i="24"/>
  <c r="AP19" i="24"/>
  <c r="AT20" i="26"/>
  <c r="AM19" i="26"/>
  <c r="BA20" i="26"/>
  <c r="BC19" i="26"/>
  <c r="BG20" i="26"/>
  <c r="AR19" i="26"/>
  <c r="AO20" i="26"/>
  <c r="BD19" i="26"/>
  <c r="AF21" i="26"/>
  <c r="U23" i="26" s="1"/>
  <c r="U24" i="26" s="1"/>
  <c r="AW24" i="26" s="1"/>
  <c r="AW25" i="26" s="1"/>
  <c r="AN20" i="26"/>
  <c r="AB23" i="25"/>
  <c r="AB24" i="25" s="1"/>
  <c r="BD24" i="25" s="1"/>
  <c r="BD26" i="25" s="1"/>
  <c r="Q23" i="25"/>
  <c r="Q24" i="25" s="1"/>
  <c r="AS24" i="25" s="1"/>
  <c r="AS25" i="25" s="1"/>
  <c r="M23" i="25"/>
  <c r="M24" i="25" s="1"/>
  <c r="AO24" i="25" s="1"/>
  <c r="AO25" i="25" s="1"/>
  <c r="O23" i="25"/>
  <c r="O24" i="25" s="1"/>
  <c r="AQ24" i="25" s="1"/>
  <c r="AQ26" i="25" s="1"/>
  <c r="N23" i="25"/>
  <c r="N24" i="25" s="1"/>
  <c r="AP24" i="25" s="1"/>
  <c r="AP26" i="25" s="1"/>
  <c r="G23" i="25"/>
  <c r="G24" i="25" s="1"/>
  <c r="AI24" i="25" s="1"/>
  <c r="AI26" i="25" s="1"/>
  <c r="AA23" i="25"/>
  <c r="AA24" i="25" s="1"/>
  <c r="BC24" i="25" s="1"/>
  <c r="BC25" i="25" s="1"/>
  <c r="F23" i="25"/>
  <c r="F24" i="25" s="1"/>
  <c r="AH24" i="25" s="1"/>
  <c r="AD23" i="25"/>
  <c r="AD24" i="25" s="1"/>
  <c r="BF24" i="25" s="1"/>
  <c r="BF25" i="25" s="1"/>
  <c r="AA23" i="28"/>
  <c r="AA24" i="28" s="1"/>
  <c r="BC24" i="28" s="1"/>
  <c r="BC25" i="28" s="1"/>
  <c r="M23" i="28"/>
  <c r="M24" i="28" s="1"/>
  <c r="AO24" i="28" s="1"/>
  <c r="AO26" i="28" s="1"/>
  <c r="K23" i="28"/>
  <c r="K24" i="28" s="1"/>
  <c r="AM24" i="28" s="1"/>
  <c r="AM26" i="28" s="1"/>
  <c r="N23" i="28"/>
  <c r="N24" i="28" s="1"/>
  <c r="AP24" i="28" s="1"/>
  <c r="AP25" i="28" s="1"/>
  <c r="H23" i="28"/>
  <c r="H24" i="28" s="1"/>
  <c r="AJ24" i="28" s="1"/>
  <c r="AJ26" i="28" s="1"/>
  <c r="S23" i="28"/>
  <c r="S24" i="28" s="1"/>
  <c r="AU24" i="28" s="1"/>
  <c r="AU26" i="28" s="1"/>
  <c r="AC23" i="28"/>
  <c r="AC24" i="28" s="1"/>
  <c r="BE24" i="28" s="1"/>
  <c r="BE26" i="28" s="1"/>
  <c r="I23" i="28"/>
  <c r="I24" i="28" s="1"/>
  <c r="AK24" i="28" s="1"/>
  <c r="AK25" i="28" s="1"/>
  <c r="V23" i="28"/>
  <c r="V24" i="28" s="1"/>
  <c r="AX24" i="28" s="1"/>
  <c r="AX26" i="28" s="1"/>
  <c r="AD23" i="28"/>
  <c r="AD24" i="28" s="1"/>
  <c r="BF24" i="28" s="1"/>
  <c r="BF26" i="28" s="1"/>
  <c r="G23" i="28"/>
  <c r="G24" i="28" s="1"/>
  <c r="AI24" i="28" s="1"/>
  <c r="AI25" i="28" s="1"/>
  <c r="Y23" i="28"/>
  <c r="Y24" i="28" s="1"/>
  <c r="BA24" i="28" s="1"/>
  <c r="BA25" i="28" s="1"/>
  <c r="O23" i="28"/>
  <c r="O24" i="28" s="1"/>
  <c r="AQ24" i="28" s="1"/>
  <c r="AQ25" i="28" s="1"/>
  <c r="AB23" i="28"/>
  <c r="AB24" i="28" s="1"/>
  <c r="BD24" i="28" s="1"/>
  <c r="BD25" i="28" s="1"/>
  <c r="L23" i="28"/>
  <c r="L24" i="28" s="1"/>
  <c r="AN24" i="28" s="1"/>
  <c r="AN25" i="28" s="1"/>
  <c r="X23" i="28"/>
  <c r="X24" i="28" s="1"/>
  <c r="AZ24" i="28" s="1"/>
  <c r="AZ25" i="28" s="1"/>
  <c r="AE23" i="28"/>
  <c r="AE24" i="28" s="1"/>
  <c r="BG24" i="28" s="1"/>
  <c r="BG26" i="28" s="1"/>
  <c r="U23" i="28"/>
  <c r="U24" i="28" s="1"/>
  <c r="AW24" i="28" s="1"/>
  <c r="AW26" i="28" s="1"/>
  <c r="R23" i="28"/>
  <c r="R24" i="28" s="1"/>
  <c r="AT24" i="28" s="1"/>
  <c r="AT26" i="28" s="1"/>
  <c r="Q23" i="28"/>
  <c r="Q24" i="28" s="1"/>
  <c r="AS24" i="28" s="1"/>
  <c r="AS25" i="28" s="1"/>
  <c r="T23" i="28"/>
  <c r="T24" i="28" s="1"/>
  <c r="AV24" i="28" s="1"/>
  <c r="AV26" i="28" s="1"/>
  <c r="J23" i="28"/>
  <c r="J24" i="28" s="1"/>
  <c r="AL24" i="28" s="1"/>
  <c r="AL25" i="28" s="1"/>
  <c r="F23" i="28"/>
  <c r="F24" i="28" s="1"/>
  <c r="AH24" i="28" s="1"/>
  <c r="W23" i="28"/>
  <c r="W24" i="28" s="1"/>
  <c r="AY24" i="28" s="1"/>
  <c r="AY26" i="28" s="1"/>
  <c r="Z23" i="28"/>
  <c r="Z24" i="28" s="1"/>
  <c r="BB24" i="28" s="1"/>
  <c r="BB26" i="28" s="1"/>
  <c r="S23" i="25"/>
  <c r="S24" i="25" s="1"/>
  <c r="AU24" i="25" s="1"/>
  <c r="AU26" i="25" s="1"/>
  <c r="AE23" i="25"/>
  <c r="AE24" i="25" s="1"/>
  <c r="BG24" i="25" s="1"/>
  <c r="BG25" i="25" s="1"/>
  <c r="H23" i="25"/>
  <c r="H24" i="25" s="1"/>
  <c r="AJ24" i="25" s="1"/>
  <c r="AJ26" i="25" s="1"/>
  <c r="U23" i="25"/>
  <c r="U24" i="25" s="1"/>
  <c r="AW24" i="25" s="1"/>
  <c r="AW26" i="25" s="1"/>
  <c r="Y23" i="25"/>
  <c r="Y24" i="25" s="1"/>
  <c r="BA24" i="25" s="1"/>
  <c r="BA25" i="25" s="1"/>
  <c r="L23" i="25"/>
  <c r="L24" i="25" s="1"/>
  <c r="AN24" i="25" s="1"/>
  <c r="AN26" i="25" s="1"/>
  <c r="T23" i="25"/>
  <c r="T24" i="25" s="1"/>
  <c r="AV24" i="25" s="1"/>
  <c r="AV26" i="25" s="1"/>
  <c r="J23" i="25"/>
  <c r="J24" i="25" s="1"/>
  <c r="AL24" i="25" s="1"/>
  <c r="AL26" i="25" s="1"/>
  <c r="K23" i="25"/>
  <c r="K24" i="25" s="1"/>
  <c r="AM24" i="25" s="1"/>
  <c r="AM25" i="25" s="1"/>
  <c r="R23" i="25"/>
  <c r="R24" i="25" s="1"/>
  <c r="AT24" i="25" s="1"/>
  <c r="AT25" i="25" s="1"/>
  <c r="Z23" i="25"/>
  <c r="Z24" i="25" s="1"/>
  <c r="BB24" i="25" s="1"/>
  <c r="BB26" i="25" s="1"/>
  <c r="P23" i="25"/>
  <c r="P24" i="25" s="1"/>
  <c r="AR24" i="25" s="1"/>
  <c r="AR26" i="25" s="1"/>
  <c r="W23" i="25"/>
  <c r="W24" i="25" s="1"/>
  <c r="AY24" i="25" s="1"/>
  <c r="AY26" i="25" s="1"/>
  <c r="AC23" i="25"/>
  <c r="AC24" i="25" s="1"/>
  <c r="BE24" i="25" s="1"/>
  <c r="BE25" i="25" s="1"/>
  <c r="X23" i="25"/>
  <c r="X24" i="25" s="1"/>
  <c r="AZ24" i="25" s="1"/>
  <c r="AZ26" i="25" s="1"/>
  <c r="I23" i="25"/>
  <c r="I24" i="25" s="1"/>
  <c r="AK24" i="25" s="1"/>
  <c r="AK26" i="25" s="1"/>
  <c r="BB22" i="28"/>
  <c r="BC22" i="28"/>
  <c r="AZ22" i="28"/>
  <c r="AY22" i="28"/>
  <c r="AU22" i="28"/>
  <c r="AM22" i="28"/>
  <c r="AH22" i="28"/>
  <c r="AX22" i="28"/>
  <c r="AR22" i="28"/>
  <c r="BF22" i="28"/>
  <c r="AL22" i="28"/>
  <c r="AK22" i="28"/>
  <c r="AI22" i="28"/>
  <c r="BG22" i="28"/>
  <c r="AN22" i="28"/>
  <c r="AQ22" i="28"/>
  <c r="AO22" i="28"/>
  <c r="BA22" i="28"/>
  <c r="AV22" i="28"/>
  <c r="AW22" i="28"/>
  <c r="AT22" i="28"/>
  <c r="BE22" i="28"/>
  <c r="AJ22" i="28"/>
  <c r="BD22" i="28"/>
  <c r="AP22" i="28"/>
  <c r="AS22" i="28"/>
  <c r="AR26" i="28"/>
  <c r="AR25" i="28"/>
  <c r="AU25" i="27"/>
  <c r="AU26" i="27"/>
  <c r="AH22" i="27"/>
  <c r="AW22" i="27"/>
  <c r="AM22" i="27"/>
  <c r="BG22" i="27"/>
  <c r="AN22" i="27"/>
  <c r="AZ22" i="27"/>
  <c r="AX22" i="27"/>
  <c r="AI22" i="27"/>
  <c r="AL22" i="27"/>
  <c r="BF22" i="27"/>
  <c r="AT22" i="27"/>
  <c r="AR22" i="27"/>
  <c r="AQ22" i="27"/>
  <c r="AK22" i="27"/>
  <c r="AJ22" i="27"/>
  <c r="BE22" i="27"/>
  <c r="BA22" i="27"/>
  <c r="AY22" i="27"/>
  <c r="BB22" i="27"/>
  <c r="BC22" i="27"/>
  <c r="AU22" i="27"/>
  <c r="AS22" i="27"/>
  <c r="AV22" i="27"/>
  <c r="AP22" i="27"/>
  <c r="AO22" i="27"/>
  <c r="BD22" i="27"/>
  <c r="AX26" i="25"/>
  <c r="AX25" i="25"/>
  <c r="AQ22" i="25"/>
  <c r="AX22" i="25"/>
  <c r="AU22" i="25"/>
  <c r="BA22" i="25"/>
  <c r="AO22" i="25"/>
  <c r="AP22" i="25"/>
  <c r="AS22" i="25"/>
  <c r="AK22" i="25"/>
  <c r="AT22" i="25"/>
  <c r="AN22" i="25"/>
  <c r="AL22" i="25"/>
  <c r="AR22" i="25"/>
  <c r="BB22" i="25"/>
  <c r="AI22" i="25"/>
  <c r="BD22" i="25"/>
  <c r="BE22" i="25"/>
  <c r="AY22" i="25"/>
  <c r="AZ22" i="25"/>
  <c r="AV22" i="25"/>
  <c r="BF22" i="25"/>
  <c r="AM22" i="25"/>
  <c r="BG22" i="25"/>
  <c r="BC22" i="25"/>
  <c r="AW22" i="25"/>
  <c r="AH22" i="25"/>
  <c r="AJ22" i="25"/>
  <c r="BD26" i="23"/>
  <c r="BD25" i="23"/>
  <c r="AQ25" i="23"/>
  <c r="AQ26" i="23"/>
  <c r="BG26" i="23"/>
  <c r="BG25" i="23"/>
  <c r="BB26" i="23"/>
  <c r="BB25" i="23"/>
  <c r="AI25" i="23"/>
  <c r="AI26" i="23"/>
  <c r="AX26" i="23"/>
  <c r="AX25" i="23"/>
  <c r="AL26" i="23"/>
  <c r="AL25" i="23"/>
  <c r="AF24" i="23"/>
  <c r="AH24" i="23"/>
  <c r="AX22" i="23"/>
  <c r="AM22" i="23"/>
  <c r="AU22" i="23"/>
  <c r="AY22" i="23"/>
  <c r="AI22" i="23"/>
  <c r="BD22" i="23"/>
  <c r="BE22" i="23"/>
  <c r="BA22" i="23"/>
  <c r="AW22" i="23"/>
  <c r="AH22" i="23"/>
  <c r="AR22" i="23"/>
  <c r="BC22" i="23"/>
  <c r="AP22" i="23"/>
  <c r="AZ22" i="23"/>
  <c r="AV22" i="23"/>
  <c r="BG22" i="23"/>
  <c r="AS22" i="23"/>
  <c r="AK22" i="23"/>
  <c r="AO22" i="23"/>
  <c r="AJ22" i="23"/>
  <c r="BF22" i="23"/>
  <c r="AQ22" i="23"/>
  <c r="AL22" i="23"/>
  <c r="AN22" i="23"/>
  <c r="BB22" i="23"/>
  <c r="AT22" i="23"/>
  <c r="AO25" i="23"/>
  <c r="AO26" i="23"/>
  <c r="BE26" i="23"/>
  <c r="BE25" i="23"/>
  <c r="AS26" i="23"/>
  <c r="AS25" i="23"/>
  <c r="AN25" i="23"/>
  <c r="AN26" i="23"/>
  <c r="AV25" i="23"/>
  <c r="AV26" i="23"/>
  <c r="AK25" i="23"/>
  <c r="AK26" i="23"/>
  <c r="BA26" i="23"/>
  <c r="BA25" i="23"/>
  <c r="AT26" i="23"/>
  <c r="AT25" i="23"/>
  <c r="AP25" i="23"/>
  <c r="AP26" i="23"/>
  <c r="BC25" i="23"/>
  <c r="BC26" i="23"/>
  <c r="AR26" i="23"/>
  <c r="AR25" i="23"/>
  <c r="AM26" i="23"/>
  <c r="AM25" i="23"/>
  <c r="AZ26" i="23"/>
  <c r="AZ25" i="23"/>
  <c r="AW25" i="23"/>
  <c r="AW26" i="23"/>
  <c r="AJ26" i="23"/>
  <c r="AJ25" i="23"/>
  <c r="AY26" i="23"/>
  <c r="AY25" i="23"/>
  <c r="AU26" i="23"/>
  <c r="AU25" i="23"/>
  <c r="BF26" i="23"/>
  <c r="BF25" i="23"/>
  <c r="AK8" i="1"/>
  <c r="AK7" i="1"/>
  <c r="I39" i="1"/>
  <c r="J6" i="1"/>
  <c r="K12" i="1"/>
  <c r="F40" i="38" l="1"/>
  <c r="F41" i="38" s="1"/>
  <c r="F42" i="38" s="1"/>
  <c r="O40" i="38"/>
  <c r="O41" i="38" s="1"/>
  <c r="O42" i="38" s="1"/>
  <c r="AQ42" i="38" s="1"/>
  <c r="N40" i="38"/>
  <c r="N41" i="38" s="1"/>
  <c r="N42" i="38" s="1"/>
  <c r="AP42" i="38" s="1"/>
  <c r="Y40" i="38"/>
  <c r="Y41" i="38" s="1"/>
  <c r="Y42" i="38" s="1"/>
  <c r="BA42" i="38" s="1"/>
  <c r="T40" i="38"/>
  <c r="T41" i="38" s="1"/>
  <c r="T42" i="38" s="1"/>
  <c r="AV42" i="38" s="1"/>
  <c r="V40" i="38"/>
  <c r="V41" i="38" s="1"/>
  <c r="V42" i="38" s="1"/>
  <c r="AX42" i="38" s="1"/>
  <c r="J40" i="38"/>
  <c r="J41" i="38" s="1"/>
  <c r="J42" i="38" s="1"/>
  <c r="AL42" i="38" s="1"/>
  <c r="AD40" i="38"/>
  <c r="AD41" i="38" s="1"/>
  <c r="AD42" i="38" s="1"/>
  <c r="BF42" i="38" s="1"/>
  <c r="W40" i="38"/>
  <c r="W41" i="38" s="1"/>
  <c r="W42" i="38" s="1"/>
  <c r="AY42" i="38" s="1"/>
  <c r="H40" i="38"/>
  <c r="H41" i="38" s="1"/>
  <c r="H42" i="38" s="1"/>
  <c r="AJ42" i="38" s="1"/>
  <c r="Z40" i="38"/>
  <c r="Z41" i="38" s="1"/>
  <c r="Z42" i="38" s="1"/>
  <c r="BB42" i="38" s="1"/>
  <c r="Q40" i="38"/>
  <c r="Q41" i="38" s="1"/>
  <c r="Q42" i="38" s="1"/>
  <c r="AS42" i="38" s="1"/>
  <c r="U40" i="38"/>
  <c r="U41" i="38" s="1"/>
  <c r="U42" i="38" s="1"/>
  <c r="AW42" i="38" s="1"/>
  <c r="AN37" i="38"/>
  <c r="BG37" i="38"/>
  <c r="BE37" i="38"/>
  <c r="AS37" i="38"/>
  <c r="AV37" i="38"/>
  <c r="AL37" i="38"/>
  <c r="AU37" i="38"/>
  <c r="AW37" i="38"/>
  <c r="AT37" i="38"/>
  <c r="AI37" i="38"/>
  <c r="AJ37" i="38"/>
  <c r="BF37" i="38"/>
  <c r="AY37" i="38"/>
  <c r="AX37" i="38"/>
  <c r="BD37" i="38"/>
  <c r="AZ37" i="38"/>
  <c r="AP37" i="38"/>
  <c r="AH37" i="38"/>
  <c r="AR37" i="38"/>
  <c r="BB37" i="38"/>
  <c r="AM37" i="38"/>
  <c r="AQ37" i="38"/>
  <c r="AO37" i="38"/>
  <c r="BA37" i="38"/>
  <c r="AK37" i="38"/>
  <c r="BC37" i="38"/>
  <c r="AB40" i="38"/>
  <c r="AB41" i="38" s="1"/>
  <c r="AB42" i="38" s="1"/>
  <c r="BD42" i="38" s="1"/>
  <c r="P40" i="38"/>
  <c r="P41" i="38" s="1"/>
  <c r="P42" i="38" s="1"/>
  <c r="AR42" i="38" s="1"/>
  <c r="K40" i="38"/>
  <c r="K41" i="38" s="1"/>
  <c r="K42" i="38" s="1"/>
  <c r="AM42" i="38" s="1"/>
  <c r="M40" i="38"/>
  <c r="M41" i="38" s="1"/>
  <c r="M42" i="38" s="1"/>
  <c r="AO42" i="38" s="1"/>
  <c r="R40" i="38"/>
  <c r="R41" i="38" s="1"/>
  <c r="R42" i="38" s="1"/>
  <c r="AT42" i="38" s="1"/>
  <c r="AE40" i="38"/>
  <c r="AE41" i="38" s="1"/>
  <c r="AE42" i="38" s="1"/>
  <c r="BG42" i="38" s="1"/>
  <c r="G40" i="38"/>
  <c r="G41" i="38" s="1"/>
  <c r="G42" i="38" s="1"/>
  <c r="AI42" i="38" s="1"/>
  <c r="X40" i="38"/>
  <c r="X41" i="38" s="1"/>
  <c r="X42" i="38" s="1"/>
  <c r="AZ42" i="38" s="1"/>
  <c r="S40" i="38"/>
  <c r="S41" i="38" s="1"/>
  <c r="S42" i="38" s="1"/>
  <c r="AU42" i="38" s="1"/>
  <c r="L40" i="38"/>
  <c r="L41" i="38" s="1"/>
  <c r="L42" i="38" s="1"/>
  <c r="AN42" i="38" s="1"/>
  <c r="AC40" i="38"/>
  <c r="AC41" i="38" s="1"/>
  <c r="AC42" i="38" s="1"/>
  <c r="BE42" i="38" s="1"/>
  <c r="I40" i="38"/>
  <c r="I41" i="38" s="1"/>
  <c r="I42" i="38" s="1"/>
  <c r="AK42" i="38" s="1"/>
  <c r="AA40" i="38"/>
  <c r="AA41" i="38" s="1"/>
  <c r="AA42" i="38" s="1"/>
  <c r="BC42" i="38" s="1"/>
  <c r="AY40" i="37"/>
  <c r="AY41" i="37"/>
  <c r="AK40" i="37"/>
  <c r="AK41" i="37"/>
  <c r="AI40" i="37"/>
  <c r="AI41" i="37"/>
  <c r="BD41" i="37"/>
  <c r="BD40" i="37"/>
  <c r="AT40" i="37"/>
  <c r="AT41" i="37"/>
  <c r="AV41" i="37"/>
  <c r="AV40" i="37"/>
  <c r="AX41" i="37"/>
  <c r="AX40" i="37"/>
  <c r="AS40" i="37"/>
  <c r="AS41" i="37"/>
  <c r="BE41" i="37"/>
  <c r="BE40" i="37"/>
  <c r="AW41" i="37"/>
  <c r="AW40" i="37"/>
  <c r="AP41" i="37"/>
  <c r="AP40" i="37"/>
  <c r="AZ40" i="37"/>
  <c r="AZ41" i="37"/>
  <c r="BG40" i="37"/>
  <c r="BG41" i="37"/>
  <c r="BF41" i="37"/>
  <c r="BF40" i="37"/>
  <c r="AL40" i="37"/>
  <c r="AL41" i="37"/>
  <c r="AN41" i="37"/>
  <c r="AN40" i="37"/>
  <c r="BA40" i="37"/>
  <c r="BA41" i="37"/>
  <c r="AQ40" i="37"/>
  <c r="AQ41" i="37"/>
  <c r="AM41" i="37"/>
  <c r="AM40" i="37"/>
  <c r="BB40" i="37"/>
  <c r="BB41" i="37"/>
  <c r="AR40" i="37"/>
  <c r="AR41" i="37"/>
  <c r="AO41" i="37"/>
  <c r="AO40" i="37"/>
  <c r="BC41" i="37"/>
  <c r="BC40" i="37"/>
  <c r="AU41" i="37"/>
  <c r="AU40" i="37"/>
  <c r="AJ40" i="37"/>
  <c r="AJ41" i="37"/>
  <c r="AH42" i="37"/>
  <c r="AF42" i="37"/>
  <c r="T40" i="36"/>
  <c r="T41" i="36" s="1"/>
  <c r="T42" i="36" s="1"/>
  <c r="AV42" i="36" s="1"/>
  <c r="K40" i="36"/>
  <c r="K41" i="36" s="1"/>
  <c r="K42" i="36" s="1"/>
  <c r="AM42" i="36" s="1"/>
  <c r="AB40" i="36"/>
  <c r="AB41" i="36" s="1"/>
  <c r="AB42" i="36" s="1"/>
  <c r="BD42" i="36" s="1"/>
  <c r="G40" i="36"/>
  <c r="G41" i="36" s="1"/>
  <c r="G42" i="36" s="1"/>
  <c r="AI42" i="36" s="1"/>
  <c r="X40" i="36"/>
  <c r="X41" i="36" s="1"/>
  <c r="X42" i="36" s="1"/>
  <c r="AZ42" i="36" s="1"/>
  <c r="M40" i="36"/>
  <c r="M41" i="36" s="1"/>
  <c r="M42" i="36" s="1"/>
  <c r="AO42" i="36" s="1"/>
  <c r="O40" i="36"/>
  <c r="O41" i="36" s="1"/>
  <c r="O42" i="36" s="1"/>
  <c r="AQ42" i="36" s="1"/>
  <c r="H40" i="36"/>
  <c r="H41" i="36" s="1"/>
  <c r="H42" i="36" s="1"/>
  <c r="AJ42" i="36" s="1"/>
  <c r="P40" i="36"/>
  <c r="P41" i="36" s="1"/>
  <c r="P42" i="36" s="1"/>
  <c r="AR42" i="36" s="1"/>
  <c r="U40" i="36"/>
  <c r="U41" i="36" s="1"/>
  <c r="U42" i="36" s="1"/>
  <c r="AW42" i="36" s="1"/>
  <c r="W40" i="36"/>
  <c r="W41" i="36" s="1"/>
  <c r="W42" i="36" s="1"/>
  <c r="AY42" i="36" s="1"/>
  <c r="L40" i="36"/>
  <c r="L41" i="36" s="1"/>
  <c r="L42" i="36" s="1"/>
  <c r="AN42" i="36" s="1"/>
  <c r="Y40" i="36"/>
  <c r="Y41" i="36" s="1"/>
  <c r="Y42" i="36" s="1"/>
  <c r="BA42" i="36" s="1"/>
  <c r="Q40" i="36"/>
  <c r="Q41" i="36" s="1"/>
  <c r="Q42" i="36" s="1"/>
  <c r="AS42" i="36" s="1"/>
  <c r="AC40" i="36"/>
  <c r="AC41" i="36" s="1"/>
  <c r="AC42" i="36" s="1"/>
  <c r="BE42" i="36" s="1"/>
  <c r="AE40" i="36"/>
  <c r="AE41" i="36" s="1"/>
  <c r="AE42" i="36" s="1"/>
  <c r="BG42" i="36" s="1"/>
  <c r="V40" i="36"/>
  <c r="V41" i="36" s="1"/>
  <c r="V42" i="36" s="1"/>
  <c r="AX42" i="36" s="1"/>
  <c r="AD40" i="36"/>
  <c r="AD41" i="36" s="1"/>
  <c r="AD42" i="36" s="1"/>
  <c r="BF42" i="36" s="1"/>
  <c r="Z40" i="36"/>
  <c r="Z41" i="36" s="1"/>
  <c r="Z42" i="36" s="1"/>
  <c r="BB42" i="36" s="1"/>
  <c r="R40" i="36"/>
  <c r="R41" i="36" s="1"/>
  <c r="R42" i="36" s="1"/>
  <c r="AT42" i="36" s="1"/>
  <c r="F40" i="36"/>
  <c r="F41" i="36" s="1"/>
  <c r="F42" i="36" s="1"/>
  <c r="AS37" i="36"/>
  <c r="BF37" i="36"/>
  <c r="BC37" i="36"/>
  <c r="AT37" i="36"/>
  <c r="AO37" i="36"/>
  <c r="AY37" i="36"/>
  <c r="AR37" i="36"/>
  <c r="BE37" i="36"/>
  <c r="AN37" i="36"/>
  <c r="AP37" i="36"/>
  <c r="AK37" i="36"/>
  <c r="AH37" i="36"/>
  <c r="AJ37" i="36"/>
  <c r="BD37" i="36"/>
  <c r="AQ37" i="36"/>
  <c r="AW37" i="36"/>
  <c r="AM37" i="36"/>
  <c r="BA37" i="36"/>
  <c r="BG37" i="36"/>
  <c r="AZ37" i="36"/>
  <c r="BB37" i="36"/>
  <c r="AU37" i="36"/>
  <c r="AI37" i="36"/>
  <c r="AV37" i="36"/>
  <c r="AL37" i="36"/>
  <c r="AX37" i="36"/>
  <c r="I40" i="36"/>
  <c r="I41" i="36" s="1"/>
  <c r="I42" i="36" s="1"/>
  <c r="AK42" i="36" s="1"/>
  <c r="J40" i="36"/>
  <c r="J41" i="36" s="1"/>
  <c r="J42" i="36" s="1"/>
  <c r="AL42" i="36" s="1"/>
  <c r="AA40" i="36"/>
  <c r="AA41" i="36" s="1"/>
  <c r="AA42" i="36" s="1"/>
  <c r="BC42" i="36" s="1"/>
  <c r="S40" i="36"/>
  <c r="S41" i="36" s="1"/>
  <c r="S42" i="36" s="1"/>
  <c r="AU42" i="36" s="1"/>
  <c r="N40" i="36"/>
  <c r="N41" i="36" s="1"/>
  <c r="N42" i="36" s="1"/>
  <c r="AP42" i="36" s="1"/>
  <c r="W61" i="31"/>
  <c r="AW61" i="31"/>
  <c r="AW60" i="31"/>
  <c r="V59" i="31"/>
  <c r="AV59" i="31"/>
  <c r="AV58" i="31"/>
  <c r="W49" i="31"/>
  <c r="AW49" i="31"/>
  <c r="AW48" i="31"/>
  <c r="V43" i="31"/>
  <c r="AV42" i="31"/>
  <c r="AV43" i="31"/>
  <c r="W73" i="31"/>
  <c r="AW73" i="31"/>
  <c r="AW72" i="31"/>
  <c r="W69" i="31"/>
  <c r="AW69" i="31"/>
  <c r="AW68" i="31"/>
  <c r="V53" i="31"/>
  <c r="AV53" i="31"/>
  <c r="AV52" i="31"/>
  <c r="V67" i="31"/>
  <c r="AV67" i="31"/>
  <c r="AV66" i="31"/>
  <c r="V35" i="31"/>
  <c r="AV35" i="31"/>
  <c r="AV34" i="31"/>
  <c r="W39" i="31"/>
  <c r="AW39" i="31"/>
  <c r="AW38" i="31"/>
  <c r="V51" i="31"/>
  <c r="AV51" i="31"/>
  <c r="AV50" i="31"/>
  <c r="X41" i="31"/>
  <c r="AX41" i="31"/>
  <c r="AX40" i="31"/>
  <c r="V57" i="31"/>
  <c r="AV56" i="31"/>
  <c r="AV57" i="31"/>
  <c r="V37" i="31"/>
  <c r="AV37" i="31"/>
  <c r="AV36" i="31"/>
  <c r="V65" i="31"/>
  <c r="AV65" i="31"/>
  <c r="AV64" i="31"/>
  <c r="X45" i="31"/>
  <c r="AX45" i="31"/>
  <c r="AX44" i="31"/>
  <c r="V63" i="31"/>
  <c r="AV63" i="31"/>
  <c r="AV62" i="31"/>
  <c r="X55" i="31"/>
  <c r="AX55" i="31"/>
  <c r="AX54" i="31"/>
  <c r="W77" i="31"/>
  <c r="AW77" i="31"/>
  <c r="AW76" i="31"/>
  <c r="AY22" i="29"/>
  <c r="AN22" i="29"/>
  <c r="AR22" i="29"/>
  <c r="BB22" i="29"/>
  <c r="AJ22" i="29"/>
  <c r="AU22" i="29"/>
  <c r="BE22" i="29"/>
  <c r="BF22" i="29"/>
  <c r="AS22" i="29"/>
  <c r="AM22" i="29"/>
  <c r="BD22" i="29"/>
  <c r="AQ22" i="29"/>
  <c r="BA22" i="29"/>
  <c r="AP22" i="29"/>
  <c r="AK22" i="29"/>
  <c r="AZ22" i="29"/>
  <c r="AT22" i="29"/>
  <c r="BG22" i="29"/>
  <c r="AV22" i="29"/>
  <c r="BC22" i="29"/>
  <c r="AW22" i="29"/>
  <c r="AX22" i="29"/>
  <c r="AI22" i="29"/>
  <c r="AO22" i="29"/>
  <c r="AL22" i="29"/>
  <c r="AH22" i="29"/>
  <c r="S23" i="29"/>
  <c r="S24" i="29" s="1"/>
  <c r="AU24" i="29" s="1"/>
  <c r="AU26" i="29" s="1"/>
  <c r="Q23" i="29"/>
  <c r="Q24" i="29" s="1"/>
  <c r="AS24" i="29" s="1"/>
  <c r="AS26" i="29" s="1"/>
  <c r="AE23" i="29"/>
  <c r="AE24" i="29" s="1"/>
  <c r="BG24" i="29" s="1"/>
  <c r="BG26" i="29" s="1"/>
  <c r="V23" i="29"/>
  <c r="V24" i="29" s="1"/>
  <c r="AX24" i="29" s="1"/>
  <c r="AX26" i="29" s="1"/>
  <c r="W23" i="29"/>
  <c r="W24" i="29" s="1"/>
  <c r="AY24" i="29" s="1"/>
  <c r="AY26" i="29" s="1"/>
  <c r="U23" i="29"/>
  <c r="U24" i="29" s="1"/>
  <c r="AW24" i="29" s="1"/>
  <c r="AW25" i="29" s="1"/>
  <c r="Z23" i="29"/>
  <c r="Z24" i="29" s="1"/>
  <c r="BB24" i="29" s="1"/>
  <c r="BB25" i="29" s="1"/>
  <c r="J23" i="29"/>
  <c r="J24" i="29" s="1"/>
  <c r="AL24" i="29" s="1"/>
  <c r="AL26" i="29" s="1"/>
  <c r="N23" i="29"/>
  <c r="N24" i="29" s="1"/>
  <c r="AP24" i="29" s="1"/>
  <c r="AP25" i="29" s="1"/>
  <c r="AC23" i="29"/>
  <c r="AC24" i="29" s="1"/>
  <c r="BE24" i="29" s="1"/>
  <c r="BE25" i="29" s="1"/>
  <c r="I23" i="29"/>
  <c r="I24" i="29" s="1"/>
  <c r="AK24" i="29" s="1"/>
  <c r="AK25" i="29" s="1"/>
  <c r="AB23" i="29"/>
  <c r="AB24" i="29" s="1"/>
  <c r="BD24" i="29" s="1"/>
  <c r="BD25" i="29" s="1"/>
  <c r="X23" i="29"/>
  <c r="X24" i="29" s="1"/>
  <c r="AZ24" i="29" s="1"/>
  <c r="AZ26" i="29" s="1"/>
  <c r="G23" i="29"/>
  <c r="G24" i="29" s="1"/>
  <c r="AI24" i="29" s="1"/>
  <c r="AI26" i="29" s="1"/>
  <c r="H23" i="29"/>
  <c r="H24" i="29" s="1"/>
  <c r="AJ24" i="29" s="1"/>
  <c r="AJ25" i="29" s="1"/>
  <c r="P23" i="29"/>
  <c r="P24" i="29" s="1"/>
  <c r="AR24" i="29" s="1"/>
  <c r="AR25" i="29" s="1"/>
  <c r="L23" i="29"/>
  <c r="L24" i="29" s="1"/>
  <c r="AN24" i="29" s="1"/>
  <c r="AN26" i="29" s="1"/>
  <c r="O23" i="29"/>
  <c r="O24" i="29" s="1"/>
  <c r="AQ24" i="29" s="1"/>
  <c r="AQ26" i="29" s="1"/>
  <c r="T23" i="29"/>
  <c r="T24" i="29" s="1"/>
  <c r="AV24" i="29" s="1"/>
  <c r="AV25" i="29" s="1"/>
  <c r="R23" i="29"/>
  <c r="R24" i="29" s="1"/>
  <c r="AT24" i="29" s="1"/>
  <c r="AT25" i="29" s="1"/>
  <c r="K23" i="29"/>
  <c r="K24" i="29" s="1"/>
  <c r="AM24" i="29" s="1"/>
  <c r="AM25" i="29" s="1"/>
  <c r="M23" i="29"/>
  <c r="M24" i="29" s="1"/>
  <c r="AO24" i="29" s="1"/>
  <c r="AO26" i="29" s="1"/>
  <c r="AD23" i="29"/>
  <c r="AD24" i="29" s="1"/>
  <c r="BF24" i="29" s="1"/>
  <c r="BF26" i="29" s="1"/>
  <c r="AA23" i="29"/>
  <c r="AA24" i="29" s="1"/>
  <c r="BC24" i="29" s="1"/>
  <c r="BC26" i="29" s="1"/>
  <c r="Y23" i="29"/>
  <c r="Y24" i="29" s="1"/>
  <c r="BA24" i="29" s="1"/>
  <c r="BA26" i="29" s="1"/>
  <c r="AV22" i="26"/>
  <c r="AJ22" i="26"/>
  <c r="AI22" i="26"/>
  <c r="AR22" i="26"/>
  <c r="AN22" i="26"/>
  <c r="AX22" i="26"/>
  <c r="AQ22" i="26"/>
  <c r="BA22" i="26"/>
  <c r="AM22" i="26"/>
  <c r="AZ22" i="26"/>
  <c r="BD22" i="26"/>
  <c r="AK22" i="26"/>
  <c r="AU22" i="26"/>
  <c r="BG22" i="26"/>
  <c r="BC22" i="26"/>
  <c r="AL22" i="26"/>
  <c r="AT22" i="26"/>
  <c r="AH22" i="26"/>
  <c r="BB22" i="26"/>
  <c r="AS22" i="26"/>
  <c r="AY22" i="26"/>
  <c r="AW22" i="26"/>
  <c r="BE22" i="26"/>
  <c r="AP22" i="26"/>
  <c r="BF22" i="26"/>
  <c r="AV26" i="27"/>
  <c r="AL22" i="24"/>
  <c r="AM26" i="27"/>
  <c r="AS25" i="27"/>
  <c r="AT25" i="27"/>
  <c r="AW25" i="27"/>
  <c r="AJ25" i="27"/>
  <c r="AR26" i="27"/>
  <c r="AO25" i="27"/>
  <c r="AQ25" i="27"/>
  <c r="AN25" i="27"/>
  <c r="AP25" i="27"/>
  <c r="BC26" i="27"/>
  <c r="BA26" i="27"/>
  <c r="BD25" i="27"/>
  <c r="AX26" i="27"/>
  <c r="AZ26" i="27"/>
  <c r="AY25" i="27"/>
  <c r="AL26" i="27"/>
  <c r="AI25" i="27"/>
  <c r="AK25" i="27"/>
  <c r="BF25" i="27"/>
  <c r="BE26" i="27"/>
  <c r="BG26" i="27"/>
  <c r="BB25" i="27"/>
  <c r="AF24" i="27"/>
  <c r="P26" i="27" s="1"/>
  <c r="AT22" i="24"/>
  <c r="AN22" i="24"/>
  <c r="AE23" i="24"/>
  <c r="AE24" i="24" s="1"/>
  <c r="BG24" i="24" s="1"/>
  <c r="BG26" i="24" s="1"/>
  <c r="AW22" i="24"/>
  <c r="BD22" i="24"/>
  <c r="BB22" i="24"/>
  <c r="AO22" i="24"/>
  <c r="AK22" i="24"/>
  <c r="AY22" i="24"/>
  <c r="AI22" i="24"/>
  <c r="BC22" i="24"/>
  <c r="AM22" i="24"/>
  <c r="AP22" i="24"/>
  <c r="BA22" i="24"/>
  <c r="BG22" i="24"/>
  <c r="BF22" i="24"/>
  <c r="AZ22" i="24"/>
  <c r="AH22" i="24"/>
  <c r="BE22" i="24"/>
  <c r="AV22" i="24"/>
  <c r="AX22" i="24"/>
  <c r="AS22" i="24"/>
  <c r="AU22" i="24"/>
  <c r="AR22" i="24"/>
  <c r="AQ22" i="24"/>
  <c r="F23" i="26"/>
  <c r="F24" i="26" s="1"/>
  <c r="AH24" i="26" s="1"/>
  <c r="AH25" i="26" s="1"/>
  <c r="G23" i="24"/>
  <c r="G24" i="24" s="1"/>
  <c r="AI24" i="24" s="1"/>
  <c r="AI26" i="24" s="1"/>
  <c r="AC23" i="24"/>
  <c r="AC24" i="24" s="1"/>
  <c r="BE24" i="24" s="1"/>
  <c r="BE26" i="24" s="1"/>
  <c r="AB23" i="24"/>
  <c r="AB24" i="24" s="1"/>
  <c r="BD24" i="24" s="1"/>
  <c r="BD25" i="24" s="1"/>
  <c r="AJ22" i="24"/>
  <c r="T23" i="24"/>
  <c r="T24" i="24" s="1"/>
  <c r="AV24" i="24" s="1"/>
  <c r="AV25" i="24" s="1"/>
  <c r="F23" i="24"/>
  <c r="F24" i="24" s="1"/>
  <c r="AH24" i="24" s="1"/>
  <c r="AH25" i="24" s="1"/>
  <c r="U23" i="24"/>
  <c r="U24" i="24" s="1"/>
  <c r="AW24" i="24" s="1"/>
  <c r="AW26" i="24" s="1"/>
  <c r="N23" i="24"/>
  <c r="N24" i="24" s="1"/>
  <c r="AP24" i="24" s="1"/>
  <c r="AP26" i="24" s="1"/>
  <c r="W23" i="24"/>
  <c r="W24" i="24" s="1"/>
  <c r="AY24" i="24" s="1"/>
  <c r="AY26" i="24" s="1"/>
  <c r="I23" i="24"/>
  <c r="I24" i="24" s="1"/>
  <c r="AK24" i="24" s="1"/>
  <c r="AK25" i="24" s="1"/>
  <c r="O23" i="24"/>
  <c r="O24" i="24" s="1"/>
  <c r="AQ24" i="24" s="1"/>
  <c r="AQ25" i="24" s="1"/>
  <c r="J23" i="24"/>
  <c r="J24" i="24" s="1"/>
  <c r="AL24" i="24" s="1"/>
  <c r="AL26" i="24" s="1"/>
  <c r="Y23" i="24"/>
  <c r="Y24" i="24" s="1"/>
  <c r="BA24" i="24" s="1"/>
  <c r="BA25" i="24" s="1"/>
  <c r="L23" i="24"/>
  <c r="L24" i="24" s="1"/>
  <c r="AN24" i="24" s="1"/>
  <c r="AN26" i="24" s="1"/>
  <c r="P23" i="24"/>
  <c r="P24" i="24" s="1"/>
  <c r="AR24" i="24" s="1"/>
  <c r="AR26" i="24" s="1"/>
  <c r="S23" i="24"/>
  <c r="S24" i="24" s="1"/>
  <c r="AU24" i="24" s="1"/>
  <c r="AU25" i="24" s="1"/>
  <c r="AW26" i="26"/>
  <c r="AA23" i="26"/>
  <c r="AA24" i="26" s="1"/>
  <c r="BC24" i="26" s="1"/>
  <c r="BC26" i="26" s="1"/>
  <c r="Q23" i="24"/>
  <c r="Q24" i="24" s="1"/>
  <c r="AS24" i="24" s="1"/>
  <c r="AS25" i="24" s="1"/>
  <c r="K23" i="24"/>
  <c r="K24" i="24" s="1"/>
  <c r="AM24" i="24" s="1"/>
  <c r="AM26" i="24" s="1"/>
  <c r="H23" i="24"/>
  <c r="H24" i="24" s="1"/>
  <c r="AJ24" i="24" s="1"/>
  <c r="AJ25" i="24" s="1"/>
  <c r="AZ25" i="24"/>
  <c r="AE23" i="26"/>
  <c r="AE24" i="26" s="1"/>
  <c r="BG24" i="26" s="1"/>
  <c r="BG25" i="26" s="1"/>
  <c r="V23" i="24"/>
  <c r="V24" i="24" s="1"/>
  <c r="AX24" i="24" s="1"/>
  <c r="AX25" i="24" s="1"/>
  <c r="AD23" i="24"/>
  <c r="AD24" i="24" s="1"/>
  <c r="BF24" i="24" s="1"/>
  <c r="AA23" i="24"/>
  <c r="AA24" i="24" s="1"/>
  <c r="BC24" i="24" s="1"/>
  <c r="BC26" i="24" s="1"/>
  <c r="R23" i="24"/>
  <c r="R24" i="24" s="1"/>
  <c r="AT24" i="24" s="1"/>
  <c r="AT25" i="24" s="1"/>
  <c r="M23" i="24"/>
  <c r="M24" i="24" s="1"/>
  <c r="AO24" i="24" s="1"/>
  <c r="AO26" i="24" s="1"/>
  <c r="Z23" i="24"/>
  <c r="Z24" i="24" s="1"/>
  <c r="BB24" i="24" s="1"/>
  <c r="BB26" i="24" s="1"/>
  <c r="Z23" i="26"/>
  <c r="Z24" i="26" s="1"/>
  <c r="BB24" i="26" s="1"/>
  <c r="BB26" i="26" s="1"/>
  <c r="V23" i="26"/>
  <c r="V24" i="26" s="1"/>
  <c r="AX24" i="26" s="1"/>
  <c r="AX26" i="26" s="1"/>
  <c r="P23" i="26"/>
  <c r="P24" i="26" s="1"/>
  <c r="AR24" i="26" s="1"/>
  <c r="AR26" i="26" s="1"/>
  <c r="AC23" i="26"/>
  <c r="AC24" i="26" s="1"/>
  <c r="BE24" i="26" s="1"/>
  <c r="BE25" i="26" s="1"/>
  <c r="I23" i="26"/>
  <c r="I24" i="26" s="1"/>
  <c r="AK24" i="26" s="1"/>
  <c r="AK26" i="26" s="1"/>
  <c r="N23" i="26"/>
  <c r="N24" i="26" s="1"/>
  <c r="AP24" i="26" s="1"/>
  <c r="AP26" i="26" s="1"/>
  <c r="K23" i="26"/>
  <c r="K24" i="26" s="1"/>
  <c r="AM24" i="26" s="1"/>
  <c r="AM26" i="26" s="1"/>
  <c r="AB23" i="26"/>
  <c r="AB24" i="26" s="1"/>
  <c r="BD24" i="26" s="1"/>
  <c r="BD25" i="26" s="1"/>
  <c r="R23" i="26"/>
  <c r="R24" i="26" s="1"/>
  <c r="AT24" i="26" s="1"/>
  <c r="AT25" i="26" s="1"/>
  <c r="S23" i="26"/>
  <c r="S24" i="26" s="1"/>
  <c r="AU24" i="26" s="1"/>
  <c r="AU26" i="26" s="1"/>
  <c r="G23" i="26"/>
  <c r="G24" i="26" s="1"/>
  <c r="AI24" i="26" s="1"/>
  <c r="AI25" i="26" s="1"/>
  <c r="L23" i="26"/>
  <c r="L24" i="26" s="1"/>
  <c r="AN24" i="26" s="1"/>
  <c r="AN26" i="26" s="1"/>
  <c r="T23" i="26"/>
  <c r="T24" i="26" s="1"/>
  <c r="AV24" i="26" s="1"/>
  <c r="AV25" i="26" s="1"/>
  <c r="M23" i="26"/>
  <c r="M24" i="26" s="1"/>
  <c r="AO24" i="26" s="1"/>
  <c r="AO26" i="26" s="1"/>
  <c r="Y23" i="26"/>
  <c r="Y24" i="26" s="1"/>
  <c r="BA24" i="26" s="1"/>
  <c r="BA26" i="26" s="1"/>
  <c r="Q23" i="26"/>
  <c r="Q24" i="26" s="1"/>
  <c r="AS24" i="26" s="1"/>
  <c r="AS26" i="26" s="1"/>
  <c r="O23" i="26"/>
  <c r="O24" i="26" s="1"/>
  <c r="AQ24" i="26" s="1"/>
  <c r="AQ26" i="26" s="1"/>
  <c r="H23" i="26"/>
  <c r="H24" i="26" s="1"/>
  <c r="AJ24" i="26" s="1"/>
  <c r="AJ25" i="26" s="1"/>
  <c r="J23" i="26"/>
  <c r="J24" i="26" s="1"/>
  <c r="AL24" i="26" s="1"/>
  <c r="AL26" i="26" s="1"/>
  <c r="W23" i="26"/>
  <c r="W24" i="26" s="1"/>
  <c r="AY24" i="26" s="1"/>
  <c r="AY25" i="26" s="1"/>
  <c r="X23" i="26"/>
  <c r="X24" i="26" s="1"/>
  <c r="AZ24" i="26" s="1"/>
  <c r="AZ26" i="26" s="1"/>
  <c r="AO22" i="26"/>
  <c r="AD23" i="26"/>
  <c r="AD24" i="26" s="1"/>
  <c r="BF24" i="26" s="1"/>
  <c r="BF25" i="26" s="1"/>
  <c r="BD25" i="25"/>
  <c r="AT26" i="25"/>
  <c r="AS26" i="25"/>
  <c r="BC26" i="25"/>
  <c r="AU25" i="25"/>
  <c r="AK26" i="28"/>
  <c r="AS26" i="28"/>
  <c r="AO25" i="28"/>
  <c r="AP25" i="25"/>
  <c r="BD26" i="28"/>
  <c r="AY25" i="25"/>
  <c r="AV25" i="25"/>
  <c r="BF26" i="25"/>
  <c r="AO26" i="25"/>
  <c r="BA26" i="28"/>
  <c r="AP26" i="28"/>
  <c r="AI25" i="25"/>
  <c r="BG26" i="25"/>
  <c r="AN26" i="28"/>
  <c r="AQ25" i="25"/>
  <c r="AQ26" i="28"/>
  <c r="AI26" i="28"/>
  <c r="BC26" i="28"/>
  <c r="AT25" i="28"/>
  <c r="AN25" i="25"/>
  <c r="BE25" i="28"/>
  <c r="BB25" i="28"/>
  <c r="AW25" i="25"/>
  <c r="BA26" i="25"/>
  <c r="AW25" i="28"/>
  <c r="AK25" i="25"/>
  <c r="AJ25" i="28"/>
  <c r="BG25" i="28"/>
  <c r="BB25" i="25"/>
  <c r="AY25" i="28"/>
  <c r="AU25" i="28"/>
  <c r="AV25" i="28"/>
  <c r="AM25" i="28"/>
  <c r="AL25" i="25"/>
  <c r="BE26" i="25"/>
  <c r="AR25" i="25"/>
  <c r="AL26" i="28"/>
  <c r="BF25" i="28"/>
  <c r="AJ25" i="25"/>
  <c r="AM26" i="25"/>
  <c r="AZ25" i="25"/>
  <c r="AX25" i="28"/>
  <c r="AZ26" i="28"/>
  <c r="AF24" i="28"/>
  <c r="Y26" i="28" s="1"/>
  <c r="AF24" i="25"/>
  <c r="AB26" i="25" s="1"/>
  <c r="AH26" i="29"/>
  <c r="AH25" i="29"/>
  <c r="AH25" i="28"/>
  <c r="AH26" i="28"/>
  <c r="AH26" i="27"/>
  <c r="AH25" i="27"/>
  <c r="AH25" i="25"/>
  <c r="AH26" i="25"/>
  <c r="AH25" i="23"/>
  <c r="AH26" i="23"/>
  <c r="AE26" i="23"/>
  <c r="Y26" i="23"/>
  <c r="S26" i="23"/>
  <c r="M26" i="23"/>
  <c r="G26" i="23"/>
  <c r="AD26" i="23"/>
  <c r="X26" i="23"/>
  <c r="Z26" i="23"/>
  <c r="Q26" i="23"/>
  <c r="J26" i="23"/>
  <c r="W26" i="23"/>
  <c r="P26" i="23"/>
  <c r="I26" i="23"/>
  <c r="V26" i="23"/>
  <c r="O26" i="23"/>
  <c r="H26" i="23"/>
  <c r="AC26" i="23"/>
  <c r="U26" i="23"/>
  <c r="N26" i="23"/>
  <c r="F26" i="23"/>
  <c r="AA26" i="23"/>
  <c r="R26" i="23"/>
  <c r="K26" i="23"/>
  <c r="AB26" i="23"/>
  <c r="T26" i="23"/>
  <c r="L26" i="23"/>
  <c r="J39" i="1"/>
  <c r="K6" i="1"/>
  <c r="L12" i="1"/>
  <c r="AM41" i="38" l="1"/>
  <c r="AM40" i="38"/>
  <c r="AJ40" i="38"/>
  <c r="AJ41" i="38"/>
  <c r="AV41" i="38"/>
  <c r="AV40" i="38"/>
  <c r="AI40" i="38"/>
  <c r="AI41" i="38"/>
  <c r="AR40" i="38"/>
  <c r="AR41" i="38"/>
  <c r="BG40" i="38"/>
  <c r="BG41" i="38"/>
  <c r="AN41" i="38"/>
  <c r="AN40" i="38"/>
  <c r="BF41" i="38"/>
  <c r="BF40" i="38"/>
  <c r="AP41" i="38"/>
  <c r="AP40" i="38"/>
  <c r="AX41" i="38"/>
  <c r="AX40" i="38"/>
  <c r="BE41" i="38"/>
  <c r="BE40" i="38"/>
  <c r="AY40" i="38"/>
  <c r="AY41" i="38"/>
  <c r="AT40" i="38"/>
  <c r="AT41" i="38"/>
  <c r="AL40" i="38"/>
  <c r="AL41" i="38"/>
  <c r="AQ40" i="38"/>
  <c r="AQ41" i="38"/>
  <c r="AK40" i="38"/>
  <c r="AK41" i="38"/>
  <c r="BA40" i="38"/>
  <c r="BA41" i="38"/>
  <c r="AU41" i="38"/>
  <c r="AU40" i="38"/>
  <c r="AW41" i="38"/>
  <c r="AW40" i="38"/>
  <c r="BB40" i="38"/>
  <c r="BB41" i="38"/>
  <c r="BD41" i="38"/>
  <c r="BD40" i="38"/>
  <c r="BC41" i="38"/>
  <c r="BC40" i="38"/>
  <c r="AS40" i="38"/>
  <c r="AS41" i="38"/>
  <c r="AH42" i="38"/>
  <c r="AF42" i="38"/>
  <c r="AZ40" i="38"/>
  <c r="AZ41" i="38"/>
  <c r="AO41" i="38"/>
  <c r="AO40" i="38"/>
  <c r="AH41" i="37"/>
  <c r="AH40" i="37"/>
  <c r="AY41" i="36"/>
  <c r="AY40" i="36"/>
  <c r="AW40" i="36"/>
  <c r="AW41" i="36"/>
  <c r="AZ41" i="36"/>
  <c r="AZ40" i="36"/>
  <c r="AT41" i="36"/>
  <c r="AT40" i="36"/>
  <c r="AR41" i="36"/>
  <c r="AR40" i="36"/>
  <c r="AU40" i="36"/>
  <c r="AU41" i="36"/>
  <c r="AF42" i="36"/>
  <c r="AH42" i="36"/>
  <c r="BB41" i="36"/>
  <c r="BB40" i="36"/>
  <c r="AI41" i="36"/>
  <c r="AI40" i="36"/>
  <c r="AN40" i="36"/>
  <c r="AN41" i="36"/>
  <c r="BE40" i="36"/>
  <c r="BE41" i="36"/>
  <c r="BF40" i="36"/>
  <c r="BF41" i="36"/>
  <c r="AS41" i="36"/>
  <c r="AS40" i="36"/>
  <c r="AJ41" i="36"/>
  <c r="AJ40" i="36"/>
  <c r="BD40" i="36"/>
  <c r="BD41" i="36"/>
  <c r="BG41" i="36"/>
  <c r="BG40" i="36"/>
  <c r="BC40" i="36"/>
  <c r="BC41" i="36"/>
  <c r="AP40" i="36"/>
  <c r="AP41" i="36"/>
  <c r="AK41" i="36"/>
  <c r="AK40" i="36"/>
  <c r="AX40" i="36"/>
  <c r="AX41" i="36"/>
  <c r="AM40" i="36"/>
  <c r="AM41" i="36"/>
  <c r="AO40" i="36"/>
  <c r="AO41" i="36"/>
  <c r="BA41" i="36"/>
  <c r="BA40" i="36"/>
  <c r="AQ41" i="36"/>
  <c r="AQ40" i="36"/>
  <c r="AV40" i="36"/>
  <c r="AV41" i="36"/>
  <c r="AL41" i="36"/>
  <c r="AL40" i="36"/>
  <c r="X77" i="31"/>
  <c r="AX77" i="31"/>
  <c r="AX76" i="31"/>
  <c r="Y45" i="31"/>
  <c r="AY45" i="31"/>
  <c r="AY44" i="31"/>
  <c r="W67" i="31"/>
  <c r="AW67" i="31"/>
  <c r="AW66" i="31"/>
  <c r="X69" i="31"/>
  <c r="AX69" i="31"/>
  <c r="AX68" i="31"/>
  <c r="W51" i="31"/>
  <c r="AW50" i="31"/>
  <c r="AW51" i="31"/>
  <c r="X49" i="31"/>
  <c r="AX49" i="31"/>
  <c r="AX48" i="31"/>
  <c r="W57" i="31"/>
  <c r="AW57" i="31"/>
  <c r="AW56" i="31"/>
  <c r="X73" i="31"/>
  <c r="AX73" i="31"/>
  <c r="AX72" i="31"/>
  <c r="Y55" i="31"/>
  <c r="AY55" i="31"/>
  <c r="AY54" i="31"/>
  <c r="X39" i="31"/>
  <c r="AX39" i="31"/>
  <c r="AX38" i="31"/>
  <c r="W59" i="31"/>
  <c r="AW59" i="31"/>
  <c r="AW58" i="31"/>
  <c r="W37" i="31"/>
  <c r="AW36" i="31"/>
  <c r="AW37" i="31"/>
  <c r="W65" i="31"/>
  <c r="AW65" i="31"/>
  <c r="AW64" i="31"/>
  <c r="W53" i="31"/>
  <c r="AW52" i="31"/>
  <c r="AW53" i="31"/>
  <c r="Y41" i="31"/>
  <c r="AY41" i="31"/>
  <c r="AY40" i="31"/>
  <c r="W43" i="31"/>
  <c r="AW43" i="31"/>
  <c r="AW42" i="31"/>
  <c r="W63" i="31"/>
  <c r="AW63" i="31"/>
  <c r="AW62" i="31"/>
  <c r="W35" i="31"/>
  <c r="AW34" i="31"/>
  <c r="AW35" i="31"/>
  <c r="X61" i="31"/>
  <c r="AX61" i="31"/>
  <c r="AX60" i="31"/>
  <c r="AW26" i="29"/>
  <c r="AQ25" i="29"/>
  <c r="BG25" i="29"/>
  <c r="AI25" i="29"/>
  <c r="AR26" i="29"/>
  <c r="BD26" i="29"/>
  <c r="AU25" i="29"/>
  <c r="AS25" i="29"/>
  <c r="AL25" i="29"/>
  <c r="AT26" i="29"/>
  <c r="AX25" i="29"/>
  <c r="AP26" i="29"/>
  <c r="AM26" i="29"/>
  <c r="AY25" i="29"/>
  <c r="BE26" i="29"/>
  <c r="AO25" i="29"/>
  <c r="AN25" i="29"/>
  <c r="AJ26" i="29"/>
  <c r="AK26" i="29"/>
  <c r="BF25" i="29"/>
  <c r="BB26" i="29"/>
  <c r="AZ25" i="29"/>
  <c r="BA25" i="29"/>
  <c r="AV26" i="29"/>
  <c r="AF24" i="29"/>
  <c r="S26" i="29" s="1"/>
  <c r="S28" i="29" s="1"/>
  <c r="S29" i="29" s="1"/>
  <c r="S30" i="29" s="1"/>
  <c r="AU30" i="29" s="1"/>
  <c r="BC25" i="29"/>
  <c r="AB26" i="27"/>
  <c r="AB28" i="27" s="1"/>
  <c r="AB29" i="27" s="1"/>
  <c r="AB30" i="27" s="1"/>
  <c r="BD30" i="27" s="1"/>
  <c r="R26" i="27"/>
  <c r="R28" i="27" s="1"/>
  <c r="R29" i="27" s="1"/>
  <c r="R30" i="27" s="1"/>
  <c r="AT30" i="27" s="1"/>
  <c r="V26" i="27"/>
  <c r="V28" i="27" s="1"/>
  <c r="AA26" i="27"/>
  <c r="AA28" i="27" s="1"/>
  <c r="AA29" i="27" s="1"/>
  <c r="AA30" i="27" s="1"/>
  <c r="BC30" i="27" s="1"/>
  <c r="K26" i="27"/>
  <c r="K28" i="27" s="1"/>
  <c r="Q26" i="27"/>
  <c r="Q28" i="27" s="1"/>
  <c r="Q29" i="27" s="1"/>
  <c r="Q30" i="27" s="1"/>
  <c r="AS30" i="27" s="1"/>
  <c r="W26" i="27"/>
  <c r="W28" i="27" s="1"/>
  <c r="W29" i="27" s="1"/>
  <c r="W30" i="27" s="1"/>
  <c r="AY30" i="27" s="1"/>
  <c r="M26" i="27"/>
  <c r="M28" i="27" s="1"/>
  <c r="M29" i="27" s="1"/>
  <c r="M30" i="27" s="1"/>
  <c r="AO30" i="27" s="1"/>
  <c r="O26" i="27"/>
  <c r="O28" i="27" s="1"/>
  <c r="O29" i="27" s="1"/>
  <c r="O30" i="27" s="1"/>
  <c r="AQ30" i="27" s="1"/>
  <c r="H26" i="27"/>
  <c r="H28" i="27" s="1"/>
  <c r="H29" i="27" s="1"/>
  <c r="H30" i="27" s="1"/>
  <c r="AJ30" i="27" s="1"/>
  <c r="AD26" i="27"/>
  <c r="AD28" i="27" s="1"/>
  <c r="AD29" i="27" s="1"/>
  <c r="AD30" i="27" s="1"/>
  <c r="BF30" i="27" s="1"/>
  <c r="T26" i="27"/>
  <c r="T28" i="27" s="1"/>
  <c r="T29" i="27" s="1"/>
  <c r="T30" i="27" s="1"/>
  <c r="AV30" i="27" s="1"/>
  <c r="N26" i="27"/>
  <c r="N28" i="27" s="1"/>
  <c r="Z26" i="27"/>
  <c r="Z28" i="27" s="1"/>
  <c r="Z29" i="27" s="1"/>
  <c r="Z30" i="27" s="1"/>
  <c r="BB30" i="27" s="1"/>
  <c r="L26" i="27"/>
  <c r="L28" i="27" s="1"/>
  <c r="L29" i="27" s="1"/>
  <c r="L30" i="27" s="1"/>
  <c r="AN30" i="27" s="1"/>
  <c r="I26" i="27"/>
  <c r="I28" i="27" s="1"/>
  <c r="I29" i="27" s="1"/>
  <c r="I30" i="27" s="1"/>
  <c r="AK30" i="27" s="1"/>
  <c r="U26" i="27"/>
  <c r="U28" i="27" s="1"/>
  <c r="U29" i="27" s="1"/>
  <c r="U30" i="27" s="1"/>
  <c r="AW30" i="27" s="1"/>
  <c r="J26" i="27"/>
  <c r="J28" i="27" s="1"/>
  <c r="J29" i="27" s="1"/>
  <c r="J30" i="27" s="1"/>
  <c r="AL30" i="27" s="1"/>
  <c r="AE26" i="27"/>
  <c r="Y26" i="27"/>
  <c r="Y28" i="27" s="1"/>
  <c r="Y29" i="27" s="1"/>
  <c r="Y30" i="27" s="1"/>
  <c r="BA30" i="27" s="1"/>
  <c r="F26" i="27"/>
  <c r="F28" i="27" s="1"/>
  <c r="F29" i="27" s="1"/>
  <c r="F30" i="27" s="1"/>
  <c r="G26" i="27"/>
  <c r="G28" i="27" s="1"/>
  <c r="S26" i="27"/>
  <c r="X26" i="27"/>
  <c r="X28" i="27" s="1"/>
  <c r="X29" i="27" s="1"/>
  <c r="X30" i="27" s="1"/>
  <c r="AZ30" i="27" s="1"/>
  <c r="AC26" i="27"/>
  <c r="AC28" i="27" s="1"/>
  <c r="AC29" i="27" s="1"/>
  <c r="AC30" i="27" s="1"/>
  <c r="BE30" i="27" s="1"/>
  <c r="BG25" i="24"/>
  <c r="AH26" i="26"/>
  <c r="BG26" i="26"/>
  <c r="AI25" i="24"/>
  <c r="AH26" i="24"/>
  <c r="AT26" i="24"/>
  <c r="BE25" i="24"/>
  <c r="AV26" i="24"/>
  <c r="AQ26" i="24"/>
  <c r="AL25" i="24"/>
  <c r="BD26" i="24"/>
  <c r="AW25" i="24"/>
  <c r="AR25" i="24"/>
  <c r="AN25" i="24"/>
  <c r="AO25" i="24"/>
  <c r="BA26" i="24"/>
  <c r="AK25" i="26"/>
  <c r="AP25" i="24"/>
  <c r="AX26" i="24"/>
  <c r="AK26" i="24"/>
  <c r="BC25" i="24"/>
  <c r="AJ26" i="26"/>
  <c r="BC25" i="26"/>
  <c r="AY25" i="24"/>
  <c r="AF24" i="24"/>
  <c r="W26" i="24" s="1"/>
  <c r="W28" i="24" s="1"/>
  <c r="BB25" i="26"/>
  <c r="BF25" i="24"/>
  <c r="BF26" i="24"/>
  <c r="AJ26" i="24"/>
  <c r="BD26" i="26"/>
  <c r="BB25" i="24"/>
  <c r="AS26" i="24"/>
  <c r="AM25" i="24"/>
  <c r="AU26" i="24"/>
  <c r="AN25" i="26"/>
  <c r="AY26" i="26"/>
  <c r="AL25" i="26"/>
  <c r="AR25" i="26"/>
  <c r="AX25" i="26"/>
  <c r="AM25" i="26"/>
  <c r="AP25" i="26"/>
  <c r="BE26" i="26"/>
  <c r="AS25" i="26"/>
  <c r="AQ25" i="26"/>
  <c r="AO25" i="26"/>
  <c r="AU25" i="26"/>
  <c r="BF26" i="26"/>
  <c r="AT26" i="26"/>
  <c r="AI26" i="26"/>
  <c r="AZ25" i="26"/>
  <c r="AF24" i="26"/>
  <c r="R26" i="26" s="1"/>
  <c r="R28" i="26" s="1"/>
  <c r="R29" i="26" s="1"/>
  <c r="R30" i="26" s="1"/>
  <c r="AT30" i="26" s="1"/>
  <c r="AV26" i="26"/>
  <c r="BA25" i="26"/>
  <c r="M26" i="25"/>
  <c r="M28" i="25" s="1"/>
  <c r="M29" i="25" s="1"/>
  <c r="M30" i="25" s="1"/>
  <c r="AO30" i="25" s="1"/>
  <c r="K26" i="25"/>
  <c r="Y26" i="25"/>
  <c r="Y28" i="25" s="1"/>
  <c r="Y29" i="25" s="1"/>
  <c r="V26" i="25"/>
  <c r="V28" i="25" s="1"/>
  <c r="V29" i="25" s="1"/>
  <c r="V30" i="25" s="1"/>
  <c r="AX30" i="25" s="1"/>
  <c r="I26" i="25"/>
  <c r="P26" i="25"/>
  <c r="P28" i="25" s="1"/>
  <c r="AD26" i="25"/>
  <c r="W26" i="25"/>
  <c r="W28" i="25" s="1"/>
  <c r="W29" i="25" s="1"/>
  <c r="W30" i="25" s="1"/>
  <c r="AY30" i="25" s="1"/>
  <c r="R26" i="25"/>
  <c r="T26" i="25"/>
  <c r="G26" i="25"/>
  <c r="G28" i="25" s="1"/>
  <c r="J26" i="25"/>
  <c r="S26" i="25"/>
  <c r="S28" i="25" s="1"/>
  <c r="O26" i="25"/>
  <c r="O28" i="25" s="1"/>
  <c r="O29" i="25" s="1"/>
  <c r="O30" i="25" s="1"/>
  <c r="AQ30" i="25" s="1"/>
  <c r="N26" i="25"/>
  <c r="N28" i="25" s="1"/>
  <c r="N29" i="25" s="1"/>
  <c r="N30" i="25" s="1"/>
  <c r="AP30" i="25" s="1"/>
  <c r="X26" i="25"/>
  <c r="X28" i="25" s="1"/>
  <c r="Z26" i="25"/>
  <c r="U26" i="25"/>
  <c r="U28" i="25" s="1"/>
  <c r="H26" i="25"/>
  <c r="AE26" i="25"/>
  <c r="F26" i="25"/>
  <c r="F28" i="25" s="1"/>
  <c r="F29" i="25" s="1"/>
  <c r="F30" i="25" s="1"/>
  <c r="AA26" i="25"/>
  <c r="AA28" i="25" s="1"/>
  <c r="AA29" i="25" s="1"/>
  <c r="AA30" i="25" s="1"/>
  <c r="BC30" i="25" s="1"/>
  <c r="AE26" i="28"/>
  <c r="AE28" i="28" s="1"/>
  <c r="AE29" i="28" s="1"/>
  <c r="AE30" i="28" s="1"/>
  <c r="BG30" i="28" s="1"/>
  <c r="AC26" i="25"/>
  <c r="AC28" i="25" s="1"/>
  <c r="Q26" i="25"/>
  <c r="L26" i="25"/>
  <c r="L28" i="25" s="1"/>
  <c r="L29" i="25" s="1"/>
  <c r="L30" i="25" s="1"/>
  <c r="AN30" i="25" s="1"/>
  <c r="M26" i="28"/>
  <c r="O26" i="28"/>
  <c r="X26" i="28"/>
  <c r="X28" i="28" s="1"/>
  <c r="X29" i="28" s="1"/>
  <c r="X30" i="28" s="1"/>
  <c r="AZ30" i="28" s="1"/>
  <c r="AC26" i="28"/>
  <c r="S26" i="28"/>
  <c r="H26" i="28"/>
  <c r="U26" i="28"/>
  <c r="U28" i="28" s="1"/>
  <c r="K26" i="28"/>
  <c r="Z26" i="28"/>
  <c r="N26" i="28"/>
  <c r="N28" i="28" s="1"/>
  <c r="AB26" i="28"/>
  <c r="AB28" i="28" s="1"/>
  <c r="Q26" i="28"/>
  <c r="Q28" i="28" s="1"/>
  <c r="F26" i="28"/>
  <c r="F28" i="28" s="1"/>
  <c r="F29" i="28" s="1"/>
  <c r="F30" i="28" s="1"/>
  <c r="T26" i="28"/>
  <c r="J26" i="28"/>
  <c r="J28" i="28" s="1"/>
  <c r="W26" i="28"/>
  <c r="L26" i="28"/>
  <c r="AA26" i="28"/>
  <c r="P26" i="28"/>
  <c r="P28" i="28" s="1"/>
  <c r="P29" i="28" s="1"/>
  <c r="P30" i="28" s="1"/>
  <c r="AR30" i="28" s="1"/>
  <c r="AD26" i="28"/>
  <c r="AD28" i="28" s="1"/>
  <c r="G26" i="28"/>
  <c r="G28" i="28" s="1"/>
  <c r="G29" i="28" s="1"/>
  <c r="G30" i="28" s="1"/>
  <c r="AI30" i="28" s="1"/>
  <c r="R26" i="28"/>
  <c r="I26" i="28"/>
  <c r="V26" i="28"/>
  <c r="BA23" i="28"/>
  <c r="AK23" i="25"/>
  <c r="AV23" i="23"/>
  <c r="AR23" i="28"/>
  <c r="BB23" i="28"/>
  <c r="BC23" i="28"/>
  <c r="AK23" i="28"/>
  <c r="AN23" i="28"/>
  <c r="AM23" i="28"/>
  <c r="AU23" i="28"/>
  <c r="AY23" i="28"/>
  <c r="AL23" i="28"/>
  <c r="AO23" i="28"/>
  <c r="AQ23" i="28"/>
  <c r="AI23" i="28"/>
  <c r="BG23" i="28"/>
  <c r="BD23" i="28"/>
  <c r="BE23" i="28"/>
  <c r="AV23" i="28"/>
  <c r="AW23" i="28"/>
  <c r="AZ23" i="28"/>
  <c r="Y28" i="28"/>
  <c r="Y29" i="28" s="1"/>
  <c r="Y30" i="28" s="1"/>
  <c r="BA30" i="28" s="1"/>
  <c r="AJ23" i="28"/>
  <c r="AP23" i="28"/>
  <c r="AS23" i="28"/>
  <c r="AT23" i="28"/>
  <c r="BF23" i="28"/>
  <c r="AH23" i="28"/>
  <c r="AX23" i="28"/>
  <c r="AS23" i="27"/>
  <c r="BB23" i="27"/>
  <c r="AU23" i="27"/>
  <c r="AN23" i="27"/>
  <c r="BD23" i="27"/>
  <c r="AW23" i="27"/>
  <c r="AT23" i="27"/>
  <c r="AZ23" i="27"/>
  <c r="AH23" i="27"/>
  <c r="BC23" i="27"/>
  <c r="BF23" i="27"/>
  <c r="AK23" i="27"/>
  <c r="BG23" i="27"/>
  <c r="BB23" i="25"/>
  <c r="BA23" i="27"/>
  <c r="AR23" i="27"/>
  <c r="AX23" i="27"/>
  <c r="AM23" i="27"/>
  <c r="BE23" i="27"/>
  <c r="AI23" i="27"/>
  <c r="P28" i="27"/>
  <c r="P29" i="27" s="1"/>
  <c r="P30" i="27" s="1"/>
  <c r="AR30" i="27" s="1"/>
  <c r="AP23" i="27"/>
  <c r="AJ23" i="27"/>
  <c r="AO23" i="27"/>
  <c r="AV23" i="27"/>
  <c r="AY23" i="27"/>
  <c r="AQ23" i="27"/>
  <c r="AL23" i="27"/>
  <c r="BG23" i="25"/>
  <c r="AJ23" i="25"/>
  <c r="AT23" i="25"/>
  <c r="AU23" i="25"/>
  <c r="BE23" i="25"/>
  <c r="BC23" i="25"/>
  <c r="BF23" i="25"/>
  <c r="AV23" i="25"/>
  <c r="BD23" i="25"/>
  <c r="AX23" i="25"/>
  <c r="AP23" i="25"/>
  <c r="AH23" i="25"/>
  <c r="AM23" i="25"/>
  <c r="AO23" i="25"/>
  <c r="AR23" i="25"/>
  <c r="AQ23" i="25"/>
  <c r="BA23" i="25"/>
  <c r="AL23" i="25"/>
  <c r="AZ23" i="25"/>
  <c r="AS23" i="25"/>
  <c r="AI23" i="25"/>
  <c r="AN23" i="25"/>
  <c r="AY23" i="25"/>
  <c r="AW23" i="25"/>
  <c r="AB28" i="25"/>
  <c r="AB29" i="25" s="1"/>
  <c r="AB30" i="25" s="1"/>
  <c r="BD30" i="25" s="1"/>
  <c r="BF23" i="23"/>
  <c r="AQ23" i="23"/>
  <c r="AW23" i="23"/>
  <c r="AT23" i="23"/>
  <c r="AU23" i="23"/>
  <c r="BG23" i="23"/>
  <c r="R28" i="23"/>
  <c r="R29" i="23" s="1"/>
  <c r="R30" i="23" s="1"/>
  <c r="AT30" i="23" s="1"/>
  <c r="H28" i="23"/>
  <c r="H29" i="23" s="1"/>
  <c r="H30" i="23" s="1"/>
  <c r="AJ30" i="23" s="1"/>
  <c r="J28" i="23"/>
  <c r="J29" i="23" s="1"/>
  <c r="J30" i="23" s="1"/>
  <c r="AL30" i="23" s="1"/>
  <c r="M28" i="23"/>
  <c r="M29" i="23" s="1"/>
  <c r="M30" i="23" s="1"/>
  <c r="AO30" i="23" s="1"/>
  <c r="AS23" i="23"/>
  <c r="AK23" i="23"/>
  <c r="BB23" i="23"/>
  <c r="AA28" i="23"/>
  <c r="AA29" i="23" s="1"/>
  <c r="AA30" i="23" s="1"/>
  <c r="BC30" i="23" s="1"/>
  <c r="O28" i="23"/>
  <c r="O29" i="23" s="1"/>
  <c r="O30" i="23" s="1"/>
  <c r="AQ30" i="23" s="1"/>
  <c r="Q28" i="23"/>
  <c r="Q29" i="23" s="1"/>
  <c r="Q30" i="23" s="1"/>
  <c r="AS30" i="23" s="1"/>
  <c r="S28" i="23"/>
  <c r="S29" i="23" s="1"/>
  <c r="S30" i="23" s="1"/>
  <c r="AU30" i="23" s="1"/>
  <c r="AL23" i="23"/>
  <c r="AN23" i="23"/>
  <c r="AM23" i="23"/>
  <c r="L28" i="23"/>
  <c r="L29" i="23" s="1"/>
  <c r="L30" i="23" s="1"/>
  <c r="AN30" i="23" s="1"/>
  <c r="V28" i="23"/>
  <c r="V29" i="23" s="1"/>
  <c r="V30" i="23" s="1"/>
  <c r="AX30" i="23" s="1"/>
  <c r="Z28" i="23"/>
  <c r="Z29" i="23" s="1"/>
  <c r="Z30" i="23" s="1"/>
  <c r="BB30" i="23" s="1"/>
  <c r="Y28" i="23"/>
  <c r="Y29" i="23" s="1"/>
  <c r="Y30" i="23" s="1"/>
  <c r="BA30" i="23" s="1"/>
  <c r="AX23" i="23"/>
  <c r="BA23" i="23"/>
  <c r="F28" i="23"/>
  <c r="F29" i="23" s="1"/>
  <c r="F30" i="23" s="1"/>
  <c r="T28" i="23"/>
  <c r="T29" i="23" s="1"/>
  <c r="T30" i="23" s="1"/>
  <c r="AV30" i="23" s="1"/>
  <c r="N28" i="23"/>
  <c r="N29" i="23" s="1"/>
  <c r="N30" i="23" s="1"/>
  <c r="AP30" i="23" s="1"/>
  <c r="I28" i="23"/>
  <c r="I29" i="23" s="1"/>
  <c r="I30" i="23" s="1"/>
  <c r="AK30" i="23" s="1"/>
  <c r="X28" i="23"/>
  <c r="X29" i="23" s="1"/>
  <c r="X30" i="23" s="1"/>
  <c r="AZ30" i="23" s="1"/>
  <c r="AE28" i="23"/>
  <c r="AE29" i="23" s="1"/>
  <c r="AE30" i="23" s="1"/>
  <c r="BG30" i="23" s="1"/>
  <c r="BE23" i="23"/>
  <c r="AZ23" i="23"/>
  <c r="AY23" i="23"/>
  <c r="AB28" i="23"/>
  <c r="AB29" i="23" s="1"/>
  <c r="AB30" i="23" s="1"/>
  <c r="BD30" i="23" s="1"/>
  <c r="U28" i="23"/>
  <c r="U29" i="23" s="1"/>
  <c r="U30" i="23" s="1"/>
  <c r="AW30" i="23" s="1"/>
  <c r="P28" i="23"/>
  <c r="P29" i="23" s="1"/>
  <c r="P30" i="23" s="1"/>
  <c r="AR30" i="23" s="1"/>
  <c r="AD28" i="23"/>
  <c r="AD29" i="23" s="1"/>
  <c r="AD30" i="23" s="1"/>
  <c r="BF30" i="23" s="1"/>
  <c r="AI23" i="23"/>
  <c r="BD23" i="23"/>
  <c r="AP23" i="23"/>
  <c r="AJ23" i="23"/>
  <c r="AH23" i="23"/>
  <c r="K28" i="23"/>
  <c r="K29" i="23" s="1"/>
  <c r="K30" i="23" s="1"/>
  <c r="AM30" i="23" s="1"/>
  <c r="AC28" i="23"/>
  <c r="AC29" i="23" s="1"/>
  <c r="AC30" i="23" s="1"/>
  <c r="BE30" i="23" s="1"/>
  <c r="W28" i="23"/>
  <c r="W29" i="23" s="1"/>
  <c r="W30" i="23" s="1"/>
  <c r="AY30" i="23" s="1"/>
  <c r="G28" i="23"/>
  <c r="G29" i="23" s="1"/>
  <c r="G30" i="23" s="1"/>
  <c r="AI30" i="23" s="1"/>
  <c r="AR23" i="23"/>
  <c r="BC23" i="23"/>
  <c r="AO23" i="23"/>
  <c r="K39" i="1"/>
  <c r="L6" i="1"/>
  <c r="M12" i="1"/>
  <c r="AH41" i="38" l="1"/>
  <c r="AH40" i="38"/>
  <c r="AQ43" i="37"/>
  <c r="BD43" i="37"/>
  <c r="BC43" i="37"/>
  <c r="BG43" i="37"/>
  <c r="BA43" i="37"/>
  <c r="BF43" i="37"/>
  <c r="AI43" i="37"/>
  <c r="AH43" i="37"/>
  <c r="AU43" i="37"/>
  <c r="BE43" i="37"/>
  <c r="AY43" i="37"/>
  <c r="AK43" i="37"/>
  <c r="AT43" i="37"/>
  <c r="AR43" i="37"/>
  <c r="AV43" i="37"/>
  <c r="AX43" i="37"/>
  <c r="AS43" i="37"/>
  <c r="AM43" i="37"/>
  <c r="AN43" i="37"/>
  <c r="AP43" i="37"/>
  <c r="AO43" i="37"/>
  <c r="AL43" i="37"/>
  <c r="BB43" i="37"/>
  <c r="AW43" i="37"/>
  <c r="AJ43" i="37"/>
  <c r="AZ43" i="37"/>
  <c r="AH40" i="36"/>
  <c r="AH41" i="36"/>
  <c r="X53" i="31"/>
  <c r="AX53" i="31"/>
  <c r="AX52" i="31"/>
  <c r="Y49" i="31"/>
  <c r="AY49" i="31"/>
  <c r="AY48" i="31"/>
  <c r="Y61" i="31"/>
  <c r="AY61" i="31"/>
  <c r="AY60" i="31"/>
  <c r="X59" i="31"/>
  <c r="AX59" i="31"/>
  <c r="AX58" i="31"/>
  <c r="X67" i="31"/>
  <c r="AX66" i="31"/>
  <c r="AX67" i="31"/>
  <c r="X43" i="31"/>
  <c r="AX42" i="31"/>
  <c r="AX43" i="31"/>
  <c r="Y73" i="31"/>
  <c r="AY73" i="31"/>
  <c r="AY72" i="31"/>
  <c r="X35" i="31"/>
  <c r="AX34" i="31"/>
  <c r="AX35" i="31"/>
  <c r="Y39" i="31"/>
  <c r="AY38" i="31"/>
  <c r="AY39" i="31"/>
  <c r="Z45" i="31"/>
  <c r="AZ44" i="31"/>
  <c r="AZ45" i="31"/>
  <c r="Z41" i="31"/>
  <c r="AZ40" i="31"/>
  <c r="AZ41" i="31"/>
  <c r="X57" i="31"/>
  <c r="AX57" i="31"/>
  <c r="AX56" i="31"/>
  <c r="X65" i="31"/>
  <c r="AX65" i="31"/>
  <c r="AX64" i="31"/>
  <c r="X51" i="31"/>
  <c r="AX50" i="31"/>
  <c r="AX51" i="31"/>
  <c r="X37" i="31"/>
  <c r="AX36" i="31"/>
  <c r="AX37" i="31"/>
  <c r="Y69" i="31"/>
  <c r="AY69" i="31"/>
  <c r="AY68" i="31"/>
  <c r="X63" i="31"/>
  <c r="AX62" i="31"/>
  <c r="AX63" i="31"/>
  <c r="Z55" i="31"/>
  <c r="AZ54" i="31"/>
  <c r="AZ55" i="31"/>
  <c r="Y77" i="31"/>
  <c r="AY77" i="31"/>
  <c r="AY76" i="31"/>
  <c r="AZ23" i="29"/>
  <c r="BF23" i="29"/>
  <c r="AM23" i="29"/>
  <c r="AP23" i="29"/>
  <c r="AQ23" i="29"/>
  <c r="Z26" i="29"/>
  <c r="Z28" i="29" s="1"/>
  <c r="Z29" i="29" s="1"/>
  <c r="Z30" i="29" s="1"/>
  <c r="BB30" i="29" s="1"/>
  <c r="AW23" i="29"/>
  <c r="V26" i="29"/>
  <c r="V28" i="29" s="1"/>
  <c r="V29" i="29" s="1"/>
  <c r="V30" i="29" s="1"/>
  <c r="AX30" i="29" s="1"/>
  <c r="AX29" i="29" s="1"/>
  <c r="K26" i="29"/>
  <c r="K28" i="29" s="1"/>
  <c r="K29" i="29" s="1"/>
  <c r="K30" i="29" s="1"/>
  <c r="AM30" i="29" s="1"/>
  <c r="AM28" i="29" s="1"/>
  <c r="AJ23" i="29"/>
  <c r="AV23" i="29"/>
  <c r="P26" i="29"/>
  <c r="P28" i="29" s="1"/>
  <c r="P29" i="29" s="1"/>
  <c r="P30" i="29" s="1"/>
  <c r="AR30" i="29" s="1"/>
  <c r="AR29" i="29" s="1"/>
  <c r="U26" i="29"/>
  <c r="U28" i="29" s="1"/>
  <c r="U29" i="29" s="1"/>
  <c r="U30" i="29" s="1"/>
  <c r="AW30" i="29" s="1"/>
  <c r="AW28" i="29" s="1"/>
  <c r="G26" i="29"/>
  <c r="G28" i="29" s="1"/>
  <c r="G29" i="29" s="1"/>
  <c r="G30" i="29" s="1"/>
  <c r="AI30" i="29" s="1"/>
  <c r="AI29" i="29" s="1"/>
  <c r="O26" i="29"/>
  <c r="O28" i="29" s="1"/>
  <c r="O29" i="29" s="1"/>
  <c r="O30" i="29" s="1"/>
  <c r="AQ30" i="29" s="1"/>
  <c r="AQ28" i="29" s="1"/>
  <c r="Y26" i="29"/>
  <c r="Y28" i="29" s="1"/>
  <c r="Y29" i="29" s="1"/>
  <c r="Y30" i="29" s="1"/>
  <c r="BA30" i="29" s="1"/>
  <c r="BA29" i="29" s="1"/>
  <c r="AR23" i="29"/>
  <c r="AN23" i="29"/>
  <c r="BA23" i="29"/>
  <c r="BG23" i="29"/>
  <c r="AS23" i="29"/>
  <c r="W26" i="29"/>
  <c r="W28" i="29" s="1"/>
  <c r="W29" i="29" s="1"/>
  <c r="W30" i="29" s="1"/>
  <c r="AY30" i="29" s="1"/>
  <c r="AY29" i="29" s="1"/>
  <c r="AE26" i="29"/>
  <c r="AE28" i="29" s="1"/>
  <c r="F26" i="29"/>
  <c r="F28" i="29" s="1"/>
  <c r="F29" i="29" s="1"/>
  <c r="F30" i="29" s="1"/>
  <c r="I26" i="29"/>
  <c r="I28" i="29" s="1"/>
  <c r="AU23" i="29"/>
  <c r="N26" i="29"/>
  <c r="N28" i="29" s="1"/>
  <c r="N29" i="29" s="1"/>
  <c r="N30" i="29" s="1"/>
  <c r="AP30" i="29" s="1"/>
  <c r="X26" i="29"/>
  <c r="X28" i="29" s="1"/>
  <c r="X29" i="29" s="1"/>
  <c r="X30" i="29" s="1"/>
  <c r="AZ30" i="29" s="1"/>
  <c r="AZ29" i="29" s="1"/>
  <c r="R26" i="29"/>
  <c r="R28" i="29" s="1"/>
  <c r="R29" i="29" s="1"/>
  <c r="R30" i="29" s="1"/>
  <c r="AT30" i="29" s="1"/>
  <c r="AT28" i="29" s="1"/>
  <c r="AK23" i="29"/>
  <c r="AX23" i="29"/>
  <c r="AA26" i="29"/>
  <c r="AA28" i="29" s="1"/>
  <c r="AA29" i="29" s="1"/>
  <c r="AA30" i="29" s="1"/>
  <c r="BC30" i="29" s="1"/>
  <c r="BC28" i="29" s="1"/>
  <c r="M26" i="29"/>
  <c r="M28" i="29" s="1"/>
  <c r="M29" i="29" s="1"/>
  <c r="M30" i="29" s="1"/>
  <c r="AO30" i="29" s="1"/>
  <c r="AO28" i="29" s="1"/>
  <c r="AD26" i="29"/>
  <c r="AD28" i="29" s="1"/>
  <c r="AD29" i="29" s="1"/>
  <c r="AD30" i="29" s="1"/>
  <c r="BF30" i="29" s="1"/>
  <c r="AC26" i="29"/>
  <c r="AC28" i="29" s="1"/>
  <c r="AC29" i="29" s="1"/>
  <c r="AC30" i="29" s="1"/>
  <c r="BE30" i="29" s="1"/>
  <c r="Q26" i="29"/>
  <c r="Q28" i="29" s="1"/>
  <c r="Q29" i="29" s="1"/>
  <c r="Q30" i="29" s="1"/>
  <c r="AS30" i="29" s="1"/>
  <c r="J26" i="29"/>
  <c r="J28" i="29" s="1"/>
  <c r="J29" i="29" s="1"/>
  <c r="J30" i="29" s="1"/>
  <c r="AL30" i="29" s="1"/>
  <c r="AL28" i="29" s="1"/>
  <c r="AT23" i="29"/>
  <c r="AB26" i="29"/>
  <c r="AB28" i="29" s="1"/>
  <c r="AB29" i="29" s="1"/>
  <c r="AB30" i="29" s="1"/>
  <c r="BD30" i="29" s="1"/>
  <c r="BD29" i="29" s="1"/>
  <c r="T26" i="29"/>
  <c r="T28" i="29" s="1"/>
  <c r="T29" i="29" s="1"/>
  <c r="T30" i="29" s="1"/>
  <c r="AV30" i="29" s="1"/>
  <c r="H26" i="29"/>
  <c r="H28" i="29" s="1"/>
  <c r="H29" i="29" s="1"/>
  <c r="H30" i="29" s="1"/>
  <c r="AJ30" i="29" s="1"/>
  <c r="AJ29" i="29" s="1"/>
  <c r="L26" i="29"/>
  <c r="L28" i="29" s="1"/>
  <c r="L29" i="29" s="1"/>
  <c r="L30" i="29" s="1"/>
  <c r="AN30" i="29" s="1"/>
  <c r="AN28" i="29" s="1"/>
  <c r="AO23" i="29"/>
  <c r="AI23" i="29"/>
  <c r="AH23" i="29"/>
  <c r="BE23" i="29"/>
  <c r="BD23" i="29"/>
  <c r="AY23" i="29"/>
  <c r="BB23" i="29"/>
  <c r="AL23" i="29"/>
  <c r="BC23" i="29"/>
  <c r="AR23" i="26"/>
  <c r="AH23" i="24"/>
  <c r="V29" i="27"/>
  <c r="V30" i="27" s="1"/>
  <c r="AX30" i="27" s="1"/>
  <c r="AX29" i="27" s="1"/>
  <c r="AZ23" i="26"/>
  <c r="G29" i="27"/>
  <c r="G30" i="27" s="1"/>
  <c r="AI30" i="27" s="1"/>
  <c r="AI29" i="27" s="1"/>
  <c r="K29" i="27"/>
  <c r="K30" i="27" s="1"/>
  <c r="AM30" i="27" s="1"/>
  <c r="AM29" i="27" s="1"/>
  <c r="AK23" i="24"/>
  <c r="AY23" i="26"/>
  <c r="BA23" i="26"/>
  <c r="AE28" i="27"/>
  <c r="AE29" i="27" s="1"/>
  <c r="AE30" i="27" s="1"/>
  <c r="BG30" i="27" s="1"/>
  <c r="AI23" i="26"/>
  <c r="AQ23" i="26"/>
  <c r="AH23" i="26"/>
  <c r="AV23" i="26"/>
  <c r="BB23" i="26"/>
  <c r="N29" i="27"/>
  <c r="N30" i="27" s="1"/>
  <c r="AP30" i="27" s="1"/>
  <c r="AP29" i="27" s="1"/>
  <c r="AJ23" i="26"/>
  <c r="AU23" i="26"/>
  <c r="AN23" i="26"/>
  <c r="BD23" i="26"/>
  <c r="AS23" i="26"/>
  <c r="AL23" i="26"/>
  <c r="AX23" i="26"/>
  <c r="AT23" i="26"/>
  <c r="BG23" i="26"/>
  <c r="AP23" i="26"/>
  <c r="AM23" i="26"/>
  <c r="AK23" i="26"/>
  <c r="AW23" i="26"/>
  <c r="BF23" i="26"/>
  <c r="BC23" i="26"/>
  <c r="BE23" i="26"/>
  <c r="S28" i="27"/>
  <c r="S29" i="27" s="1"/>
  <c r="S30" i="27" s="1"/>
  <c r="AU30" i="27" s="1"/>
  <c r="AU28" i="27" s="1"/>
  <c r="AV23" i="24"/>
  <c r="AN23" i="24"/>
  <c r="BE23" i="24"/>
  <c r="AQ23" i="24"/>
  <c r="AT23" i="24"/>
  <c r="AX23" i="24"/>
  <c r="AR23" i="24"/>
  <c r="AU23" i="24"/>
  <c r="BC23" i="24"/>
  <c r="AO23" i="24"/>
  <c r="BD23" i="24"/>
  <c r="AZ23" i="24"/>
  <c r="BB23" i="24"/>
  <c r="AS23" i="24"/>
  <c r="AI23" i="24"/>
  <c r="AY23" i="24"/>
  <c r="AL23" i="24"/>
  <c r="AM23" i="24"/>
  <c r="BF23" i="24"/>
  <c r="BG23" i="24"/>
  <c r="AW23" i="24"/>
  <c r="BA23" i="24"/>
  <c r="AP23" i="24"/>
  <c r="AA26" i="26"/>
  <c r="AA28" i="26" s="1"/>
  <c r="AA29" i="26" s="1"/>
  <c r="AA30" i="26" s="1"/>
  <c r="BC30" i="26" s="1"/>
  <c r="BC29" i="26" s="1"/>
  <c r="W29" i="24"/>
  <c r="W30" i="24" s="1"/>
  <c r="AY30" i="24" s="1"/>
  <c r="P26" i="24"/>
  <c r="P28" i="24" s="1"/>
  <c r="AC26" i="24"/>
  <c r="AC28" i="24" s="1"/>
  <c r="U26" i="24"/>
  <c r="U28" i="24" s="1"/>
  <c r="AJ23" i="24"/>
  <c r="R26" i="24"/>
  <c r="R28" i="24" s="1"/>
  <c r="R29" i="24" s="1"/>
  <c r="R30" i="24" s="1"/>
  <c r="AT30" i="24" s="1"/>
  <c r="AT29" i="24" s="1"/>
  <c r="G26" i="24"/>
  <c r="G28" i="24" s="1"/>
  <c r="G29" i="24" s="1"/>
  <c r="G30" i="24" s="1"/>
  <c r="AI30" i="24" s="1"/>
  <c r="AI29" i="24" s="1"/>
  <c r="Z26" i="24"/>
  <c r="Z28" i="24" s="1"/>
  <c r="Z29" i="24" s="1"/>
  <c r="Z30" i="24" s="1"/>
  <c r="BB30" i="24" s="1"/>
  <c r="BB28" i="24" s="1"/>
  <c r="AE26" i="24"/>
  <c r="V26" i="24"/>
  <c r="O26" i="24"/>
  <c r="O28" i="24" s="1"/>
  <c r="O29" i="24" s="1"/>
  <c r="O30" i="24" s="1"/>
  <c r="AQ30" i="24" s="1"/>
  <c r="AQ28" i="24" s="1"/>
  <c r="L26" i="24"/>
  <c r="L28" i="24" s="1"/>
  <c r="L29" i="24" s="1"/>
  <c r="L30" i="24" s="1"/>
  <c r="AN30" i="24" s="1"/>
  <c r="AN29" i="24" s="1"/>
  <c r="AD26" i="24"/>
  <c r="AD28" i="24" s="1"/>
  <c r="AD29" i="24" s="1"/>
  <c r="AD30" i="24" s="1"/>
  <c r="BF30" i="24" s="1"/>
  <c r="BF28" i="24" s="1"/>
  <c r="T26" i="24"/>
  <c r="T28" i="24" s="1"/>
  <c r="T29" i="24" s="1"/>
  <c r="T30" i="24" s="1"/>
  <c r="AV30" i="24" s="1"/>
  <c r="AV28" i="24" s="1"/>
  <c r="AB26" i="24"/>
  <c r="F26" i="24"/>
  <c r="J26" i="24"/>
  <c r="J28" i="24" s="1"/>
  <c r="J29" i="24" s="1"/>
  <c r="J30" i="24" s="1"/>
  <c r="AL30" i="24" s="1"/>
  <c r="AL29" i="24" s="1"/>
  <c r="X26" i="24"/>
  <c r="X28" i="24" s="1"/>
  <c r="X29" i="24" s="1"/>
  <c r="X30" i="24" s="1"/>
  <c r="AZ30" i="24" s="1"/>
  <c r="AZ28" i="24" s="1"/>
  <c r="AA26" i="24"/>
  <c r="AA28" i="24" s="1"/>
  <c r="AA29" i="24" s="1"/>
  <c r="AA30" i="24" s="1"/>
  <c r="BC30" i="24" s="1"/>
  <c r="BC28" i="24" s="1"/>
  <c r="S26" i="24"/>
  <c r="S28" i="24" s="1"/>
  <c r="S29" i="24" s="1"/>
  <c r="S30" i="24" s="1"/>
  <c r="AU30" i="24" s="1"/>
  <c r="AU29" i="24" s="1"/>
  <c r="Q26" i="24"/>
  <c r="M26" i="24"/>
  <c r="M28" i="24" s="1"/>
  <c r="M29" i="24" s="1"/>
  <c r="M30" i="24" s="1"/>
  <c r="AO30" i="24" s="1"/>
  <c r="AO28" i="24" s="1"/>
  <c r="N26" i="24"/>
  <c r="N28" i="24" s="1"/>
  <c r="N29" i="24" s="1"/>
  <c r="N30" i="24" s="1"/>
  <c r="AP30" i="24" s="1"/>
  <c r="AP29" i="24" s="1"/>
  <c r="Y26" i="24"/>
  <c r="I26" i="24"/>
  <c r="I28" i="24" s="1"/>
  <c r="I29" i="24" s="1"/>
  <c r="I30" i="24" s="1"/>
  <c r="AK30" i="24" s="1"/>
  <c r="AK29" i="24" s="1"/>
  <c r="K26" i="24"/>
  <c r="K28" i="24" s="1"/>
  <c r="K29" i="24" s="1"/>
  <c r="K30" i="24" s="1"/>
  <c r="AM30" i="24" s="1"/>
  <c r="AM29" i="24" s="1"/>
  <c r="H26" i="24"/>
  <c r="H28" i="24" s="1"/>
  <c r="H29" i="24" s="1"/>
  <c r="H30" i="24" s="1"/>
  <c r="AJ30" i="24" s="1"/>
  <c r="AJ28" i="24" s="1"/>
  <c r="AO23" i="26"/>
  <c r="Q26" i="26"/>
  <c r="Q28" i="26" s="1"/>
  <c r="Q29" i="26" s="1"/>
  <c r="Q30" i="26" s="1"/>
  <c r="AS30" i="26" s="1"/>
  <c r="AS28" i="26" s="1"/>
  <c r="K26" i="26"/>
  <c r="U26" i="26"/>
  <c r="J26" i="26"/>
  <c r="AC26" i="26"/>
  <c r="M26" i="26"/>
  <c r="M28" i="26" s="1"/>
  <c r="M29" i="26" s="1"/>
  <c r="M30" i="26" s="1"/>
  <c r="AO30" i="26" s="1"/>
  <c r="AO28" i="26" s="1"/>
  <c r="H26" i="26"/>
  <c r="H28" i="26" s="1"/>
  <c r="H29" i="26" s="1"/>
  <c r="H30" i="26" s="1"/>
  <c r="AJ30" i="26" s="1"/>
  <c r="Z26" i="26"/>
  <c r="X26" i="26"/>
  <c r="X28" i="26" s="1"/>
  <c r="L26" i="26"/>
  <c r="L28" i="26" s="1"/>
  <c r="L29" i="26" s="1"/>
  <c r="L30" i="26" s="1"/>
  <c r="AN30" i="26" s="1"/>
  <c r="AN29" i="26" s="1"/>
  <c r="AB26" i="26"/>
  <c r="AB28" i="26" s="1"/>
  <c r="AB29" i="26" s="1"/>
  <c r="AB30" i="26" s="1"/>
  <c r="BD30" i="26" s="1"/>
  <c r="N26" i="26"/>
  <c r="N28" i="26" s="1"/>
  <c r="N29" i="26" s="1"/>
  <c r="N30" i="26" s="1"/>
  <c r="AP30" i="26" s="1"/>
  <c r="AP29" i="26" s="1"/>
  <c r="G26" i="26"/>
  <c r="G28" i="26" s="1"/>
  <c r="P26" i="26"/>
  <c r="P28" i="26" s="1"/>
  <c r="P29" i="26" s="1"/>
  <c r="P30" i="26" s="1"/>
  <c r="AR30" i="26" s="1"/>
  <c r="AR29" i="26" s="1"/>
  <c r="V26" i="26"/>
  <c r="V28" i="26" s="1"/>
  <c r="V29" i="26" s="1"/>
  <c r="V30" i="26" s="1"/>
  <c r="AX30" i="26" s="1"/>
  <c r="AX28" i="26" s="1"/>
  <c r="O26" i="26"/>
  <c r="O28" i="26" s="1"/>
  <c r="O29" i="26" s="1"/>
  <c r="O30" i="26" s="1"/>
  <c r="AQ30" i="26" s="1"/>
  <c r="AQ29" i="26" s="1"/>
  <c r="F26" i="26"/>
  <c r="F28" i="26" s="1"/>
  <c r="F29" i="26" s="1"/>
  <c r="F30" i="26" s="1"/>
  <c r="AH30" i="26" s="1"/>
  <c r="AD26" i="26"/>
  <c r="AE26" i="26"/>
  <c r="Y26" i="26"/>
  <c r="I26" i="26"/>
  <c r="I28" i="26" s="1"/>
  <c r="I29" i="26" s="1"/>
  <c r="I30" i="26" s="1"/>
  <c r="AK30" i="26" s="1"/>
  <c r="AK28" i="26" s="1"/>
  <c r="T26" i="26"/>
  <c r="T28" i="26" s="1"/>
  <c r="T29" i="26" s="1"/>
  <c r="T30" i="26" s="1"/>
  <c r="AV30" i="26" s="1"/>
  <c r="AV29" i="26" s="1"/>
  <c r="S26" i="26"/>
  <c r="W26" i="26"/>
  <c r="W28" i="26" s="1"/>
  <c r="U29" i="28"/>
  <c r="U30" i="28" s="1"/>
  <c r="AW30" i="28" s="1"/>
  <c r="AW28" i="28" s="1"/>
  <c r="R28" i="25"/>
  <c r="R29" i="25" s="1"/>
  <c r="R30" i="25" s="1"/>
  <c r="AT30" i="25" s="1"/>
  <c r="Y30" i="25"/>
  <c r="BA30" i="25" s="1"/>
  <c r="BA29" i="25" s="1"/>
  <c r="M28" i="28"/>
  <c r="M29" i="28" s="1"/>
  <c r="M30" i="28" s="1"/>
  <c r="AO30" i="28" s="1"/>
  <c r="AO29" i="28" s="1"/>
  <c r="AC28" i="28"/>
  <c r="AC29" i="28" s="1"/>
  <c r="AC30" i="28" s="1"/>
  <c r="BE30" i="28" s="1"/>
  <c r="T28" i="25"/>
  <c r="T29" i="25" s="1"/>
  <c r="T30" i="25" s="1"/>
  <c r="AV30" i="25" s="1"/>
  <c r="K28" i="25"/>
  <c r="K29" i="25" s="1"/>
  <c r="K30" i="25" s="1"/>
  <c r="AM30" i="25" s="1"/>
  <c r="AM29" i="25" s="1"/>
  <c r="X29" i="25"/>
  <c r="X30" i="25" s="1"/>
  <c r="AZ30" i="25" s="1"/>
  <c r="AZ29" i="25" s="1"/>
  <c r="O28" i="28"/>
  <c r="O29" i="28" s="1"/>
  <c r="O30" i="28" s="1"/>
  <c r="AQ30" i="28" s="1"/>
  <c r="K28" i="28"/>
  <c r="K29" i="28" s="1"/>
  <c r="K30" i="28" s="1"/>
  <c r="AM30" i="28" s="1"/>
  <c r="AM29" i="28" s="1"/>
  <c r="J28" i="25"/>
  <c r="J29" i="25" s="1"/>
  <c r="J30" i="25" s="1"/>
  <c r="AL30" i="25" s="1"/>
  <c r="U29" i="25"/>
  <c r="U30" i="25" s="1"/>
  <c r="AW30" i="25" s="1"/>
  <c r="P29" i="25"/>
  <c r="P30" i="25" s="1"/>
  <c r="AR30" i="25" s="1"/>
  <c r="AR28" i="25" s="1"/>
  <c r="AD28" i="25"/>
  <c r="AD29" i="25" s="1"/>
  <c r="AD30" i="25" s="1"/>
  <c r="BF30" i="25" s="1"/>
  <c r="BF29" i="25" s="1"/>
  <c r="H28" i="25"/>
  <c r="H29" i="25" s="1"/>
  <c r="H30" i="25" s="1"/>
  <c r="AJ30" i="25" s="1"/>
  <c r="G29" i="25"/>
  <c r="G30" i="25" s="1"/>
  <c r="AI30" i="25" s="1"/>
  <c r="AI28" i="25" s="1"/>
  <c r="Z28" i="25"/>
  <c r="Z29" i="25" s="1"/>
  <c r="Z30" i="25" s="1"/>
  <c r="BB30" i="25" s="1"/>
  <c r="BB29" i="25" s="1"/>
  <c r="I28" i="25"/>
  <c r="I29" i="25" s="1"/>
  <c r="I30" i="25" s="1"/>
  <c r="AK30" i="25" s="1"/>
  <c r="AK28" i="25" s="1"/>
  <c r="J29" i="28"/>
  <c r="J30" i="28" s="1"/>
  <c r="AL30" i="28" s="1"/>
  <c r="AL29" i="28" s="1"/>
  <c r="AE28" i="25"/>
  <c r="AE29" i="25" s="1"/>
  <c r="AE30" i="25" s="1"/>
  <c r="BG30" i="25" s="1"/>
  <c r="BG28" i="25" s="1"/>
  <c r="V28" i="28"/>
  <c r="V29" i="28" s="1"/>
  <c r="V30" i="28" s="1"/>
  <c r="AX30" i="28" s="1"/>
  <c r="AX29" i="28" s="1"/>
  <c r="S29" i="25"/>
  <c r="S30" i="25" s="1"/>
  <c r="AU30" i="25" s="1"/>
  <c r="AD29" i="28"/>
  <c r="AD30" i="28" s="1"/>
  <c r="BF30" i="28" s="1"/>
  <c r="BF29" i="28" s="1"/>
  <c r="T28" i="28"/>
  <c r="T29" i="28" s="1"/>
  <c r="T30" i="28" s="1"/>
  <c r="AV30" i="28" s="1"/>
  <c r="Q29" i="28"/>
  <c r="Q30" i="28" s="1"/>
  <c r="AS30" i="28" s="1"/>
  <c r="AS28" i="28" s="1"/>
  <c r="AA28" i="28"/>
  <c r="AA29" i="28" s="1"/>
  <c r="AA30" i="28" s="1"/>
  <c r="BC30" i="28" s="1"/>
  <c r="H28" i="28"/>
  <c r="H29" i="28" s="1"/>
  <c r="H30" i="28" s="1"/>
  <c r="AJ30" i="28" s="1"/>
  <c r="Q28" i="25"/>
  <c r="Q29" i="25" s="1"/>
  <c r="Q30" i="25" s="1"/>
  <c r="AS30" i="25" s="1"/>
  <c r="AC29" i="25"/>
  <c r="AC30" i="25" s="1"/>
  <c r="BE30" i="25" s="1"/>
  <c r="BE29" i="25" s="1"/>
  <c r="W28" i="28"/>
  <c r="W29" i="28" s="1"/>
  <c r="W30" i="28" s="1"/>
  <c r="AY30" i="28" s="1"/>
  <c r="R28" i="28"/>
  <c r="R29" i="28" s="1"/>
  <c r="R30" i="28" s="1"/>
  <c r="AT30" i="28" s="1"/>
  <c r="AT28" i="28" s="1"/>
  <c r="L28" i="28"/>
  <c r="L29" i="28" s="1"/>
  <c r="L30" i="28" s="1"/>
  <c r="AN30" i="28" s="1"/>
  <c r="N29" i="28"/>
  <c r="N30" i="28" s="1"/>
  <c r="AP30" i="28" s="1"/>
  <c r="AP28" i="28" s="1"/>
  <c r="I28" i="28"/>
  <c r="I29" i="28" s="1"/>
  <c r="I30" i="28" s="1"/>
  <c r="AK30" i="28" s="1"/>
  <c r="AB29" i="28"/>
  <c r="AB30" i="28" s="1"/>
  <c r="BD30" i="28" s="1"/>
  <c r="BD29" i="28" s="1"/>
  <c r="Z28" i="28"/>
  <c r="Z29" i="28" s="1"/>
  <c r="Z30" i="28" s="1"/>
  <c r="BB30" i="28" s="1"/>
  <c r="S28" i="28"/>
  <c r="S29" i="28" s="1"/>
  <c r="S30" i="28" s="1"/>
  <c r="AU30" i="28" s="1"/>
  <c r="AU28" i="29"/>
  <c r="AU29" i="29"/>
  <c r="AI29" i="28"/>
  <c r="AI28" i="28"/>
  <c r="AH30" i="28"/>
  <c r="BG29" i="28"/>
  <c r="BG28" i="28"/>
  <c r="BA29" i="28"/>
  <c r="BA28" i="28"/>
  <c r="AR29" i="28"/>
  <c r="AR28" i="28"/>
  <c r="AZ28" i="28"/>
  <c r="AZ29" i="28"/>
  <c r="AQ29" i="27"/>
  <c r="AQ28" i="27"/>
  <c r="AK29" i="27"/>
  <c r="AK28" i="27"/>
  <c r="AZ29" i="27"/>
  <c r="AZ28" i="27"/>
  <c r="AT29" i="27"/>
  <c r="AT28" i="27"/>
  <c r="AN29" i="27"/>
  <c r="AN28" i="27"/>
  <c r="AL29" i="27"/>
  <c r="AL28" i="27"/>
  <c r="AR29" i="27"/>
  <c r="AR28" i="27"/>
  <c r="BB28" i="27"/>
  <c r="BB29" i="27"/>
  <c r="BC29" i="27"/>
  <c r="BC28" i="27"/>
  <c r="BD29" i="27"/>
  <c r="BD28" i="27"/>
  <c r="AS29" i="27"/>
  <c r="AS28" i="27"/>
  <c r="BF28" i="27"/>
  <c r="BF29" i="27"/>
  <c r="AW28" i="27"/>
  <c r="AW29" i="27"/>
  <c r="BA29" i="27"/>
  <c r="BA28" i="27"/>
  <c r="AV28" i="27"/>
  <c r="AV29" i="27"/>
  <c r="AH30" i="27"/>
  <c r="BE29" i="27"/>
  <c r="BE28" i="27"/>
  <c r="AJ28" i="27"/>
  <c r="AJ29" i="27"/>
  <c r="AY29" i="27"/>
  <c r="AY28" i="27"/>
  <c r="AO29" i="27"/>
  <c r="AO28" i="27"/>
  <c r="AT29" i="26"/>
  <c r="AT28" i="26"/>
  <c r="AQ28" i="25"/>
  <c r="AQ29" i="25"/>
  <c r="BD28" i="25"/>
  <c r="BD29" i="25"/>
  <c r="BC28" i="25"/>
  <c r="BC29" i="25"/>
  <c r="AN29" i="25"/>
  <c r="AN28" i="25"/>
  <c r="AO29" i="25"/>
  <c r="AO28" i="25"/>
  <c r="AX28" i="25"/>
  <c r="AX29" i="25"/>
  <c r="AH30" i="25"/>
  <c r="AP29" i="25"/>
  <c r="AP28" i="25"/>
  <c r="AY29" i="25"/>
  <c r="AY28" i="25"/>
  <c r="AQ29" i="23"/>
  <c r="AQ28" i="23"/>
  <c r="BG28" i="23"/>
  <c r="BG29" i="23"/>
  <c r="AV28" i="23"/>
  <c r="AV29" i="23"/>
  <c r="AL29" i="23"/>
  <c r="AL28" i="23"/>
  <c r="AT29" i="23"/>
  <c r="AT28" i="23"/>
  <c r="BE29" i="23"/>
  <c r="BE28" i="23"/>
  <c r="BF29" i="23"/>
  <c r="BF28" i="23"/>
  <c r="AW29" i="23"/>
  <c r="AW28" i="23"/>
  <c r="AZ29" i="23"/>
  <c r="AZ28" i="23"/>
  <c r="AF30" i="23"/>
  <c r="AH30" i="23"/>
  <c r="AX29" i="23"/>
  <c r="AX28" i="23"/>
  <c r="AS29" i="23"/>
  <c r="AS28" i="23"/>
  <c r="BC29" i="23"/>
  <c r="BC28" i="23"/>
  <c r="AI28" i="23"/>
  <c r="AI29" i="23"/>
  <c r="BA28" i="23"/>
  <c r="BA29" i="23"/>
  <c r="BD29" i="23"/>
  <c r="BD28" i="23"/>
  <c r="AP28" i="23"/>
  <c r="AP29" i="23"/>
  <c r="AN29" i="23"/>
  <c r="AN28" i="23"/>
  <c r="AY29" i="23"/>
  <c r="AY28" i="23"/>
  <c r="AM29" i="23"/>
  <c r="AM28" i="23"/>
  <c r="AR29" i="23"/>
  <c r="AR28" i="23"/>
  <c r="AO28" i="23"/>
  <c r="AO29" i="23"/>
  <c r="AJ28" i="23"/>
  <c r="AJ29" i="23"/>
  <c r="AK29" i="23"/>
  <c r="AK28" i="23"/>
  <c r="BB28" i="23"/>
  <c r="BB29" i="23"/>
  <c r="AU28" i="23"/>
  <c r="AU29" i="23"/>
  <c r="L39" i="1"/>
  <c r="M6" i="1"/>
  <c r="N12" i="1"/>
  <c r="I25" i="31" l="1"/>
  <c r="AJ25" i="31" s="1"/>
  <c r="O25" i="31"/>
  <c r="AP25" i="31" s="1"/>
  <c r="AC25" i="31"/>
  <c r="BD25" i="31" s="1"/>
  <c r="L25" i="31"/>
  <c r="AM25" i="31" s="1"/>
  <c r="Q25" i="31"/>
  <c r="AR25" i="31" s="1"/>
  <c r="X25" i="31"/>
  <c r="AY25" i="31" s="1"/>
  <c r="K25" i="31"/>
  <c r="AL25" i="31" s="1"/>
  <c r="V25" i="31"/>
  <c r="AW25" i="31" s="1"/>
  <c r="Z25" i="31"/>
  <c r="BA25" i="31" s="1"/>
  <c r="H25" i="31"/>
  <c r="AI25" i="31" s="1"/>
  <c r="W25" i="31"/>
  <c r="AX25" i="31" s="1"/>
  <c r="J25" i="31"/>
  <c r="AK25" i="31" s="1"/>
  <c r="AB25" i="31"/>
  <c r="BC25" i="31" s="1"/>
  <c r="AA25" i="31"/>
  <c r="BB25" i="31" s="1"/>
  <c r="G25" i="31"/>
  <c r="AH25" i="31" s="1"/>
  <c r="P25" i="31"/>
  <c r="AQ25" i="31" s="1"/>
  <c r="R25" i="31"/>
  <c r="AS25" i="31" s="1"/>
  <c r="N25" i="31"/>
  <c r="AO25" i="31" s="1"/>
  <c r="AD25" i="31"/>
  <c r="BE25" i="31" s="1"/>
  <c r="T25" i="31"/>
  <c r="AU25" i="31" s="1"/>
  <c r="U25" i="31"/>
  <c r="AV25" i="31" s="1"/>
  <c r="E25" i="31"/>
  <c r="AF25" i="31" s="1"/>
  <c r="M25" i="31"/>
  <c r="AN25" i="31" s="1"/>
  <c r="Y25" i="31"/>
  <c r="AZ25" i="31" s="1"/>
  <c r="S25" i="31"/>
  <c r="AT25" i="31" s="1"/>
  <c r="F25" i="31"/>
  <c r="AG25" i="31" s="1"/>
  <c r="AU43" i="38"/>
  <c r="BB43" i="38"/>
  <c r="BE43" i="38"/>
  <c r="BD43" i="38"/>
  <c r="AM43" i="38"/>
  <c r="BF43" i="38"/>
  <c r="AT43" i="38"/>
  <c r="AK43" i="38"/>
  <c r="AL43" i="38"/>
  <c r="AP43" i="38"/>
  <c r="AY43" i="38"/>
  <c r="AS43" i="38"/>
  <c r="BC43" i="38"/>
  <c r="AI43" i="38"/>
  <c r="BA43" i="38"/>
  <c r="AV43" i="38"/>
  <c r="AH43" i="38"/>
  <c r="AZ43" i="38"/>
  <c r="AW43" i="38"/>
  <c r="AN43" i="38"/>
  <c r="AX43" i="38"/>
  <c r="BG43" i="38"/>
  <c r="AO43" i="38"/>
  <c r="AQ43" i="38"/>
  <c r="AR43" i="38"/>
  <c r="AJ43" i="38"/>
  <c r="AQ43" i="36"/>
  <c r="AZ43" i="36"/>
  <c r="BC43" i="36"/>
  <c r="BG43" i="36"/>
  <c r="AR43" i="36"/>
  <c r="AH43" i="36"/>
  <c r="AU43" i="36"/>
  <c r="BE43" i="36"/>
  <c r="BD43" i="36"/>
  <c r="AT43" i="36"/>
  <c r="AX43" i="36"/>
  <c r="BB43" i="36"/>
  <c r="AL43" i="36"/>
  <c r="BA43" i="36"/>
  <c r="AW43" i="36"/>
  <c r="AO43" i="36"/>
  <c r="AY43" i="36"/>
  <c r="AM43" i="36"/>
  <c r="AI43" i="36"/>
  <c r="AS43" i="36"/>
  <c r="AV43" i="36"/>
  <c r="AJ43" i="36"/>
  <c r="AN43" i="36"/>
  <c r="AP43" i="36"/>
  <c r="BF43" i="36"/>
  <c r="AK43" i="36"/>
  <c r="Y51" i="31"/>
  <c r="AY51" i="31"/>
  <c r="AY50" i="31"/>
  <c r="Y65" i="31"/>
  <c r="AY65" i="31"/>
  <c r="AY64" i="31"/>
  <c r="Y67" i="31"/>
  <c r="AY66" i="31"/>
  <c r="AY67" i="31"/>
  <c r="Z61" i="31"/>
  <c r="AZ61" i="31"/>
  <c r="AZ60" i="31"/>
  <c r="AA55" i="31"/>
  <c r="BA54" i="31"/>
  <c r="BA55" i="31"/>
  <c r="AA45" i="31"/>
  <c r="BA44" i="31"/>
  <c r="BA45" i="31"/>
  <c r="Z49" i="31"/>
  <c r="AZ48" i="31"/>
  <c r="AZ49" i="31"/>
  <c r="Y37" i="31"/>
  <c r="AY37" i="31"/>
  <c r="AY36" i="31"/>
  <c r="Z73" i="31"/>
  <c r="AZ73" i="31"/>
  <c r="AZ72" i="31"/>
  <c r="Y57" i="31"/>
  <c r="AY57" i="31"/>
  <c r="AY56" i="31"/>
  <c r="Y59" i="31"/>
  <c r="AY59" i="31"/>
  <c r="AY58" i="31"/>
  <c r="Y43" i="31"/>
  <c r="AY42" i="31"/>
  <c r="AY43" i="31"/>
  <c r="Z77" i="31"/>
  <c r="AZ77" i="31"/>
  <c r="AZ76" i="31"/>
  <c r="AA41" i="31"/>
  <c r="BA41" i="31"/>
  <c r="BA40" i="31"/>
  <c r="Z69" i="31"/>
  <c r="AZ69" i="31"/>
  <c r="AZ68" i="31"/>
  <c r="Y35" i="31"/>
  <c r="AY35" i="31"/>
  <c r="AY34" i="31"/>
  <c r="Y63" i="31"/>
  <c r="AY62" i="31"/>
  <c r="AY63" i="31"/>
  <c r="Z39" i="31"/>
  <c r="AZ38" i="31"/>
  <c r="AZ39" i="31"/>
  <c r="Y53" i="31"/>
  <c r="AY53" i="31"/>
  <c r="AY52" i="31"/>
  <c r="AI28" i="29"/>
  <c r="BA28" i="29"/>
  <c r="AL29" i="29"/>
  <c r="AM29" i="29"/>
  <c r="AQ29" i="29"/>
  <c r="AR28" i="29"/>
  <c r="AY28" i="29"/>
  <c r="AW29" i="29"/>
  <c r="AX28" i="29"/>
  <c r="BC29" i="29"/>
  <c r="AT29" i="29"/>
  <c r="I29" i="29"/>
  <c r="I30" i="29" s="1"/>
  <c r="AK30" i="29" s="1"/>
  <c r="AK28" i="29" s="1"/>
  <c r="AJ28" i="29"/>
  <c r="AE29" i="29"/>
  <c r="AE30" i="29" s="1"/>
  <c r="BG30" i="29" s="1"/>
  <c r="BG28" i="29" s="1"/>
  <c r="AO29" i="29"/>
  <c r="BD28" i="29"/>
  <c r="AZ28" i="29"/>
  <c r="AN29" i="29"/>
  <c r="AX28" i="27"/>
  <c r="BE29" i="29"/>
  <c r="BE28" i="29"/>
  <c r="AP28" i="29"/>
  <c r="AP29" i="29"/>
  <c r="AI28" i="27"/>
  <c r="AM28" i="27"/>
  <c r="AK29" i="28"/>
  <c r="AK28" i="28"/>
  <c r="AV28" i="29"/>
  <c r="AV29" i="29"/>
  <c r="AU29" i="27"/>
  <c r="BG29" i="27"/>
  <c r="BG28" i="27"/>
  <c r="AF30" i="27"/>
  <c r="O32" i="27" s="1"/>
  <c r="AP28" i="27"/>
  <c r="BB28" i="29"/>
  <c r="BB29" i="29"/>
  <c r="AJ29" i="28"/>
  <c r="AJ28" i="28"/>
  <c r="AS29" i="26"/>
  <c r="BC28" i="26"/>
  <c r="BC29" i="24"/>
  <c r="AJ29" i="24"/>
  <c r="AQ29" i="24"/>
  <c r="AU28" i="28"/>
  <c r="AU29" i="28"/>
  <c r="AL29" i="25"/>
  <c r="AL28" i="25"/>
  <c r="AY29" i="24"/>
  <c r="AY28" i="24"/>
  <c r="BF29" i="29"/>
  <c r="BF28" i="29"/>
  <c r="AU28" i="24"/>
  <c r="BB29" i="24"/>
  <c r="AI28" i="24"/>
  <c r="AV29" i="24"/>
  <c r="P29" i="24"/>
  <c r="P30" i="24" s="1"/>
  <c r="AR30" i="24" s="1"/>
  <c r="AR29" i="24" s="1"/>
  <c r="AO29" i="26"/>
  <c r="U29" i="24"/>
  <c r="U30" i="24" s="1"/>
  <c r="AW30" i="24" s="1"/>
  <c r="AW28" i="24" s="1"/>
  <c r="AC29" i="24"/>
  <c r="AC30" i="24" s="1"/>
  <c r="BE30" i="24" s="1"/>
  <c r="BE29" i="24" s="1"/>
  <c r="F28" i="24"/>
  <c r="F29" i="24" s="1"/>
  <c r="F30" i="24" s="1"/>
  <c r="AH30" i="24" s="1"/>
  <c r="AH29" i="24" s="1"/>
  <c r="AP28" i="24"/>
  <c r="AN28" i="24"/>
  <c r="AT28" i="24"/>
  <c r="AO29" i="24"/>
  <c r="X29" i="26"/>
  <c r="X30" i="26" s="1"/>
  <c r="AZ30" i="26" s="1"/>
  <c r="AZ28" i="26" s="1"/>
  <c r="BF29" i="24"/>
  <c r="Q28" i="24"/>
  <c r="Q29" i="24" s="1"/>
  <c r="Q30" i="24" s="1"/>
  <c r="AS30" i="24" s="1"/>
  <c r="AS29" i="24" s="1"/>
  <c r="AS29" i="29"/>
  <c r="AS28" i="29"/>
  <c r="AC28" i="26"/>
  <c r="AC29" i="26" s="1"/>
  <c r="AC30" i="26" s="1"/>
  <c r="BE30" i="26" s="1"/>
  <c r="AK28" i="24"/>
  <c r="Y28" i="24"/>
  <c r="Y29" i="24" s="1"/>
  <c r="Y30" i="24" s="1"/>
  <c r="BA30" i="24" s="1"/>
  <c r="V28" i="24"/>
  <c r="V29" i="24" s="1"/>
  <c r="V30" i="24" s="1"/>
  <c r="AX30" i="24" s="1"/>
  <c r="AE28" i="24"/>
  <c r="AE29" i="24" s="1"/>
  <c r="AE30" i="24" s="1"/>
  <c r="BG30" i="24" s="1"/>
  <c r="BG29" i="24" s="1"/>
  <c r="AM28" i="24"/>
  <c r="AZ29" i="24"/>
  <c r="AB28" i="24"/>
  <c r="AB29" i="24" s="1"/>
  <c r="AB30" i="24" s="1"/>
  <c r="BD30" i="24" s="1"/>
  <c r="BD29" i="24" s="1"/>
  <c r="AN28" i="26"/>
  <c r="AH30" i="29"/>
  <c r="AH28" i="29" s="1"/>
  <c r="AQ28" i="26"/>
  <c r="AP28" i="26"/>
  <c r="U28" i="26"/>
  <c r="U29" i="26" s="1"/>
  <c r="U30" i="26" s="1"/>
  <c r="AW30" i="26" s="1"/>
  <c r="AK29" i="26"/>
  <c r="AV28" i="26"/>
  <c r="K28" i="26"/>
  <c r="K29" i="26" s="1"/>
  <c r="K30" i="26" s="1"/>
  <c r="AM30" i="26" s="1"/>
  <c r="AE28" i="26"/>
  <c r="AE29" i="26" s="1"/>
  <c r="AE30" i="26" s="1"/>
  <c r="BG30" i="26" s="1"/>
  <c r="J28" i="26"/>
  <c r="J29" i="26" s="1"/>
  <c r="J30" i="26" s="1"/>
  <c r="AL30" i="26" s="1"/>
  <c r="AL28" i="26" s="1"/>
  <c r="AD28" i="26"/>
  <c r="AD29" i="26" s="1"/>
  <c r="AD30" i="26" s="1"/>
  <c r="BF30" i="26" s="1"/>
  <c r="BF28" i="26" s="1"/>
  <c r="W29" i="26"/>
  <c r="W30" i="26" s="1"/>
  <c r="AY30" i="26" s="1"/>
  <c r="AY28" i="26" s="1"/>
  <c r="G29" i="26"/>
  <c r="G30" i="26" s="1"/>
  <c r="AI30" i="26" s="1"/>
  <c r="AI29" i="26" s="1"/>
  <c r="AX29" i="26"/>
  <c r="S28" i="26"/>
  <c r="S29" i="26" s="1"/>
  <c r="S30" i="26" s="1"/>
  <c r="AU30" i="26" s="1"/>
  <c r="Z28" i="26"/>
  <c r="Z29" i="26" s="1"/>
  <c r="Z30" i="26" s="1"/>
  <c r="BB30" i="26" s="1"/>
  <c r="Y28" i="26"/>
  <c r="Y29" i="26" s="1"/>
  <c r="Y30" i="26" s="1"/>
  <c r="BA30" i="26" s="1"/>
  <c r="BA28" i="26" s="1"/>
  <c r="BE29" i="28"/>
  <c r="BE28" i="28"/>
  <c r="BD28" i="26"/>
  <c r="BD29" i="26"/>
  <c r="AO28" i="28"/>
  <c r="AQ29" i="28"/>
  <c r="AQ28" i="28"/>
  <c r="AL28" i="24"/>
  <c r="AT28" i="25"/>
  <c r="AT29" i="25"/>
  <c r="AW29" i="28"/>
  <c r="BA28" i="25"/>
  <c r="AJ28" i="26"/>
  <c r="AJ29" i="26"/>
  <c r="AY28" i="28"/>
  <c r="AY29" i="28"/>
  <c r="BF28" i="25"/>
  <c r="AR28" i="26"/>
  <c r="AI29" i="25"/>
  <c r="AT29" i="28"/>
  <c r="AV28" i="28"/>
  <c r="AV29" i="28"/>
  <c r="BF28" i="28"/>
  <c r="AZ28" i="25"/>
  <c r="AM28" i="25"/>
  <c r="BC28" i="28"/>
  <c r="BC29" i="28"/>
  <c r="AJ29" i="25"/>
  <c r="AJ28" i="25"/>
  <c r="AN29" i="28"/>
  <c r="AN28" i="28"/>
  <c r="AV28" i="25"/>
  <c r="AV29" i="25"/>
  <c r="AW28" i="25"/>
  <c r="AW29" i="25"/>
  <c r="BB28" i="25"/>
  <c r="AR29" i="25"/>
  <c r="AU29" i="25"/>
  <c r="AU28" i="25"/>
  <c r="BG29" i="25"/>
  <c r="AK29" i="25"/>
  <c r="AS29" i="28"/>
  <c r="AM28" i="28"/>
  <c r="AX28" i="28"/>
  <c r="AP29" i="28"/>
  <c r="AS28" i="25"/>
  <c r="AS29" i="25"/>
  <c r="BB28" i="28"/>
  <c r="BB29" i="28"/>
  <c r="BE28" i="25"/>
  <c r="AF30" i="25"/>
  <c r="U32" i="25" s="1"/>
  <c r="AL28" i="28"/>
  <c r="BD28" i="28"/>
  <c r="AF30" i="28"/>
  <c r="J32" i="28" s="1"/>
  <c r="AH28" i="28"/>
  <c r="AH29" i="28"/>
  <c r="AH29" i="27"/>
  <c r="AH28" i="27"/>
  <c r="AH29" i="26"/>
  <c r="AH28" i="26"/>
  <c r="AH29" i="25"/>
  <c r="AH28" i="25"/>
  <c r="AH29" i="23"/>
  <c r="AH28" i="23"/>
  <c r="AB32" i="23"/>
  <c r="V32" i="23"/>
  <c r="P32" i="23"/>
  <c r="J32" i="23"/>
  <c r="AD32" i="23"/>
  <c r="W32" i="23"/>
  <c r="O32" i="23"/>
  <c r="H32" i="23"/>
  <c r="AC32" i="23"/>
  <c r="U32" i="23"/>
  <c r="N32" i="23"/>
  <c r="G32" i="23"/>
  <c r="Z32" i="23"/>
  <c r="S32" i="23"/>
  <c r="L32" i="23"/>
  <c r="AE32" i="23"/>
  <c r="X32" i="23"/>
  <c r="Q32" i="23"/>
  <c r="I32" i="23"/>
  <c r="M32" i="23"/>
  <c r="K32" i="23"/>
  <c r="AA32" i="23"/>
  <c r="F32" i="23"/>
  <c r="Y32" i="23"/>
  <c r="R32" i="23"/>
  <c r="T32" i="23"/>
  <c r="M39" i="1"/>
  <c r="N6" i="1"/>
  <c r="O12" i="1"/>
  <c r="Q23" i="31" l="1"/>
  <c r="AR23" i="31" s="1"/>
  <c r="P27" i="31"/>
  <c r="AQ27" i="31" s="1"/>
  <c r="AA27" i="31"/>
  <c r="BB27" i="31" s="1"/>
  <c r="AC23" i="31"/>
  <c r="BD23" i="31" s="1"/>
  <c r="V23" i="31"/>
  <c r="AW23" i="31" s="1"/>
  <c r="AA23" i="31"/>
  <c r="BB23" i="31" s="1"/>
  <c r="N23" i="31"/>
  <c r="AO23" i="31" s="1"/>
  <c r="T27" i="31"/>
  <c r="AU27" i="31" s="1"/>
  <c r="V27" i="31"/>
  <c r="AW27" i="31" s="1"/>
  <c r="AB27" i="31"/>
  <c r="BC27" i="31" s="1"/>
  <c r="J23" i="31"/>
  <c r="AK23" i="31" s="1"/>
  <c r="AB23" i="31"/>
  <c r="BC23" i="31" s="1"/>
  <c r="M27" i="31"/>
  <c r="AN27" i="31" s="1"/>
  <c r="K23" i="31"/>
  <c r="AL23" i="31" s="1"/>
  <c r="T23" i="31"/>
  <c r="AU23" i="31" s="1"/>
  <c r="R23" i="31"/>
  <c r="AS23" i="31" s="1"/>
  <c r="O27" i="31"/>
  <c r="AP27" i="31" s="1"/>
  <c r="E27" i="31"/>
  <c r="AF27" i="31" s="1"/>
  <c r="I27" i="31"/>
  <c r="AJ27" i="31" s="1"/>
  <c r="R27" i="31"/>
  <c r="AS27" i="31" s="1"/>
  <c r="K27" i="31"/>
  <c r="AL27" i="31" s="1"/>
  <c r="G27" i="31"/>
  <c r="AH27" i="31" s="1"/>
  <c r="Y27" i="31"/>
  <c r="AZ27" i="31" s="1"/>
  <c r="G23" i="31"/>
  <c r="AH23" i="31" s="1"/>
  <c r="X23" i="31"/>
  <c r="AY23" i="31" s="1"/>
  <c r="E23" i="31"/>
  <c r="AF23" i="31" s="1"/>
  <c r="N27" i="31"/>
  <c r="AO27" i="31" s="1"/>
  <c r="S27" i="31"/>
  <c r="AT27" i="31" s="1"/>
  <c r="H27" i="31"/>
  <c r="AI27" i="31" s="1"/>
  <c r="H23" i="31"/>
  <c r="AI23" i="31" s="1"/>
  <c r="W27" i="31"/>
  <c r="AX27" i="31" s="1"/>
  <c r="S23" i="31"/>
  <c r="AT23" i="31" s="1"/>
  <c r="I23" i="31"/>
  <c r="AJ23" i="31" s="1"/>
  <c r="O23" i="31"/>
  <c r="AP23" i="31" s="1"/>
  <c r="L27" i="31"/>
  <c r="AM27" i="31" s="1"/>
  <c r="X27" i="31"/>
  <c r="AY27" i="31" s="1"/>
  <c r="Q27" i="31"/>
  <c r="AR27" i="31" s="1"/>
  <c r="L23" i="31"/>
  <c r="AM23" i="31" s="1"/>
  <c r="P23" i="31"/>
  <c r="AQ23" i="31" s="1"/>
  <c r="Y23" i="31"/>
  <c r="AZ23" i="31" s="1"/>
  <c r="AD23" i="31"/>
  <c r="BE23" i="31" s="1"/>
  <c r="AD27" i="31"/>
  <c r="BE27" i="31" s="1"/>
  <c r="F27" i="31"/>
  <c r="AG27" i="31" s="1"/>
  <c r="AC27" i="31"/>
  <c r="BD27" i="31" s="1"/>
  <c r="W23" i="31"/>
  <c r="AX23" i="31" s="1"/>
  <c r="M23" i="31"/>
  <c r="AN23" i="31" s="1"/>
  <c r="F23" i="31"/>
  <c r="AG23" i="31" s="1"/>
  <c r="U23" i="31"/>
  <c r="AV23" i="31" s="1"/>
  <c r="Z23" i="31"/>
  <c r="BA23" i="31" s="1"/>
  <c r="U27" i="31"/>
  <c r="AV27" i="31" s="1"/>
  <c r="Z27" i="31"/>
  <c r="BA27" i="31" s="1"/>
  <c r="J27" i="31"/>
  <c r="AK27" i="31" s="1"/>
  <c r="AB41" i="31"/>
  <c r="BB41" i="31"/>
  <c r="BB40" i="31"/>
  <c r="Z53" i="31"/>
  <c r="AZ53" i="31"/>
  <c r="AZ52" i="31"/>
  <c r="Z59" i="31"/>
  <c r="AZ58" i="31"/>
  <c r="AZ59" i="31"/>
  <c r="Z67" i="31"/>
  <c r="AZ66" i="31"/>
  <c r="AZ67" i="31"/>
  <c r="Z35" i="31"/>
  <c r="AZ35" i="31"/>
  <c r="AZ34" i="31"/>
  <c r="Z37" i="31"/>
  <c r="AZ37" i="31"/>
  <c r="AZ36" i="31"/>
  <c r="AB45" i="31"/>
  <c r="BB45" i="31"/>
  <c r="BB44" i="31"/>
  <c r="AB55" i="31"/>
  <c r="BB54" i="31"/>
  <c r="BB55" i="31"/>
  <c r="AA39" i="31"/>
  <c r="BA39" i="31"/>
  <c r="BA38" i="31"/>
  <c r="Z57" i="31"/>
  <c r="AZ57" i="31"/>
  <c r="AZ56" i="31"/>
  <c r="Z65" i="31"/>
  <c r="AZ65" i="31"/>
  <c r="AZ64" i="31"/>
  <c r="AA77" i="31"/>
  <c r="BA77" i="31"/>
  <c r="BA76" i="31"/>
  <c r="AA69" i="31"/>
  <c r="BA69" i="31"/>
  <c r="BA68" i="31"/>
  <c r="AA49" i="31"/>
  <c r="BA48" i="31"/>
  <c r="BA49" i="31"/>
  <c r="Z43" i="31"/>
  <c r="AZ43" i="31"/>
  <c r="AZ42" i="31"/>
  <c r="AA61" i="31"/>
  <c r="BA61" i="31"/>
  <c r="BA60" i="31"/>
  <c r="Z63" i="31"/>
  <c r="AZ62" i="31"/>
  <c r="AZ63" i="31"/>
  <c r="AA73" i="31"/>
  <c r="BA73" i="31"/>
  <c r="BA72" i="31"/>
  <c r="Z51" i="31"/>
  <c r="AZ51" i="31"/>
  <c r="AZ50" i="31"/>
  <c r="BG29" i="29"/>
  <c r="AK29" i="29"/>
  <c r="AF30" i="29"/>
  <c r="V32" i="29" s="1"/>
  <c r="V34" i="29" s="1"/>
  <c r="V35" i="29" s="1"/>
  <c r="V36" i="29" s="1"/>
  <c r="AX36" i="29" s="1"/>
  <c r="BA29" i="24"/>
  <c r="BA28" i="24"/>
  <c r="AU28" i="26"/>
  <c r="AU29" i="26"/>
  <c r="BB28" i="26"/>
  <c r="BB29" i="26"/>
  <c r="BE29" i="26"/>
  <c r="BE28" i="26"/>
  <c r="F32" i="27"/>
  <c r="F34" i="27" s="1"/>
  <c r="F35" i="27" s="1"/>
  <c r="F36" i="27" s="1"/>
  <c r="W32" i="27"/>
  <c r="W34" i="27" s="1"/>
  <c r="W35" i="27" s="1"/>
  <c r="W36" i="27" s="1"/>
  <c r="AY36" i="27" s="1"/>
  <c r="U32" i="27"/>
  <c r="U34" i="27" s="1"/>
  <c r="AA32" i="27"/>
  <c r="AA34" i="27" s="1"/>
  <c r="J32" i="27"/>
  <c r="J34" i="27" s="1"/>
  <c r="J35" i="27" s="1"/>
  <c r="J36" i="27" s="1"/>
  <c r="AL36" i="27" s="1"/>
  <c r="P32" i="27"/>
  <c r="Q32" i="27"/>
  <c r="Q34" i="27" s="1"/>
  <c r="Q35" i="27" s="1"/>
  <c r="Q36" i="27" s="1"/>
  <c r="AS36" i="27" s="1"/>
  <c r="Y32" i="27"/>
  <c r="Y34" i="27" s="1"/>
  <c r="Y35" i="27" s="1"/>
  <c r="Y36" i="27" s="1"/>
  <c r="BA36" i="27" s="1"/>
  <c r="G32" i="27"/>
  <c r="G34" i="27" s="1"/>
  <c r="G35" i="27" s="1"/>
  <c r="G36" i="27" s="1"/>
  <c r="AI36" i="27" s="1"/>
  <c r="L32" i="27"/>
  <c r="L34" i="27" s="1"/>
  <c r="L35" i="27" s="1"/>
  <c r="L36" i="27" s="1"/>
  <c r="AN36" i="27" s="1"/>
  <c r="T32" i="27"/>
  <c r="T34" i="27" s="1"/>
  <c r="T35" i="27" s="1"/>
  <c r="T36" i="27" s="1"/>
  <c r="AV36" i="27" s="1"/>
  <c r="V32" i="27"/>
  <c r="V34" i="27" s="1"/>
  <c r="V35" i="27" s="1"/>
  <c r="V36" i="27" s="1"/>
  <c r="AX36" i="27" s="1"/>
  <c r="H32" i="27"/>
  <c r="H34" i="27" s="1"/>
  <c r="H35" i="27" s="1"/>
  <c r="H36" i="27" s="1"/>
  <c r="AJ36" i="27" s="1"/>
  <c r="AD32" i="27"/>
  <c r="AD34" i="27" s="1"/>
  <c r="AD35" i="27" s="1"/>
  <c r="AD36" i="27" s="1"/>
  <c r="BF36" i="27" s="1"/>
  <c r="Z32" i="27"/>
  <c r="Z34" i="27" s="1"/>
  <c r="Z35" i="27" s="1"/>
  <c r="Z36" i="27" s="1"/>
  <c r="BB36" i="27" s="1"/>
  <c r="M32" i="27"/>
  <c r="M34" i="27" s="1"/>
  <c r="M35" i="27" s="1"/>
  <c r="M36" i="27" s="1"/>
  <c r="AO36" i="27" s="1"/>
  <c r="R32" i="27"/>
  <c r="K32" i="27"/>
  <c r="K34" i="27" s="1"/>
  <c r="K35" i="27" s="1"/>
  <c r="K36" i="27" s="1"/>
  <c r="AM36" i="27" s="1"/>
  <c r="AE32" i="27"/>
  <c r="AE34" i="27" s="1"/>
  <c r="AE35" i="27" s="1"/>
  <c r="AE36" i="27" s="1"/>
  <c r="BG36" i="27" s="1"/>
  <c r="AB32" i="27"/>
  <c r="AB34" i="27" s="1"/>
  <c r="AB35" i="27" s="1"/>
  <c r="AB36" i="27" s="1"/>
  <c r="BD36" i="27" s="1"/>
  <c r="N32" i="27"/>
  <c r="N34" i="27" s="1"/>
  <c r="N35" i="27" s="1"/>
  <c r="N36" i="27" s="1"/>
  <c r="AP36" i="27" s="1"/>
  <c r="S32" i="27"/>
  <c r="S34" i="27" s="1"/>
  <c r="S35" i="27" s="1"/>
  <c r="S36" i="27" s="1"/>
  <c r="AU36" i="27" s="1"/>
  <c r="I32" i="27"/>
  <c r="I34" i="27" s="1"/>
  <c r="I35" i="27" s="1"/>
  <c r="I36" i="27" s="1"/>
  <c r="AK36" i="27" s="1"/>
  <c r="X32" i="27"/>
  <c r="X34" i="27" s="1"/>
  <c r="X35" i="27" s="1"/>
  <c r="X36" i="27" s="1"/>
  <c r="AZ36" i="27" s="1"/>
  <c r="AC32" i="27"/>
  <c r="AC34" i="27" s="1"/>
  <c r="AC35" i="27" s="1"/>
  <c r="AC36" i="27" s="1"/>
  <c r="BE36" i="27" s="1"/>
  <c r="BG28" i="26"/>
  <c r="BG29" i="26"/>
  <c r="AW29" i="26"/>
  <c r="AW28" i="26"/>
  <c r="AM29" i="26"/>
  <c r="AM28" i="26"/>
  <c r="AX29" i="24"/>
  <c r="AX28" i="24"/>
  <c r="AH28" i="24"/>
  <c r="AR28" i="24"/>
  <c r="AH29" i="29"/>
  <c r="AZ29" i="26"/>
  <c r="AW29" i="24"/>
  <c r="BG28" i="24"/>
  <c r="AS28" i="24"/>
  <c r="BE28" i="24"/>
  <c r="BD28" i="24"/>
  <c r="AF30" i="24"/>
  <c r="I32" i="24" s="1"/>
  <c r="I34" i="24" s="1"/>
  <c r="I35" i="24" s="1"/>
  <c r="I36" i="24" s="1"/>
  <c r="AK36" i="24" s="1"/>
  <c r="BF29" i="26"/>
  <c r="AY29" i="26"/>
  <c r="AL29" i="26"/>
  <c r="AF30" i="26"/>
  <c r="AD32" i="26" s="1"/>
  <c r="BA29" i="26"/>
  <c r="AI28" i="26"/>
  <c r="AD32" i="25"/>
  <c r="G32" i="25"/>
  <c r="G34" i="25" s="1"/>
  <c r="Q32" i="25"/>
  <c r="Q34" i="25" s="1"/>
  <c r="Q35" i="25" s="1"/>
  <c r="Q36" i="25" s="1"/>
  <c r="AS36" i="25" s="1"/>
  <c r="AA32" i="25"/>
  <c r="AA34" i="25" s="1"/>
  <c r="AA35" i="25" s="1"/>
  <c r="AA36" i="25" s="1"/>
  <c r="BC36" i="25" s="1"/>
  <c r="H32" i="25"/>
  <c r="H34" i="25" s="1"/>
  <c r="Z32" i="25"/>
  <c r="Z34" i="25" s="1"/>
  <c r="N32" i="25"/>
  <c r="N34" i="25" s="1"/>
  <c r="N35" i="25" s="1"/>
  <c r="N36" i="25" s="1"/>
  <c r="AP36" i="25" s="1"/>
  <c r="W32" i="25"/>
  <c r="W34" i="25" s="1"/>
  <c r="Y32" i="25"/>
  <c r="Y34" i="25" s="1"/>
  <c r="Y35" i="25" s="1"/>
  <c r="Y36" i="25" s="1"/>
  <c r="BA36" i="25" s="1"/>
  <c r="J32" i="25"/>
  <c r="J34" i="25" s="1"/>
  <c r="J35" i="25" s="1"/>
  <c r="J36" i="25" s="1"/>
  <c r="AL36" i="25" s="1"/>
  <c r="F32" i="25"/>
  <c r="AE32" i="25"/>
  <c r="L32" i="25"/>
  <c r="L34" i="25" s="1"/>
  <c r="L35" i="25" s="1"/>
  <c r="L36" i="25" s="1"/>
  <c r="AN36" i="25" s="1"/>
  <c r="K32" i="25"/>
  <c r="P32" i="25"/>
  <c r="P34" i="25" s="1"/>
  <c r="P35" i="25" s="1"/>
  <c r="P36" i="25" s="1"/>
  <c r="AR36" i="25" s="1"/>
  <c r="AB32" i="25"/>
  <c r="AB34" i="25" s="1"/>
  <c r="X32" i="25"/>
  <c r="X34" i="25" s="1"/>
  <c r="X35" i="25" s="1"/>
  <c r="X36" i="25" s="1"/>
  <c r="AZ36" i="25" s="1"/>
  <c r="O32" i="25"/>
  <c r="O34" i="25" s="1"/>
  <c r="S32" i="25"/>
  <c r="R32" i="25"/>
  <c r="R34" i="25" s="1"/>
  <c r="R35" i="25" s="1"/>
  <c r="R36" i="25" s="1"/>
  <c r="AT36" i="25" s="1"/>
  <c r="V32" i="25"/>
  <c r="V34" i="25" s="1"/>
  <c r="V35" i="25" s="1"/>
  <c r="V36" i="25" s="1"/>
  <c r="AX36" i="25" s="1"/>
  <c r="AC32" i="25"/>
  <c r="AC34" i="25" s="1"/>
  <c r="AC35" i="25" s="1"/>
  <c r="AC36" i="25" s="1"/>
  <c r="BE36" i="25" s="1"/>
  <c r="M32" i="25"/>
  <c r="T32" i="25"/>
  <c r="I32" i="25"/>
  <c r="I34" i="25" s="1"/>
  <c r="L32" i="28"/>
  <c r="X32" i="28"/>
  <c r="F32" i="28"/>
  <c r="AA32" i="28"/>
  <c r="AA34" i="28" s="1"/>
  <c r="W32" i="28"/>
  <c r="K32" i="28"/>
  <c r="K34" i="28" s="1"/>
  <c r="K35" i="28" s="1"/>
  <c r="K36" i="28" s="1"/>
  <c r="AM36" i="28" s="1"/>
  <c r="I32" i="28"/>
  <c r="P32" i="28"/>
  <c r="P34" i="28" s="1"/>
  <c r="U32" i="28"/>
  <c r="U34" i="28" s="1"/>
  <c r="AE32" i="28"/>
  <c r="S32" i="28"/>
  <c r="H32" i="28"/>
  <c r="H34" i="28" s="1"/>
  <c r="H35" i="28" s="1"/>
  <c r="H36" i="28" s="1"/>
  <c r="AJ36" i="28" s="1"/>
  <c r="V32" i="28"/>
  <c r="Q32" i="28"/>
  <c r="N32" i="28"/>
  <c r="Z32" i="28"/>
  <c r="O32" i="28"/>
  <c r="O34" i="28" s="1"/>
  <c r="AB32" i="28"/>
  <c r="AB34" i="28" s="1"/>
  <c r="AB35" i="28" s="1"/>
  <c r="AB36" i="28" s="1"/>
  <c r="BD36" i="28" s="1"/>
  <c r="G32" i="28"/>
  <c r="G34" i="28" s="1"/>
  <c r="G35" i="28" s="1"/>
  <c r="G36" i="28" s="1"/>
  <c r="AI36" i="28" s="1"/>
  <c r="R32" i="28"/>
  <c r="R34" i="28" s="1"/>
  <c r="M32" i="28"/>
  <c r="M34" i="28" s="1"/>
  <c r="M35" i="28" s="1"/>
  <c r="M36" i="28" s="1"/>
  <c r="AO36" i="28" s="1"/>
  <c r="AD32" i="28"/>
  <c r="AC32" i="28"/>
  <c r="Y32" i="28"/>
  <c r="T32" i="28"/>
  <c r="T34" i="28" s="1"/>
  <c r="T35" i="28" s="1"/>
  <c r="T36" i="28" s="1"/>
  <c r="AV36" i="28" s="1"/>
  <c r="J34" i="28"/>
  <c r="J35" i="28" s="1"/>
  <c r="J36" i="28" s="1"/>
  <c r="AL36" i="28" s="1"/>
  <c r="BA31" i="28"/>
  <c r="AN31" i="28"/>
  <c r="AM31" i="28"/>
  <c r="BB31" i="28"/>
  <c r="AL31" i="28"/>
  <c r="AR31" i="28"/>
  <c r="BC31" i="28"/>
  <c r="AU31" i="28"/>
  <c r="AK31" i="28"/>
  <c r="AY31" i="28"/>
  <c r="BD31" i="28"/>
  <c r="AJ31" i="28"/>
  <c r="AO31" i="28"/>
  <c r="AS31" i="28"/>
  <c r="AX31" i="28"/>
  <c r="AQ31" i="28"/>
  <c r="AV31" i="28"/>
  <c r="AZ31" i="28"/>
  <c r="AH31" i="28"/>
  <c r="AT31" i="28"/>
  <c r="AP31" i="28"/>
  <c r="AW31" i="28"/>
  <c r="BF31" i="28"/>
  <c r="BE31" i="28"/>
  <c r="BG31" i="28"/>
  <c r="AI31" i="28"/>
  <c r="AS31" i="27"/>
  <c r="AK31" i="27"/>
  <c r="BD31" i="27"/>
  <c r="BC31" i="27"/>
  <c r="AZ31" i="27"/>
  <c r="AO31" i="27"/>
  <c r="AL31" i="27"/>
  <c r="BG31" i="27"/>
  <c r="AU31" i="27"/>
  <c r="AM31" i="27"/>
  <c r="BE31" i="27"/>
  <c r="AQ31" i="27"/>
  <c r="AJ31" i="27"/>
  <c r="AT31" i="27"/>
  <c r="AV31" i="27"/>
  <c r="AW31" i="27"/>
  <c r="AN31" i="27"/>
  <c r="AR31" i="27"/>
  <c r="AP31" i="27"/>
  <c r="AI31" i="27"/>
  <c r="AH31" i="27"/>
  <c r="BA31" i="27"/>
  <c r="BF31" i="27"/>
  <c r="AX31" i="27"/>
  <c r="BB31" i="27"/>
  <c r="AY31" i="27"/>
  <c r="O34" i="27"/>
  <c r="O35" i="27" s="1"/>
  <c r="O36" i="27" s="1"/>
  <c r="AQ36" i="27" s="1"/>
  <c r="U34" i="25"/>
  <c r="U35" i="25" s="1"/>
  <c r="U36" i="25" s="1"/>
  <c r="AW36" i="25" s="1"/>
  <c r="BB31" i="25"/>
  <c r="AJ31" i="25"/>
  <c r="AT31" i="25"/>
  <c r="AK31" i="25"/>
  <c r="BG31" i="25"/>
  <c r="BE31" i="25"/>
  <c r="AW31" i="25"/>
  <c r="AV31" i="25"/>
  <c r="AR31" i="25"/>
  <c r="BC31" i="25"/>
  <c r="BA31" i="25"/>
  <c r="AP31" i="25"/>
  <c r="BF31" i="25"/>
  <c r="AS31" i="25"/>
  <c r="AM31" i="25"/>
  <c r="AH31" i="25"/>
  <c r="AI31" i="25"/>
  <c r="AL31" i="25"/>
  <c r="BD31" i="25"/>
  <c r="AO31" i="25"/>
  <c r="AQ31" i="25"/>
  <c r="AN31" i="25"/>
  <c r="AZ31" i="25"/>
  <c r="AU31" i="25"/>
  <c r="AY31" i="25"/>
  <c r="AX31" i="25"/>
  <c r="AA34" i="23"/>
  <c r="AA35" i="23" s="1"/>
  <c r="AA36" i="23" s="1"/>
  <c r="BC36" i="23" s="1"/>
  <c r="AE34" i="23"/>
  <c r="AE35" i="23" s="1"/>
  <c r="AE36" i="23" s="1"/>
  <c r="BG36" i="23" s="1"/>
  <c r="U34" i="23"/>
  <c r="U35" i="23" s="1"/>
  <c r="U36" i="23" s="1"/>
  <c r="AW36" i="23" s="1"/>
  <c r="J34" i="23"/>
  <c r="J35" i="23" s="1"/>
  <c r="J36" i="23" s="1"/>
  <c r="AL36" i="23" s="1"/>
  <c r="K34" i="23"/>
  <c r="K35" i="23" s="1"/>
  <c r="K36" i="23" s="1"/>
  <c r="AM36" i="23" s="1"/>
  <c r="L34" i="23"/>
  <c r="L35" i="23" s="1"/>
  <c r="L36" i="23" s="1"/>
  <c r="AN36" i="23" s="1"/>
  <c r="AC34" i="23"/>
  <c r="AC35" i="23" s="1"/>
  <c r="AC36" i="23" s="1"/>
  <c r="BE36" i="23" s="1"/>
  <c r="P34" i="23"/>
  <c r="P35" i="23" s="1"/>
  <c r="P36" i="23" s="1"/>
  <c r="AR36" i="23" s="1"/>
  <c r="S34" i="23"/>
  <c r="S35" i="23" s="1"/>
  <c r="S36" i="23" s="1"/>
  <c r="AU36" i="23" s="1"/>
  <c r="R34" i="23"/>
  <c r="R35" i="23" s="1"/>
  <c r="R36" i="23" s="1"/>
  <c r="AT36" i="23" s="1"/>
  <c r="I34" i="23"/>
  <c r="I35" i="23" s="1"/>
  <c r="I36" i="23" s="1"/>
  <c r="AK36" i="23" s="1"/>
  <c r="Z34" i="23"/>
  <c r="Z35" i="23" s="1"/>
  <c r="Z36" i="23" s="1"/>
  <c r="BB36" i="23" s="1"/>
  <c r="O34" i="23"/>
  <c r="O35" i="23" s="1"/>
  <c r="O36" i="23" s="1"/>
  <c r="AQ36" i="23" s="1"/>
  <c r="AB34" i="23"/>
  <c r="AB35" i="23" s="1"/>
  <c r="AB36" i="23" s="1"/>
  <c r="BD36" i="23" s="1"/>
  <c r="M34" i="23"/>
  <c r="M35" i="23" s="1"/>
  <c r="M36" i="23" s="1"/>
  <c r="AO36" i="23" s="1"/>
  <c r="H34" i="23"/>
  <c r="H35" i="23" s="1"/>
  <c r="H36" i="23" s="1"/>
  <c r="AJ36" i="23" s="1"/>
  <c r="Y34" i="23"/>
  <c r="Y35" i="23" s="1"/>
  <c r="Y36" i="23" s="1"/>
  <c r="BA36" i="23" s="1"/>
  <c r="Q34" i="23"/>
  <c r="Q35" i="23" s="1"/>
  <c r="Q36" i="23" s="1"/>
  <c r="AS36" i="23" s="1"/>
  <c r="G34" i="23"/>
  <c r="G35" i="23" s="1"/>
  <c r="G36" i="23" s="1"/>
  <c r="AI36" i="23" s="1"/>
  <c r="W34" i="23"/>
  <c r="W35" i="23" s="1"/>
  <c r="W36" i="23" s="1"/>
  <c r="AY36" i="23" s="1"/>
  <c r="BF31" i="23"/>
  <c r="AT31" i="23"/>
  <c r="AW31" i="23"/>
  <c r="AQ31" i="23"/>
  <c r="AV31" i="23"/>
  <c r="BB31" i="23"/>
  <c r="AK31" i="23"/>
  <c r="BG31" i="23"/>
  <c r="AS31" i="23"/>
  <c r="AU31" i="23"/>
  <c r="BD31" i="23"/>
  <c r="AX31" i="23"/>
  <c r="AH31" i="23"/>
  <c r="AM31" i="23"/>
  <c r="AN31" i="23"/>
  <c r="AL31" i="23"/>
  <c r="BE31" i="23"/>
  <c r="BC31" i="23"/>
  <c r="AY31" i="23"/>
  <c r="AR31" i="23"/>
  <c r="AJ31" i="23"/>
  <c r="AO31" i="23"/>
  <c r="BA31" i="23"/>
  <c r="AI31" i="23"/>
  <c r="AZ31" i="23"/>
  <c r="AP31" i="23"/>
  <c r="T34" i="23"/>
  <c r="T35" i="23" s="1"/>
  <c r="T36" i="23" s="1"/>
  <c r="AV36" i="23" s="1"/>
  <c r="V34" i="23"/>
  <c r="V35" i="23" s="1"/>
  <c r="V36" i="23" s="1"/>
  <c r="AX36" i="23" s="1"/>
  <c r="F34" i="23"/>
  <c r="F35" i="23" s="1"/>
  <c r="F36" i="23" s="1"/>
  <c r="X34" i="23"/>
  <c r="X35" i="23" s="1"/>
  <c r="X36" i="23" s="1"/>
  <c r="AZ36" i="23" s="1"/>
  <c r="N34" i="23"/>
  <c r="N35" i="23" s="1"/>
  <c r="N36" i="23" s="1"/>
  <c r="AP36" i="23" s="1"/>
  <c r="AD34" i="23"/>
  <c r="AD35" i="23" s="1"/>
  <c r="AD36" i="23" s="1"/>
  <c r="BF36" i="23" s="1"/>
  <c r="N39" i="1"/>
  <c r="O6" i="1"/>
  <c r="P12" i="1"/>
  <c r="AA37" i="31" l="1"/>
  <c r="BA36" i="31"/>
  <c r="BA37" i="31"/>
  <c r="AA59" i="31"/>
  <c r="BA59" i="31"/>
  <c r="BA58" i="31"/>
  <c r="AB69" i="31"/>
  <c r="BB68" i="31"/>
  <c r="BB69" i="31"/>
  <c r="AA35" i="31"/>
  <c r="BA34" i="31"/>
  <c r="BA35" i="31"/>
  <c r="AA65" i="31"/>
  <c r="BA65" i="31"/>
  <c r="BA64" i="31"/>
  <c r="AB61" i="31"/>
  <c r="BB60" i="31"/>
  <c r="BB61" i="31"/>
  <c r="AC55" i="31"/>
  <c r="BC54" i="31"/>
  <c r="BC55" i="31"/>
  <c r="AB73" i="31"/>
  <c r="BB72" i="31"/>
  <c r="BB73" i="31"/>
  <c r="AA57" i="31"/>
  <c r="BA57" i="31"/>
  <c r="BA56" i="31"/>
  <c r="AA53" i="31"/>
  <c r="BA52" i="31"/>
  <c r="BA53" i="31"/>
  <c r="AA43" i="31"/>
  <c r="BA43" i="31"/>
  <c r="BA42" i="31"/>
  <c r="AC45" i="31"/>
  <c r="BC45" i="31"/>
  <c r="BC44" i="31"/>
  <c r="AA51" i="31"/>
  <c r="BA50" i="31"/>
  <c r="BA51" i="31"/>
  <c r="AB77" i="31"/>
  <c r="BB76" i="31"/>
  <c r="BB77" i="31"/>
  <c r="AA67" i="31"/>
  <c r="BA67" i="31"/>
  <c r="BA66" i="31"/>
  <c r="AB49" i="31"/>
  <c r="BB49" i="31"/>
  <c r="BB48" i="31"/>
  <c r="AA63" i="31"/>
  <c r="BA63" i="31"/>
  <c r="BA62" i="31"/>
  <c r="AB39" i="31"/>
  <c r="BB39" i="31"/>
  <c r="BB38" i="31"/>
  <c r="AC41" i="31"/>
  <c r="BC40" i="31"/>
  <c r="BC41" i="31"/>
  <c r="AR31" i="29"/>
  <c r="M32" i="29"/>
  <c r="M34" i="29" s="1"/>
  <c r="M35" i="29" s="1"/>
  <c r="M36" i="29" s="1"/>
  <c r="AO36" i="29" s="1"/>
  <c r="AO35" i="29" s="1"/>
  <c r="Z32" i="29"/>
  <c r="Z34" i="29" s="1"/>
  <c r="Z35" i="29" s="1"/>
  <c r="Z36" i="29" s="1"/>
  <c r="BB36" i="29" s="1"/>
  <c r="BB35" i="29" s="1"/>
  <c r="W32" i="29"/>
  <c r="W34" i="29" s="1"/>
  <c r="W35" i="29" s="1"/>
  <c r="W36" i="29" s="1"/>
  <c r="AY36" i="29" s="1"/>
  <c r="AY35" i="29" s="1"/>
  <c r="AD32" i="29"/>
  <c r="AD34" i="29" s="1"/>
  <c r="AD35" i="29" s="1"/>
  <c r="AD36" i="29" s="1"/>
  <c r="BF36" i="29" s="1"/>
  <c r="BF34" i="29" s="1"/>
  <c r="Y32" i="29"/>
  <c r="Y34" i="29" s="1"/>
  <c r="Y35" i="29" s="1"/>
  <c r="Y36" i="29" s="1"/>
  <c r="BA36" i="29" s="1"/>
  <c r="G32" i="29"/>
  <c r="G34" i="29" s="1"/>
  <c r="G35" i="29" s="1"/>
  <c r="G36" i="29" s="1"/>
  <c r="AI36" i="29" s="1"/>
  <c r="AI35" i="29" s="1"/>
  <c r="O32" i="29"/>
  <c r="O34" i="29" s="1"/>
  <c r="O35" i="29" s="1"/>
  <c r="O36" i="29" s="1"/>
  <c r="AQ36" i="29" s="1"/>
  <c r="AQ34" i="29" s="1"/>
  <c r="Q32" i="29"/>
  <c r="Q34" i="29" s="1"/>
  <c r="Q35" i="29" s="1"/>
  <c r="Q36" i="29" s="1"/>
  <c r="AS36" i="29" s="1"/>
  <c r="AS35" i="29" s="1"/>
  <c r="F32" i="29"/>
  <c r="F34" i="29" s="1"/>
  <c r="F35" i="29" s="1"/>
  <c r="F36" i="29" s="1"/>
  <c r="AH36" i="29" s="1"/>
  <c r="AE32" i="29"/>
  <c r="AE34" i="29" s="1"/>
  <c r="AE35" i="29" s="1"/>
  <c r="AE36" i="29" s="1"/>
  <c r="BG36" i="29" s="1"/>
  <c r="BG35" i="29" s="1"/>
  <c r="K32" i="29"/>
  <c r="K34" i="29" s="1"/>
  <c r="K35" i="29" s="1"/>
  <c r="K36" i="29" s="1"/>
  <c r="AM36" i="29" s="1"/>
  <c r="AM34" i="29" s="1"/>
  <c r="AC32" i="29"/>
  <c r="AC34" i="29" s="1"/>
  <c r="AC35" i="29" s="1"/>
  <c r="AC36" i="29" s="1"/>
  <c r="BE36" i="29" s="1"/>
  <c r="BE35" i="29" s="1"/>
  <c r="L32" i="29"/>
  <c r="L34" i="29" s="1"/>
  <c r="L35" i="29" s="1"/>
  <c r="L36" i="29" s="1"/>
  <c r="AN36" i="29" s="1"/>
  <c r="AN35" i="29" s="1"/>
  <c r="I32" i="29"/>
  <c r="I34" i="29" s="1"/>
  <c r="I35" i="29" s="1"/>
  <c r="I36" i="29" s="1"/>
  <c r="AK36" i="29" s="1"/>
  <c r="AK35" i="29" s="1"/>
  <c r="X32" i="29"/>
  <c r="X34" i="29" s="1"/>
  <c r="X35" i="29" s="1"/>
  <c r="X36" i="29" s="1"/>
  <c r="AZ36" i="29" s="1"/>
  <c r="AZ35" i="29" s="1"/>
  <c r="P32" i="29"/>
  <c r="P34" i="29" s="1"/>
  <c r="P35" i="29" s="1"/>
  <c r="P36" i="29" s="1"/>
  <c r="AR36" i="29" s="1"/>
  <c r="AR34" i="29" s="1"/>
  <c r="H32" i="29"/>
  <c r="H34" i="29" s="1"/>
  <c r="H35" i="29" s="1"/>
  <c r="H36" i="29" s="1"/>
  <c r="AJ36" i="29" s="1"/>
  <c r="AJ35" i="29" s="1"/>
  <c r="AA32" i="29"/>
  <c r="AA34" i="29" s="1"/>
  <c r="R32" i="29"/>
  <c r="R34" i="29" s="1"/>
  <c r="R35" i="29" s="1"/>
  <c r="R36" i="29" s="1"/>
  <c r="AT36" i="29" s="1"/>
  <c r="AT35" i="29" s="1"/>
  <c r="S32" i="29"/>
  <c r="S34" i="29" s="1"/>
  <c r="S35" i="29" s="1"/>
  <c r="S36" i="29" s="1"/>
  <c r="AU36" i="29" s="1"/>
  <c r="AU34" i="29" s="1"/>
  <c r="U32" i="29"/>
  <c r="U34" i="29" s="1"/>
  <c r="J32" i="29"/>
  <c r="J34" i="29" s="1"/>
  <c r="J35" i="29" s="1"/>
  <c r="J36" i="29" s="1"/>
  <c r="AL36" i="29" s="1"/>
  <c r="AL35" i="29" s="1"/>
  <c r="T32" i="29"/>
  <c r="T34" i="29" s="1"/>
  <c r="T35" i="29" s="1"/>
  <c r="T36" i="29" s="1"/>
  <c r="AV36" i="29" s="1"/>
  <c r="N32" i="29"/>
  <c r="N34" i="29" s="1"/>
  <c r="N35" i="29" s="1"/>
  <c r="N36" i="29" s="1"/>
  <c r="AP36" i="29" s="1"/>
  <c r="AP34" i="29" s="1"/>
  <c r="AB32" i="29"/>
  <c r="AB34" i="29" s="1"/>
  <c r="AI31" i="24"/>
  <c r="AY31" i="26"/>
  <c r="AK31" i="29"/>
  <c r="AA35" i="27"/>
  <c r="AA36" i="27" s="1"/>
  <c r="BC36" i="27" s="1"/>
  <c r="U35" i="27"/>
  <c r="U36" i="27" s="1"/>
  <c r="AW36" i="27" s="1"/>
  <c r="P34" i="27"/>
  <c r="P35" i="27" s="1"/>
  <c r="P36" i="27" s="1"/>
  <c r="R34" i="27"/>
  <c r="R35" i="27" s="1"/>
  <c r="R36" i="27" s="1"/>
  <c r="AT36" i="27" s="1"/>
  <c r="AX31" i="26"/>
  <c r="BC31" i="26"/>
  <c r="AQ31" i="26"/>
  <c r="AI31" i="26"/>
  <c r="BD31" i="26"/>
  <c r="AR31" i="26"/>
  <c r="AL31" i="26"/>
  <c r="BE31" i="26"/>
  <c r="BG31" i="26"/>
  <c r="AP31" i="26"/>
  <c r="AW31" i="26"/>
  <c r="BF31" i="26"/>
  <c r="AM31" i="26"/>
  <c r="AN31" i="26"/>
  <c r="AT31" i="26"/>
  <c r="AS31" i="26"/>
  <c r="AH31" i="26"/>
  <c r="AJ31" i="26"/>
  <c r="AU31" i="26"/>
  <c r="AZ31" i="26"/>
  <c r="BB31" i="26"/>
  <c r="BA31" i="26"/>
  <c r="AV31" i="26"/>
  <c r="AK31" i="26"/>
  <c r="AO31" i="24"/>
  <c r="BG31" i="24"/>
  <c r="AV31" i="24"/>
  <c r="AJ31" i="24"/>
  <c r="AX31" i="24"/>
  <c r="AP31" i="24"/>
  <c r="AJ31" i="29"/>
  <c r="AS31" i="24"/>
  <c r="BE31" i="24"/>
  <c r="AW31" i="24"/>
  <c r="AP31" i="29"/>
  <c r="BD31" i="24"/>
  <c r="AU31" i="24"/>
  <c r="AQ31" i="24"/>
  <c r="BA31" i="24"/>
  <c r="AI31" i="29"/>
  <c r="BC31" i="24"/>
  <c r="AL31" i="24"/>
  <c r="AN31" i="24"/>
  <c r="AR31" i="24"/>
  <c r="BF31" i="24"/>
  <c r="AM31" i="24"/>
  <c r="BC31" i="29"/>
  <c r="BG31" i="29"/>
  <c r="AY31" i="24"/>
  <c r="AT31" i="24"/>
  <c r="AK31" i="24"/>
  <c r="AX31" i="29"/>
  <c r="BB31" i="24"/>
  <c r="AZ31" i="24"/>
  <c r="AH31" i="24"/>
  <c r="AY31" i="29"/>
  <c r="AH31" i="29"/>
  <c r="AQ31" i="29"/>
  <c r="BD31" i="29"/>
  <c r="AW31" i="29"/>
  <c r="BA31" i="29"/>
  <c r="AO31" i="29"/>
  <c r="AV31" i="29"/>
  <c r="AS31" i="29"/>
  <c r="AU31" i="29"/>
  <c r="AT31" i="29"/>
  <c r="AL31" i="29"/>
  <c r="BF31" i="29"/>
  <c r="AZ31" i="29"/>
  <c r="BE31" i="29"/>
  <c r="BB31" i="29"/>
  <c r="AN31" i="29"/>
  <c r="AM31" i="29"/>
  <c r="AO31" i="26"/>
  <c r="G32" i="24"/>
  <c r="G34" i="24" s="1"/>
  <c r="G35" i="24" s="1"/>
  <c r="G36" i="24" s="1"/>
  <c r="AI36" i="24" s="1"/>
  <c r="AI34" i="24" s="1"/>
  <c r="Y32" i="24"/>
  <c r="AC32" i="24"/>
  <c r="AC34" i="24" s="1"/>
  <c r="AC35" i="24" s="1"/>
  <c r="AC36" i="24" s="1"/>
  <c r="BE36" i="24" s="1"/>
  <c r="BE34" i="24" s="1"/>
  <c r="AD32" i="24"/>
  <c r="AD34" i="24" s="1"/>
  <c r="Z32" i="24"/>
  <c r="Z34" i="24" s="1"/>
  <c r="Z35" i="24" s="1"/>
  <c r="Z36" i="24" s="1"/>
  <c r="BB36" i="24" s="1"/>
  <c r="BB35" i="24" s="1"/>
  <c r="AB32" i="24"/>
  <c r="O32" i="24"/>
  <c r="O34" i="24" s="1"/>
  <c r="O35" i="24" s="1"/>
  <c r="O36" i="24" s="1"/>
  <c r="AQ36" i="24" s="1"/>
  <c r="AQ34" i="24" s="1"/>
  <c r="J32" i="24"/>
  <c r="L32" i="24"/>
  <c r="L34" i="24" s="1"/>
  <c r="L35" i="24" s="1"/>
  <c r="L36" i="24" s="1"/>
  <c r="AN36" i="24" s="1"/>
  <c r="AN34" i="24" s="1"/>
  <c r="Q32" i="24"/>
  <c r="Q34" i="24" s="1"/>
  <c r="Q35" i="24" s="1"/>
  <c r="Q36" i="24" s="1"/>
  <c r="AS36" i="24" s="1"/>
  <c r="AS34" i="24" s="1"/>
  <c r="V32" i="24"/>
  <c r="V34" i="24" s="1"/>
  <c r="V35" i="24" s="1"/>
  <c r="V36" i="24" s="1"/>
  <c r="AX36" i="24" s="1"/>
  <c r="AX35" i="24" s="1"/>
  <c r="R32" i="24"/>
  <c r="R34" i="24" s="1"/>
  <c r="R35" i="24" s="1"/>
  <c r="R36" i="24" s="1"/>
  <c r="AT36" i="24" s="1"/>
  <c r="AT35" i="24" s="1"/>
  <c r="AA32" i="24"/>
  <c r="AA34" i="24" s="1"/>
  <c r="H32" i="24"/>
  <c r="W32" i="24"/>
  <c r="W34" i="24" s="1"/>
  <c r="AE32" i="24"/>
  <c r="AE34" i="24" s="1"/>
  <c r="AE35" i="24" s="1"/>
  <c r="AE36" i="24" s="1"/>
  <c r="BG36" i="24" s="1"/>
  <c r="BG34" i="24" s="1"/>
  <c r="F32" i="24"/>
  <c r="F34" i="24" s="1"/>
  <c r="F35" i="24" s="1"/>
  <c r="F36" i="24" s="1"/>
  <c r="AH36" i="24" s="1"/>
  <c r="S32" i="24"/>
  <c r="S34" i="24" s="1"/>
  <c r="K32" i="24"/>
  <c r="K34" i="24" s="1"/>
  <c r="K35" i="24" s="1"/>
  <c r="K36" i="24" s="1"/>
  <c r="AM36" i="24" s="1"/>
  <c r="AM34" i="24" s="1"/>
  <c r="T32" i="24"/>
  <c r="T34" i="24" s="1"/>
  <c r="T35" i="24" s="1"/>
  <c r="T36" i="24" s="1"/>
  <c r="AV36" i="24" s="1"/>
  <c r="AV35" i="24" s="1"/>
  <c r="P32" i="24"/>
  <c r="P34" i="24" s="1"/>
  <c r="P35" i="24" s="1"/>
  <c r="P36" i="24" s="1"/>
  <c r="AR36" i="24" s="1"/>
  <c r="AR34" i="24" s="1"/>
  <c r="N32" i="24"/>
  <c r="N34" i="24" s="1"/>
  <c r="N35" i="24" s="1"/>
  <c r="N36" i="24" s="1"/>
  <c r="AP36" i="24" s="1"/>
  <c r="AP34" i="24" s="1"/>
  <c r="M32" i="24"/>
  <c r="M34" i="24" s="1"/>
  <c r="M35" i="24" s="1"/>
  <c r="M36" i="24" s="1"/>
  <c r="AO36" i="24" s="1"/>
  <c r="AO34" i="24" s="1"/>
  <c r="X32" i="24"/>
  <c r="X34" i="24" s="1"/>
  <c r="X35" i="24" s="1"/>
  <c r="X36" i="24" s="1"/>
  <c r="AZ36" i="24" s="1"/>
  <c r="AZ35" i="24" s="1"/>
  <c r="U32" i="24"/>
  <c r="U34" i="24" s="1"/>
  <c r="U35" i="24" s="1"/>
  <c r="U36" i="24" s="1"/>
  <c r="AW36" i="24" s="1"/>
  <c r="AW35" i="24" s="1"/>
  <c r="G32" i="26"/>
  <c r="G34" i="26" s="1"/>
  <c r="G35" i="26" s="1"/>
  <c r="G36" i="26" s="1"/>
  <c r="AI36" i="26" s="1"/>
  <c r="AI34" i="26" s="1"/>
  <c r="S32" i="26"/>
  <c r="AC32" i="26"/>
  <c r="AC34" i="26" s="1"/>
  <c r="AC35" i="26" s="1"/>
  <c r="AC36" i="26" s="1"/>
  <c r="BE36" i="26" s="1"/>
  <c r="BE34" i="26" s="1"/>
  <c r="K32" i="26"/>
  <c r="K34" i="26" s="1"/>
  <c r="V32" i="26"/>
  <c r="V34" i="26" s="1"/>
  <c r="V35" i="26" s="1"/>
  <c r="V36" i="26" s="1"/>
  <c r="AX36" i="26" s="1"/>
  <c r="AX34" i="26" s="1"/>
  <c r="P32" i="26"/>
  <c r="P34" i="26" s="1"/>
  <c r="P35" i="26" s="1"/>
  <c r="P36" i="26" s="1"/>
  <c r="AR36" i="26" s="1"/>
  <c r="AR34" i="26" s="1"/>
  <c r="AA32" i="26"/>
  <c r="AA34" i="26" s="1"/>
  <c r="AA35" i="26" s="1"/>
  <c r="AA36" i="26" s="1"/>
  <c r="BC36" i="26" s="1"/>
  <c r="BC35" i="26" s="1"/>
  <c r="I32" i="26"/>
  <c r="W32" i="26"/>
  <c r="W34" i="26" s="1"/>
  <c r="W35" i="26" s="1"/>
  <c r="W36" i="26" s="1"/>
  <c r="AY36" i="26" s="1"/>
  <c r="AY35" i="26" s="1"/>
  <c r="T32" i="26"/>
  <c r="AE32" i="26"/>
  <c r="AE34" i="26" s="1"/>
  <c r="O32" i="26"/>
  <c r="O34" i="26" s="1"/>
  <c r="M32" i="26"/>
  <c r="M34" i="26" s="1"/>
  <c r="M35" i="26" s="1"/>
  <c r="M36" i="26" s="1"/>
  <c r="AO36" i="26" s="1"/>
  <c r="AO34" i="26" s="1"/>
  <c r="N32" i="26"/>
  <c r="N34" i="26" s="1"/>
  <c r="N35" i="26" s="1"/>
  <c r="N36" i="26" s="1"/>
  <c r="AP36" i="26" s="1"/>
  <c r="AP35" i="26" s="1"/>
  <c r="Y32" i="26"/>
  <c r="Y34" i="26" s="1"/>
  <c r="F32" i="26"/>
  <c r="Z32" i="26"/>
  <c r="Z34" i="26" s="1"/>
  <c r="Z35" i="26" s="1"/>
  <c r="Z36" i="26" s="1"/>
  <c r="BB36" i="26" s="1"/>
  <c r="BB34" i="26" s="1"/>
  <c r="L32" i="26"/>
  <c r="L34" i="26" s="1"/>
  <c r="L35" i="26" s="1"/>
  <c r="L36" i="26" s="1"/>
  <c r="AN36" i="26" s="1"/>
  <c r="AN34" i="26" s="1"/>
  <c r="Q32" i="26"/>
  <c r="Q34" i="26" s="1"/>
  <c r="Q35" i="26" s="1"/>
  <c r="Q36" i="26" s="1"/>
  <c r="AS36" i="26" s="1"/>
  <c r="AS34" i="26" s="1"/>
  <c r="X32" i="26"/>
  <c r="X34" i="26" s="1"/>
  <c r="X35" i="26" s="1"/>
  <c r="X36" i="26" s="1"/>
  <c r="AZ36" i="26" s="1"/>
  <c r="AZ34" i="26" s="1"/>
  <c r="H32" i="26"/>
  <c r="H34" i="26" s="1"/>
  <c r="H35" i="26" s="1"/>
  <c r="H36" i="26" s="1"/>
  <c r="AJ36" i="26" s="1"/>
  <c r="AJ35" i="26" s="1"/>
  <c r="U32" i="26"/>
  <c r="U34" i="26" s="1"/>
  <c r="U35" i="26" s="1"/>
  <c r="U36" i="26" s="1"/>
  <c r="AW36" i="26" s="1"/>
  <c r="AW35" i="26" s="1"/>
  <c r="R32" i="26"/>
  <c r="R34" i="26" s="1"/>
  <c r="R35" i="26" s="1"/>
  <c r="R36" i="26" s="1"/>
  <c r="AT36" i="26" s="1"/>
  <c r="J32" i="26"/>
  <c r="J34" i="26" s="1"/>
  <c r="J35" i="26" s="1"/>
  <c r="J36" i="26" s="1"/>
  <c r="AL36" i="26" s="1"/>
  <c r="AL35" i="26" s="1"/>
  <c r="AB32" i="26"/>
  <c r="AD34" i="26"/>
  <c r="AD35" i="26" s="1"/>
  <c r="AD36" i="26" s="1"/>
  <c r="BF36" i="26" s="1"/>
  <c r="S34" i="25"/>
  <c r="S35" i="25" s="1"/>
  <c r="S36" i="25" s="1"/>
  <c r="AU36" i="25" s="1"/>
  <c r="I35" i="25"/>
  <c r="I36" i="25" s="1"/>
  <c r="AK36" i="25" s="1"/>
  <c r="AK35" i="25" s="1"/>
  <c r="AD34" i="25"/>
  <c r="AD35" i="25" s="1"/>
  <c r="AD36" i="25" s="1"/>
  <c r="BF36" i="25" s="1"/>
  <c r="K34" i="25"/>
  <c r="K35" i="25" s="1"/>
  <c r="K36" i="25" s="1"/>
  <c r="AM36" i="25" s="1"/>
  <c r="AB35" i="25"/>
  <c r="AB36" i="25" s="1"/>
  <c r="BD36" i="25" s="1"/>
  <c r="BD34" i="25" s="1"/>
  <c r="F34" i="28"/>
  <c r="F35" i="28" s="1"/>
  <c r="F36" i="28" s="1"/>
  <c r="AH36" i="28" s="1"/>
  <c r="M34" i="25"/>
  <c r="M35" i="25" s="1"/>
  <c r="M36" i="25" s="1"/>
  <c r="AO36" i="25" s="1"/>
  <c r="AE34" i="28"/>
  <c r="AE35" i="28" s="1"/>
  <c r="AE36" i="28" s="1"/>
  <c r="BG36" i="28" s="1"/>
  <c r="F34" i="25"/>
  <c r="F35" i="25" s="1"/>
  <c r="F36" i="25" s="1"/>
  <c r="AH36" i="25" s="1"/>
  <c r="H35" i="25"/>
  <c r="H36" i="25" s="1"/>
  <c r="AJ36" i="25" s="1"/>
  <c r="AJ35" i="25" s="1"/>
  <c r="W35" i="25"/>
  <c r="W36" i="25" s="1"/>
  <c r="AY36" i="25" s="1"/>
  <c r="AY34" i="25" s="1"/>
  <c r="G35" i="25"/>
  <c r="G36" i="25" s="1"/>
  <c r="AI36" i="25" s="1"/>
  <c r="AI35" i="25" s="1"/>
  <c r="V34" i="28"/>
  <c r="V35" i="28" s="1"/>
  <c r="V36" i="28" s="1"/>
  <c r="AX36" i="28" s="1"/>
  <c r="O35" i="25"/>
  <c r="O36" i="25" s="1"/>
  <c r="AQ36" i="25" s="1"/>
  <c r="AQ35" i="25" s="1"/>
  <c r="AE34" i="25"/>
  <c r="AE35" i="25" s="1"/>
  <c r="AE36" i="25" s="1"/>
  <c r="BG36" i="25" s="1"/>
  <c r="T34" i="25"/>
  <c r="T35" i="25" s="1"/>
  <c r="T36" i="25" s="1"/>
  <c r="AV36" i="25" s="1"/>
  <c r="AV34" i="25" s="1"/>
  <c r="Z35" i="25"/>
  <c r="Z36" i="25" s="1"/>
  <c r="BB36" i="25" s="1"/>
  <c r="BB35" i="25" s="1"/>
  <c r="W34" i="28"/>
  <c r="W35" i="28" s="1"/>
  <c r="W36" i="28" s="1"/>
  <c r="AY36" i="28" s="1"/>
  <c r="AY34" i="28" s="1"/>
  <c r="AA35" i="28"/>
  <c r="AA36" i="28" s="1"/>
  <c r="BC36" i="28" s="1"/>
  <c r="BC35" i="28" s="1"/>
  <c r="L34" i="28"/>
  <c r="L35" i="28" s="1"/>
  <c r="L36" i="28" s="1"/>
  <c r="AN36" i="28" s="1"/>
  <c r="AN34" i="28" s="1"/>
  <c r="X34" i="28"/>
  <c r="X35" i="28" s="1"/>
  <c r="X36" i="28" s="1"/>
  <c r="AZ36" i="28" s="1"/>
  <c r="P35" i="28"/>
  <c r="P36" i="28" s="1"/>
  <c r="AR36" i="28" s="1"/>
  <c r="AR35" i="28" s="1"/>
  <c r="Q34" i="28"/>
  <c r="Q35" i="28" s="1"/>
  <c r="Q36" i="28" s="1"/>
  <c r="AS36" i="28" s="1"/>
  <c r="AS35" i="28" s="1"/>
  <c r="Y34" i="28"/>
  <c r="Y35" i="28" s="1"/>
  <c r="Y36" i="28" s="1"/>
  <c r="BA36" i="28" s="1"/>
  <c r="AD34" i="28"/>
  <c r="AD35" i="28" s="1"/>
  <c r="AD36" i="28" s="1"/>
  <c r="BF36" i="28" s="1"/>
  <c r="BF35" i="28" s="1"/>
  <c r="Z34" i="28"/>
  <c r="Z35" i="28" s="1"/>
  <c r="Z36" i="28" s="1"/>
  <c r="BB36" i="28" s="1"/>
  <c r="BB35" i="28" s="1"/>
  <c r="I34" i="28"/>
  <c r="I35" i="28" s="1"/>
  <c r="I36" i="28" s="1"/>
  <c r="AK36" i="28" s="1"/>
  <c r="AK35" i="28" s="1"/>
  <c r="U35" i="28"/>
  <c r="U36" i="28" s="1"/>
  <c r="AW36" i="28" s="1"/>
  <c r="AW35" i="28" s="1"/>
  <c r="N34" i="28"/>
  <c r="N35" i="28" s="1"/>
  <c r="N36" i="28" s="1"/>
  <c r="AP36" i="28" s="1"/>
  <c r="O35" i="28"/>
  <c r="O36" i="28" s="1"/>
  <c r="AQ36" i="28" s="1"/>
  <c r="AQ35" i="28" s="1"/>
  <c r="AC34" i="28"/>
  <c r="AC35" i="28" s="1"/>
  <c r="AC36" i="28" s="1"/>
  <c r="BE36" i="28" s="1"/>
  <c r="R35" i="28"/>
  <c r="R36" i="28" s="1"/>
  <c r="AT36" i="28" s="1"/>
  <c r="AT34" i="28" s="1"/>
  <c r="S34" i="28"/>
  <c r="S35" i="28" s="1"/>
  <c r="S36" i="28" s="1"/>
  <c r="AU36" i="28" s="1"/>
  <c r="AX35" i="29"/>
  <c r="AX34" i="29"/>
  <c r="AV34" i="28"/>
  <c r="AV35" i="28"/>
  <c r="AM35" i="28"/>
  <c r="AM34" i="28"/>
  <c r="AL35" i="28"/>
  <c r="AL34" i="28"/>
  <c r="AO34" i="28"/>
  <c r="AO35" i="28"/>
  <c r="AI34" i="28"/>
  <c r="AI35" i="28"/>
  <c r="AJ35" i="28"/>
  <c r="AJ34" i="28"/>
  <c r="BD34" i="28"/>
  <c r="BD35" i="28"/>
  <c r="AN34" i="27"/>
  <c r="AN35" i="27"/>
  <c r="AS34" i="27"/>
  <c r="AS35" i="27"/>
  <c r="AQ35" i="27"/>
  <c r="AQ34" i="27"/>
  <c r="AP35" i="27"/>
  <c r="AP34" i="27"/>
  <c r="AO34" i="27"/>
  <c r="AO35" i="27"/>
  <c r="AZ34" i="27"/>
  <c r="AZ35" i="27"/>
  <c r="AI34" i="27"/>
  <c r="AI35" i="27"/>
  <c r="BF34" i="27"/>
  <c r="BF35" i="27"/>
  <c r="BG34" i="27"/>
  <c r="BG35" i="27"/>
  <c r="AH36" i="27"/>
  <c r="AU34" i="27"/>
  <c r="AU35" i="27"/>
  <c r="AM34" i="27"/>
  <c r="AM35" i="27"/>
  <c r="AL34" i="27"/>
  <c r="AL35" i="27"/>
  <c r="BD34" i="27"/>
  <c r="BD35" i="27"/>
  <c r="AV35" i="27"/>
  <c r="AV34" i="27"/>
  <c r="AJ35" i="27"/>
  <c r="AJ34" i="27"/>
  <c r="BE34" i="27"/>
  <c r="BE35" i="27"/>
  <c r="BB35" i="27"/>
  <c r="BB34" i="27"/>
  <c r="AK35" i="27"/>
  <c r="AK34" i="27"/>
  <c r="AX35" i="27"/>
  <c r="AX34" i="27"/>
  <c r="AY35" i="27"/>
  <c r="AY34" i="27"/>
  <c r="BA34" i="27"/>
  <c r="BA35" i="27"/>
  <c r="AN34" i="25"/>
  <c r="AN35" i="25"/>
  <c r="AZ34" i="25"/>
  <c r="AZ35" i="25"/>
  <c r="AP35" i="25"/>
  <c r="AP34" i="25"/>
  <c r="BC35" i="25"/>
  <c r="BC34" i="25"/>
  <c r="AW35" i="25"/>
  <c r="AW34" i="25"/>
  <c r="BE35" i="25"/>
  <c r="BE34" i="25"/>
  <c r="AT34" i="25"/>
  <c r="AT35" i="25"/>
  <c r="BA34" i="25"/>
  <c r="BA35" i="25"/>
  <c r="AX34" i="25"/>
  <c r="AX35" i="25"/>
  <c r="AR34" i="25"/>
  <c r="AR35" i="25"/>
  <c r="AS35" i="25"/>
  <c r="AS34" i="25"/>
  <c r="AL35" i="25"/>
  <c r="AL34" i="25"/>
  <c r="AK35" i="24"/>
  <c r="AK34" i="24"/>
  <c r="AN35" i="23"/>
  <c r="AN34" i="23"/>
  <c r="BF35" i="23"/>
  <c r="BF34" i="23"/>
  <c r="AL35" i="23"/>
  <c r="AL34" i="23"/>
  <c r="AY35" i="23"/>
  <c r="AY34" i="23"/>
  <c r="AS35" i="23"/>
  <c r="AS34" i="23"/>
  <c r="AR35" i="23"/>
  <c r="AR34" i="23"/>
  <c r="AJ35" i="23"/>
  <c r="AJ34" i="23"/>
  <c r="BD34" i="23"/>
  <c r="BD35" i="23"/>
  <c r="BB35" i="23"/>
  <c r="BB34" i="23"/>
  <c r="AT35" i="23"/>
  <c r="AT34" i="23"/>
  <c r="BG34" i="23"/>
  <c r="BG35" i="23"/>
  <c r="AP34" i="23"/>
  <c r="AP35" i="23"/>
  <c r="AF36" i="23"/>
  <c r="AH36" i="23"/>
  <c r="AV34" i="23"/>
  <c r="AV35" i="23"/>
  <c r="AQ35" i="23"/>
  <c r="AQ34" i="23"/>
  <c r="AK35" i="23"/>
  <c r="AK34" i="23"/>
  <c r="AW35" i="23"/>
  <c r="AW34" i="23"/>
  <c r="AZ35" i="23"/>
  <c r="AZ34" i="23"/>
  <c r="AX34" i="23"/>
  <c r="AX35" i="23"/>
  <c r="BE34" i="23"/>
  <c r="BE35" i="23"/>
  <c r="AM35" i="23"/>
  <c r="AM34" i="23"/>
  <c r="BC35" i="23"/>
  <c r="BC34" i="23"/>
  <c r="AI34" i="23"/>
  <c r="AI35" i="23"/>
  <c r="BA34" i="23"/>
  <c r="BA35" i="23"/>
  <c r="AO34" i="23"/>
  <c r="AO35" i="23"/>
  <c r="AU34" i="23"/>
  <c r="AU35" i="23"/>
  <c r="O39" i="1"/>
  <c r="P6" i="1"/>
  <c r="Q12" i="1"/>
  <c r="AD41" i="31" l="1"/>
  <c r="BD40" i="31"/>
  <c r="BD41" i="31"/>
  <c r="AB43" i="31"/>
  <c r="BB43" i="31"/>
  <c r="BB42" i="31"/>
  <c r="AC69" i="31"/>
  <c r="BC68" i="31"/>
  <c r="BC69" i="31"/>
  <c r="AC49" i="31"/>
  <c r="BC49" i="31"/>
  <c r="BC48" i="31"/>
  <c r="AC73" i="31"/>
  <c r="BC72" i="31"/>
  <c r="BC73" i="31"/>
  <c r="AC39" i="31"/>
  <c r="BC39" i="31"/>
  <c r="BC38" i="31"/>
  <c r="AB53" i="31"/>
  <c r="BB52" i="31"/>
  <c r="BB53" i="31"/>
  <c r="AB59" i="31"/>
  <c r="BB59" i="31"/>
  <c r="BB58" i="31"/>
  <c r="AB65" i="31"/>
  <c r="BB64" i="31"/>
  <c r="BB65" i="31"/>
  <c r="AB67" i="31"/>
  <c r="BB67" i="31"/>
  <c r="BB66" i="31"/>
  <c r="AD55" i="31"/>
  <c r="BD55" i="31"/>
  <c r="BD54" i="31"/>
  <c r="AC77" i="31"/>
  <c r="BC76" i="31"/>
  <c r="BC77" i="31"/>
  <c r="AD45" i="31"/>
  <c r="BD44" i="31"/>
  <c r="BD45" i="31"/>
  <c r="AB35" i="31"/>
  <c r="BB35" i="31"/>
  <c r="BB34" i="31"/>
  <c r="AC61" i="31"/>
  <c r="BC60" i="31"/>
  <c r="BC61" i="31"/>
  <c r="AB51" i="31"/>
  <c r="BB51" i="31"/>
  <c r="BB50" i="31"/>
  <c r="AB63" i="31"/>
  <c r="BB63" i="31"/>
  <c r="BB62" i="31"/>
  <c r="AB57" i="31"/>
  <c r="BB57" i="31"/>
  <c r="BB56" i="31"/>
  <c r="AB37" i="31"/>
  <c r="BB37" i="31"/>
  <c r="BB36" i="31"/>
  <c r="AO34" i="29"/>
  <c r="AY34" i="29"/>
  <c r="AZ34" i="29"/>
  <c r="U35" i="29"/>
  <c r="U36" i="29" s="1"/>
  <c r="AW36" i="29" s="1"/>
  <c r="AW35" i="29" s="1"/>
  <c r="AM35" i="29"/>
  <c r="AJ34" i="29"/>
  <c r="AQ35" i="29"/>
  <c r="AS34" i="29"/>
  <c r="AK34" i="29"/>
  <c r="AR35" i="29"/>
  <c r="BG34" i="29"/>
  <c r="BF35" i="29"/>
  <c r="AI34" i="29"/>
  <c r="BE34" i="29"/>
  <c r="AA35" i="29"/>
  <c r="AA36" i="29" s="1"/>
  <c r="BC36" i="29" s="1"/>
  <c r="BC35" i="29" s="1"/>
  <c r="AT34" i="29"/>
  <c r="AN34" i="29"/>
  <c r="AL34" i="29"/>
  <c r="AB35" i="29"/>
  <c r="AB36" i="29" s="1"/>
  <c r="BD36" i="29" s="1"/>
  <c r="BD34" i="29" s="1"/>
  <c r="AP35" i="29"/>
  <c r="AW35" i="27"/>
  <c r="AW34" i="27"/>
  <c r="BC35" i="27"/>
  <c r="BC34" i="27"/>
  <c r="AT34" i="27"/>
  <c r="AT35" i="27"/>
  <c r="BA35" i="29"/>
  <c r="BA34" i="29"/>
  <c r="AR36" i="27"/>
  <c r="AF36" i="27"/>
  <c r="W38" i="27" s="1"/>
  <c r="AX34" i="28"/>
  <c r="AX35" i="28"/>
  <c r="AU34" i="25"/>
  <c r="AU35" i="25"/>
  <c r="AV35" i="29"/>
  <c r="AV34" i="29"/>
  <c r="AV34" i="24"/>
  <c r="AZ34" i="28"/>
  <c r="AZ35" i="28"/>
  <c r="AU35" i="29"/>
  <c r="BC34" i="26"/>
  <c r="AR35" i="26"/>
  <c r="AD35" i="24"/>
  <c r="AD36" i="24" s="1"/>
  <c r="BF36" i="24" s="1"/>
  <c r="BF35" i="24" s="1"/>
  <c r="AQ35" i="24"/>
  <c r="AM35" i="24"/>
  <c r="AI35" i="24"/>
  <c r="AA35" i="24"/>
  <c r="AA36" i="24" s="1"/>
  <c r="BC36" i="24" s="1"/>
  <c r="H34" i="24"/>
  <c r="H35" i="24" s="1"/>
  <c r="H36" i="24" s="1"/>
  <c r="AJ36" i="24" s="1"/>
  <c r="AI35" i="26"/>
  <c r="AB34" i="24"/>
  <c r="AB35" i="24" s="1"/>
  <c r="AB36" i="24" s="1"/>
  <c r="BD36" i="24" s="1"/>
  <c r="Y34" i="24"/>
  <c r="Y35" i="24" s="1"/>
  <c r="Y36" i="24" s="1"/>
  <c r="BA36" i="24" s="1"/>
  <c r="BB34" i="29"/>
  <c r="AS35" i="24"/>
  <c r="AN35" i="24"/>
  <c r="AZ34" i="24"/>
  <c r="J34" i="24"/>
  <c r="J35" i="24" s="1"/>
  <c r="J36" i="24" s="1"/>
  <c r="AL36" i="24" s="1"/>
  <c r="BE35" i="24"/>
  <c r="Y35" i="26"/>
  <c r="Y36" i="26" s="1"/>
  <c r="BA36" i="26" s="1"/>
  <c r="BA35" i="26" s="1"/>
  <c r="AP35" i="24"/>
  <c r="AT34" i="24"/>
  <c r="K35" i="26"/>
  <c r="K36" i="26" s="1"/>
  <c r="AM36" i="26" s="1"/>
  <c r="AX34" i="24"/>
  <c r="AW34" i="24"/>
  <c r="BB34" i="24"/>
  <c r="AX35" i="26"/>
  <c r="AR35" i="24"/>
  <c r="W35" i="24"/>
  <c r="W36" i="24" s="1"/>
  <c r="AY36" i="24" s="1"/>
  <c r="BG35" i="24"/>
  <c r="AO35" i="24"/>
  <c r="S35" i="24"/>
  <c r="S36" i="24" s="1"/>
  <c r="AU36" i="24" s="1"/>
  <c r="BE35" i="26"/>
  <c r="BB35" i="26"/>
  <c r="F34" i="26"/>
  <c r="F35" i="26" s="1"/>
  <c r="F36" i="26" s="1"/>
  <c r="AH36" i="26" s="1"/>
  <c r="AH35" i="26" s="1"/>
  <c r="I34" i="26"/>
  <c r="I35" i="26" s="1"/>
  <c r="I36" i="26" s="1"/>
  <c r="AK36" i="26" s="1"/>
  <c r="AK35" i="26" s="1"/>
  <c r="S34" i="26"/>
  <c r="S35" i="26" s="1"/>
  <c r="S36" i="26" s="1"/>
  <c r="AU36" i="26" s="1"/>
  <c r="AN35" i="26"/>
  <c r="AY34" i="26"/>
  <c r="AO35" i="26"/>
  <c r="AP34" i="26"/>
  <c r="AE35" i="26"/>
  <c r="AE36" i="26" s="1"/>
  <c r="BG36" i="26" s="1"/>
  <c r="BG34" i="26" s="1"/>
  <c r="O35" i="26"/>
  <c r="O36" i="26" s="1"/>
  <c r="AQ36" i="26" s="1"/>
  <c r="AQ35" i="26" s="1"/>
  <c r="T34" i="26"/>
  <c r="T35" i="26" s="1"/>
  <c r="T36" i="26" s="1"/>
  <c r="AV36" i="26" s="1"/>
  <c r="AV35" i="26" s="1"/>
  <c r="AS35" i="26"/>
  <c r="AL34" i="26"/>
  <c r="AZ35" i="26"/>
  <c r="AW34" i="26"/>
  <c r="AB34" i="26"/>
  <c r="AB35" i="26" s="1"/>
  <c r="AB36" i="26" s="1"/>
  <c r="BD36" i="26" s="1"/>
  <c r="BF34" i="25"/>
  <c r="BF35" i="25"/>
  <c r="BF34" i="26"/>
  <c r="BF35" i="26"/>
  <c r="AU35" i="28"/>
  <c r="AU34" i="28"/>
  <c r="AT35" i="26"/>
  <c r="AT34" i="26"/>
  <c r="AN35" i="28"/>
  <c r="AK34" i="25"/>
  <c r="AR34" i="28"/>
  <c r="AJ34" i="26"/>
  <c r="AO34" i="25"/>
  <c r="AO35" i="25"/>
  <c r="AM35" i="25"/>
  <c r="AM34" i="25"/>
  <c r="BA34" i="28"/>
  <c r="BA35" i="28"/>
  <c r="AI34" i="25"/>
  <c r="BD35" i="25"/>
  <c r="AP34" i="28"/>
  <c r="AP35" i="28"/>
  <c r="BE35" i="28"/>
  <c r="BE34" i="28"/>
  <c r="AY35" i="25"/>
  <c r="BG35" i="25"/>
  <c r="BG34" i="25"/>
  <c r="BG34" i="28"/>
  <c r="BG35" i="28"/>
  <c r="AV35" i="25"/>
  <c r="AY35" i="28"/>
  <c r="AQ34" i="25"/>
  <c r="AS34" i="28"/>
  <c r="AW34" i="28"/>
  <c r="AT35" i="28"/>
  <c r="AJ34" i="25"/>
  <c r="BC34" i="28"/>
  <c r="BF34" i="28"/>
  <c r="BB34" i="25"/>
  <c r="BB34" i="28"/>
  <c r="AF36" i="25"/>
  <c r="L38" i="25" s="1"/>
  <c r="AK34" i="28"/>
  <c r="AQ34" i="28"/>
  <c r="AF36" i="28"/>
  <c r="AD38" i="28" s="1"/>
  <c r="AH34" i="29"/>
  <c r="AH35" i="29"/>
  <c r="AH34" i="28"/>
  <c r="AH35" i="28"/>
  <c r="AH34" i="27"/>
  <c r="AH35" i="27"/>
  <c r="AH34" i="25"/>
  <c r="AH35" i="25"/>
  <c r="AH35" i="24"/>
  <c r="AH34" i="24"/>
  <c r="AD38" i="23"/>
  <c r="X38" i="23"/>
  <c r="R38" i="23"/>
  <c r="L38" i="23"/>
  <c r="F38" i="23"/>
  <c r="AB38" i="23"/>
  <c r="V38" i="23"/>
  <c r="P38" i="23"/>
  <c r="J38" i="23"/>
  <c r="AE38" i="23"/>
  <c r="Y38" i="23"/>
  <c r="S38" i="23"/>
  <c r="M38" i="23"/>
  <c r="G38" i="23"/>
  <c r="W38" i="23"/>
  <c r="K38" i="23"/>
  <c r="U38" i="23"/>
  <c r="I38" i="23"/>
  <c r="T38" i="23"/>
  <c r="H38" i="23"/>
  <c r="AC38" i="23"/>
  <c r="Q38" i="23"/>
  <c r="Z38" i="23"/>
  <c r="N38" i="23"/>
  <c r="AA38" i="23"/>
  <c r="O38" i="23"/>
  <c r="AH34" i="23"/>
  <c r="AH35" i="23"/>
  <c r="P39" i="1"/>
  <c r="Q6" i="1"/>
  <c r="R12" i="1"/>
  <c r="AC37" i="31" l="1"/>
  <c r="BC37" i="31"/>
  <c r="BC36" i="31"/>
  <c r="BE55" i="31"/>
  <c r="BE54" i="31"/>
  <c r="AD69" i="31"/>
  <c r="BD69" i="31"/>
  <c r="BD68" i="31"/>
  <c r="AC51" i="31"/>
  <c r="BC51" i="31"/>
  <c r="BC50" i="31"/>
  <c r="AC59" i="31"/>
  <c r="BC58" i="31"/>
  <c r="BC59" i="31"/>
  <c r="AD39" i="31"/>
  <c r="BD38" i="31"/>
  <c r="BD39" i="31"/>
  <c r="BE45" i="31"/>
  <c r="BE44" i="31"/>
  <c r="AD73" i="31"/>
  <c r="BD73" i="31"/>
  <c r="BD72" i="31"/>
  <c r="AC57" i="31"/>
  <c r="BC56" i="31"/>
  <c r="BC57" i="31"/>
  <c r="AC67" i="31"/>
  <c r="BC67" i="31"/>
  <c r="BC66" i="31"/>
  <c r="AC43" i="31"/>
  <c r="BC43" i="31"/>
  <c r="BC42" i="31"/>
  <c r="AD61" i="31"/>
  <c r="BD60" i="31"/>
  <c r="BD61" i="31"/>
  <c r="AC53" i="31"/>
  <c r="BC53" i="31"/>
  <c r="BC52" i="31"/>
  <c r="AD77" i="31"/>
  <c r="BD76" i="31"/>
  <c r="BD77" i="31"/>
  <c r="AD49" i="31"/>
  <c r="BD48" i="31"/>
  <c r="BD49" i="31"/>
  <c r="AC35" i="31"/>
  <c r="BC35" i="31"/>
  <c r="BC34" i="31"/>
  <c r="AC63" i="31"/>
  <c r="BC63" i="31"/>
  <c r="BC62" i="31"/>
  <c r="AC65" i="31"/>
  <c r="BC64" i="31"/>
  <c r="BC65" i="31"/>
  <c r="BE41" i="31"/>
  <c r="BE40" i="31"/>
  <c r="AW34" i="29"/>
  <c r="BC34" i="29"/>
  <c r="BD35" i="29"/>
  <c r="AF36" i="29"/>
  <c r="X38" i="29" s="1"/>
  <c r="X40" i="29" s="1"/>
  <c r="X41" i="29" s="1"/>
  <c r="X42" i="29" s="1"/>
  <c r="AZ42" i="29" s="1"/>
  <c r="AJ34" i="24"/>
  <c r="AJ35" i="24"/>
  <c r="T38" i="27"/>
  <c r="T40" i="27" s="1"/>
  <c r="T41" i="27" s="1"/>
  <c r="T42" i="27" s="1"/>
  <c r="AV42" i="27" s="1"/>
  <c r="H38" i="27"/>
  <c r="H40" i="27" s="1"/>
  <c r="H41" i="27" s="1"/>
  <c r="H42" i="27" s="1"/>
  <c r="AJ42" i="27" s="1"/>
  <c r="N38" i="27"/>
  <c r="N40" i="27" s="1"/>
  <c r="N41" i="27" s="1"/>
  <c r="N42" i="27" s="1"/>
  <c r="AP42" i="27" s="1"/>
  <c r="F38" i="27"/>
  <c r="F40" i="27" s="1"/>
  <c r="F41" i="27" s="1"/>
  <c r="F42" i="27" s="1"/>
  <c r="M38" i="27"/>
  <c r="M40" i="27" s="1"/>
  <c r="M41" i="27" s="1"/>
  <c r="M42" i="27" s="1"/>
  <c r="AO42" i="27" s="1"/>
  <c r="L38" i="27"/>
  <c r="L40" i="27" s="1"/>
  <c r="L41" i="27" s="1"/>
  <c r="L42" i="27" s="1"/>
  <c r="AN42" i="27" s="1"/>
  <c r="Y38" i="27"/>
  <c r="Y40" i="27" s="1"/>
  <c r="Y41" i="27" s="1"/>
  <c r="Y42" i="27" s="1"/>
  <c r="BA42" i="27" s="1"/>
  <c r="AC38" i="27"/>
  <c r="AC40" i="27" s="1"/>
  <c r="AC41" i="27" s="1"/>
  <c r="AC42" i="27" s="1"/>
  <c r="BE42" i="27" s="1"/>
  <c r="P38" i="27"/>
  <c r="P40" i="27" s="1"/>
  <c r="P41" i="27" s="1"/>
  <c r="P42" i="27" s="1"/>
  <c r="AR42" i="27" s="1"/>
  <c r="AE38" i="27"/>
  <c r="AE40" i="27" s="1"/>
  <c r="AE41" i="27" s="1"/>
  <c r="AE42" i="27" s="1"/>
  <c r="BG42" i="27" s="1"/>
  <c r="Z38" i="27"/>
  <c r="Z40" i="27" s="1"/>
  <c r="Z41" i="27" s="1"/>
  <c r="Z42" i="27" s="1"/>
  <c r="BB42" i="27" s="1"/>
  <c r="R38" i="27"/>
  <c r="R40" i="27" s="1"/>
  <c r="R41" i="27" s="1"/>
  <c r="R42" i="27" s="1"/>
  <c r="AT42" i="27" s="1"/>
  <c r="V38" i="27"/>
  <c r="V40" i="27" s="1"/>
  <c r="V41" i="27" s="1"/>
  <c r="V42" i="27" s="1"/>
  <c r="AX42" i="27" s="1"/>
  <c r="G38" i="27"/>
  <c r="G40" i="27" s="1"/>
  <c r="G41" i="27" s="1"/>
  <c r="G42" i="27" s="1"/>
  <c r="AI42" i="27" s="1"/>
  <c r="AB38" i="27"/>
  <c r="AB40" i="27" s="1"/>
  <c r="AB41" i="27" s="1"/>
  <c r="AB42" i="27" s="1"/>
  <c r="BD42" i="27" s="1"/>
  <c r="X38" i="27"/>
  <c r="X40" i="27" s="1"/>
  <c r="X41" i="27" s="1"/>
  <c r="X42" i="27" s="1"/>
  <c r="AZ42" i="27" s="1"/>
  <c r="AA38" i="27"/>
  <c r="AA40" i="27" s="1"/>
  <c r="AA41" i="27" s="1"/>
  <c r="AA42" i="27" s="1"/>
  <c r="BC42" i="27" s="1"/>
  <c r="S38" i="27"/>
  <c r="S40" i="27" s="1"/>
  <c r="S41" i="27" s="1"/>
  <c r="S42" i="27" s="1"/>
  <c r="AU42" i="27" s="1"/>
  <c r="K38" i="27"/>
  <c r="K40" i="27" s="1"/>
  <c r="AD38" i="27"/>
  <c r="AD40" i="27" s="1"/>
  <c r="AD41" i="27" s="1"/>
  <c r="AD42" i="27" s="1"/>
  <c r="BF42" i="27" s="1"/>
  <c r="J38" i="27"/>
  <c r="J40" i="27" s="1"/>
  <c r="J41" i="27" s="1"/>
  <c r="J42" i="27" s="1"/>
  <c r="AL42" i="27" s="1"/>
  <c r="I38" i="27"/>
  <c r="I40" i="27" s="1"/>
  <c r="I41" i="27" s="1"/>
  <c r="I42" i="27" s="1"/>
  <c r="AK42" i="27" s="1"/>
  <c r="Q38" i="27"/>
  <c r="O38" i="27"/>
  <c r="O40" i="27" s="1"/>
  <c r="O41" i="27" s="1"/>
  <c r="O42" i="27" s="1"/>
  <c r="AQ42" i="27" s="1"/>
  <c r="U38" i="27"/>
  <c r="U40" i="27" s="1"/>
  <c r="U41" i="27" s="1"/>
  <c r="U42" i="27" s="1"/>
  <c r="AW42" i="27" s="1"/>
  <c r="AR34" i="27"/>
  <c r="AR35" i="27"/>
  <c r="AU34" i="26"/>
  <c r="AU35" i="26"/>
  <c r="AL34" i="24"/>
  <c r="AL35" i="24"/>
  <c r="BD34" i="24"/>
  <c r="BD35" i="24"/>
  <c r="BA34" i="24"/>
  <c r="BA35" i="24"/>
  <c r="BC35" i="24"/>
  <c r="BC34" i="24"/>
  <c r="BA34" i="26"/>
  <c r="BF34" i="24"/>
  <c r="AF36" i="24"/>
  <c r="U38" i="24" s="1"/>
  <c r="U40" i="24" s="1"/>
  <c r="U41" i="24" s="1"/>
  <c r="U42" i="24" s="1"/>
  <c r="AW42" i="24" s="1"/>
  <c r="AY35" i="24"/>
  <c r="AY34" i="24"/>
  <c r="AU34" i="24"/>
  <c r="AU35" i="24"/>
  <c r="AV34" i="26"/>
  <c r="AM34" i="26"/>
  <c r="AM35" i="26"/>
  <c r="BG35" i="26"/>
  <c r="AK34" i="26"/>
  <c r="AQ34" i="26"/>
  <c r="AF36" i="26"/>
  <c r="Y38" i="26" s="1"/>
  <c r="Y40" i="26" s="1"/>
  <c r="Y41" i="26" s="1"/>
  <c r="Y42" i="26" s="1"/>
  <c r="BA42" i="26" s="1"/>
  <c r="BD35" i="26"/>
  <c r="BD34" i="26"/>
  <c r="AH34" i="26"/>
  <c r="J38" i="25"/>
  <c r="J40" i="25" s="1"/>
  <c r="Q38" i="25"/>
  <c r="AD38" i="25"/>
  <c r="AD40" i="25" s="1"/>
  <c r="AD41" i="25" s="1"/>
  <c r="AD42" i="25" s="1"/>
  <c r="BF42" i="25" s="1"/>
  <c r="P38" i="25"/>
  <c r="Z38" i="25"/>
  <c r="Z40" i="25" s="1"/>
  <c r="Z41" i="25" s="1"/>
  <c r="Z42" i="25" s="1"/>
  <c r="BB42" i="25" s="1"/>
  <c r="T38" i="25"/>
  <c r="T40" i="25" s="1"/>
  <c r="T41" i="25" s="1"/>
  <c r="T42" i="25" s="1"/>
  <c r="AV42" i="25" s="1"/>
  <c r="W38" i="25"/>
  <c r="N38" i="25"/>
  <c r="N40" i="25" s="1"/>
  <c r="N41" i="25" s="1"/>
  <c r="N42" i="25" s="1"/>
  <c r="AP42" i="25" s="1"/>
  <c r="AB38" i="25"/>
  <c r="G38" i="25"/>
  <c r="V38" i="25"/>
  <c r="V40" i="25" s="1"/>
  <c r="V41" i="25" s="1"/>
  <c r="V42" i="25" s="1"/>
  <c r="AX42" i="25" s="1"/>
  <c r="M38" i="25"/>
  <c r="M40" i="25" s="1"/>
  <c r="M41" i="25" s="1"/>
  <c r="M42" i="25" s="1"/>
  <c r="AO42" i="25" s="1"/>
  <c r="F38" i="25"/>
  <c r="F40" i="25" s="1"/>
  <c r="F41" i="25" s="1"/>
  <c r="F42" i="25" s="1"/>
  <c r="H38" i="25"/>
  <c r="H40" i="25" s="1"/>
  <c r="H41" i="25" s="1"/>
  <c r="H42" i="25" s="1"/>
  <c r="AJ42" i="25" s="1"/>
  <c r="R38" i="25"/>
  <c r="AC38" i="25"/>
  <c r="AC40" i="25" s="1"/>
  <c r="I38" i="25"/>
  <c r="U38" i="25"/>
  <c r="U40" i="25" s="1"/>
  <c r="U41" i="25" s="1"/>
  <c r="U42" i="25" s="1"/>
  <c r="AW42" i="25" s="1"/>
  <c r="O38" i="25"/>
  <c r="S38" i="25"/>
  <c r="S40" i="25" s="1"/>
  <c r="K38" i="25"/>
  <c r="K40" i="25" s="1"/>
  <c r="K41" i="25" s="1"/>
  <c r="K42" i="25" s="1"/>
  <c r="AM42" i="25" s="1"/>
  <c r="X38" i="25"/>
  <c r="X40" i="25" s="1"/>
  <c r="X41" i="25" s="1"/>
  <c r="X42" i="25" s="1"/>
  <c r="AZ42" i="25" s="1"/>
  <c r="Y38" i="25"/>
  <c r="Y40" i="25" s="1"/>
  <c r="Y41" i="25" s="1"/>
  <c r="Y42" i="25" s="1"/>
  <c r="BA42" i="25" s="1"/>
  <c r="AA38" i="25"/>
  <c r="AE38" i="25"/>
  <c r="I38" i="28"/>
  <c r="K38" i="28"/>
  <c r="K40" i="28" s="1"/>
  <c r="K41" i="28" s="1"/>
  <c r="K42" i="28" s="1"/>
  <c r="AM42" i="28" s="1"/>
  <c r="M38" i="28"/>
  <c r="O38" i="28"/>
  <c r="O40" i="28" s="1"/>
  <c r="O41" i="28" s="1"/>
  <c r="O42" i="28" s="1"/>
  <c r="AQ42" i="28" s="1"/>
  <c r="AA38" i="28"/>
  <c r="AA40" i="28" s="1"/>
  <c r="AA41" i="28" s="1"/>
  <c r="AA42" i="28" s="1"/>
  <c r="BC42" i="28" s="1"/>
  <c r="AC38" i="28"/>
  <c r="Y38" i="28"/>
  <c r="H38" i="28"/>
  <c r="H40" i="28" s="1"/>
  <c r="J38" i="28"/>
  <c r="N38" i="28"/>
  <c r="N40" i="28" s="1"/>
  <c r="AE38" i="28"/>
  <c r="AE40" i="28" s="1"/>
  <c r="R38" i="28"/>
  <c r="P38" i="28"/>
  <c r="T38" i="28"/>
  <c r="V38" i="28"/>
  <c r="F38" i="28"/>
  <c r="Z38" i="28"/>
  <c r="AB38" i="28"/>
  <c r="G38" i="28"/>
  <c r="G40" i="28" s="1"/>
  <c r="G41" i="28" s="1"/>
  <c r="G42" i="28" s="1"/>
  <c r="AI42" i="28" s="1"/>
  <c r="L38" i="28"/>
  <c r="L40" i="28" s="1"/>
  <c r="L41" i="28" s="1"/>
  <c r="L42" i="28" s="1"/>
  <c r="AN42" i="28" s="1"/>
  <c r="W38" i="28"/>
  <c r="Q38" i="28"/>
  <c r="Q40" i="28" s="1"/>
  <c r="U38" i="28"/>
  <c r="S38" i="28"/>
  <c r="X38" i="28"/>
  <c r="X40" i="28" s="1"/>
  <c r="AJ37" i="28"/>
  <c r="AW37" i="28"/>
  <c r="AP37" i="28"/>
  <c r="AI37" i="28"/>
  <c r="AH37" i="28"/>
  <c r="AU37" i="28"/>
  <c r="BB37" i="28"/>
  <c r="BA37" i="28"/>
  <c r="AZ37" i="28"/>
  <c r="AR37" i="28"/>
  <c r="AQ37" i="28"/>
  <c r="AX37" i="28"/>
  <c r="AS37" i="28"/>
  <c r="AO37" i="28"/>
  <c r="AL37" i="28"/>
  <c r="AM37" i="28"/>
  <c r="AT37" i="28"/>
  <c r="AV37" i="28"/>
  <c r="AY37" i="28"/>
  <c r="BF37" i="28"/>
  <c r="AK37" i="28"/>
  <c r="AN37" i="28"/>
  <c r="BC37" i="28"/>
  <c r="BD37" i="28"/>
  <c r="BE37" i="28"/>
  <c r="BG37" i="28"/>
  <c r="AD40" i="28"/>
  <c r="AD41" i="28" s="1"/>
  <c r="AD42" i="28" s="1"/>
  <c r="BF42" i="28" s="1"/>
  <c r="W40" i="27"/>
  <c r="W41" i="27" s="1"/>
  <c r="W42" i="27" s="1"/>
  <c r="AY42" i="27" s="1"/>
  <c r="AQ37" i="25"/>
  <c r="AJ37" i="25"/>
  <c r="AL37" i="25"/>
  <c r="BA37" i="25"/>
  <c r="AO37" i="25"/>
  <c r="AZ37" i="25"/>
  <c r="AM37" i="25"/>
  <c r="BD37" i="25"/>
  <c r="AP37" i="25"/>
  <c r="AY37" i="25"/>
  <c r="BG37" i="25"/>
  <c r="AT37" i="25"/>
  <c r="AH37" i="25"/>
  <c r="BC37" i="25"/>
  <c r="AR37" i="25"/>
  <c r="AX37" i="25"/>
  <c r="BB37" i="25"/>
  <c r="BE37" i="25"/>
  <c r="BF37" i="25"/>
  <c r="AN37" i="25"/>
  <c r="AW37" i="25"/>
  <c r="AV37" i="25"/>
  <c r="AU37" i="25"/>
  <c r="AI37" i="25"/>
  <c r="AK37" i="25"/>
  <c r="AS37" i="25"/>
  <c r="L40" i="25"/>
  <c r="L41" i="25" s="1"/>
  <c r="L42" i="25" s="1"/>
  <c r="AN42" i="25" s="1"/>
  <c r="N40" i="23"/>
  <c r="N41" i="23" s="1"/>
  <c r="N42" i="23" s="1"/>
  <c r="AP42" i="23" s="1"/>
  <c r="I40" i="23"/>
  <c r="I41" i="23" s="1"/>
  <c r="I42" i="23" s="1"/>
  <c r="AK42" i="23" s="1"/>
  <c r="S40" i="23"/>
  <c r="S41" i="23" s="1"/>
  <c r="S42" i="23" s="1"/>
  <c r="AU42" i="23" s="1"/>
  <c r="AB40" i="23"/>
  <c r="AB41" i="23" s="1"/>
  <c r="AB42" i="23" s="1"/>
  <c r="BD42" i="23" s="1"/>
  <c r="Z40" i="23"/>
  <c r="Z41" i="23" s="1"/>
  <c r="Z42" i="23" s="1"/>
  <c r="BB42" i="23" s="1"/>
  <c r="Y40" i="23"/>
  <c r="Y41" i="23" s="1"/>
  <c r="Y42" i="23" s="1"/>
  <c r="BA42" i="23" s="1"/>
  <c r="Q40" i="23"/>
  <c r="Q41" i="23" s="1"/>
  <c r="Q42" i="23" s="1"/>
  <c r="AS42" i="23" s="1"/>
  <c r="K40" i="23"/>
  <c r="K41" i="23" s="1"/>
  <c r="K42" i="23" s="1"/>
  <c r="AM42" i="23" s="1"/>
  <c r="AE40" i="23"/>
  <c r="AE41" i="23" s="1"/>
  <c r="AE42" i="23" s="1"/>
  <c r="BG42" i="23" s="1"/>
  <c r="L40" i="23"/>
  <c r="L41" i="23" s="1"/>
  <c r="L42" i="23" s="1"/>
  <c r="AN42" i="23" s="1"/>
  <c r="U40" i="23"/>
  <c r="U41" i="23" s="1"/>
  <c r="U42" i="23" s="1"/>
  <c r="AW42" i="23" s="1"/>
  <c r="F40" i="23"/>
  <c r="F41" i="23" s="1"/>
  <c r="F42" i="23" s="1"/>
  <c r="BB37" i="23"/>
  <c r="AV37" i="23"/>
  <c r="AW37" i="23"/>
  <c r="AP37" i="23"/>
  <c r="AY37" i="23"/>
  <c r="AO37" i="23"/>
  <c r="BC37" i="23"/>
  <c r="AR37" i="23"/>
  <c r="AH37" i="23"/>
  <c r="AL37" i="23"/>
  <c r="AM37" i="23"/>
  <c r="AK37" i="23"/>
  <c r="BA37" i="23"/>
  <c r="AU37" i="23"/>
  <c r="AJ37" i="23"/>
  <c r="BG37" i="23"/>
  <c r="BF37" i="23"/>
  <c r="AI37" i="23"/>
  <c r="BE37" i="23"/>
  <c r="AQ37" i="23"/>
  <c r="AN37" i="23"/>
  <c r="AT37" i="23"/>
  <c r="AX37" i="23"/>
  <c r="BD37" i="23"/>
  <c r="AS37" i="23"/>
  <c r="AZ37" i="23"/>
  <c r="AC40" i="23"/>
  <c r="AC41" i="23" s="1"/>
  <c r="AC42" i="23" s="1"/>
  <c r="BE42" i="23" s="1"/>
  <c r="W40" i="23"/>
  <c r="W41" i="23" s="1"/>
  <c r="W42" i="23" s="1"/>
  <c r="AY42" i="23" s="1"/>
  <c r="J40" i="23"/>
  <c r="J41" i="23" s="1"/>
  <c r="J42" i="23" s="1"/>
  <c r="AL42" i="23" s="1"/>
  <c r="R40" i="23"/>
  <c r="R41" i="23" s="1"/>
  <c r="R42" i="23" s="1"/>
  <c r="AT42" i="23" s="1"/>
  <c r="O40" i="23"/>
  <c r="O41" i="23" s="1"/>
  <c r="O42" i="23" s="1"/>
  <c r="AQ42" i="23" s="1"/>
  <c r="H40" i="23"/>
  <c r="H41" i="23" s="1"/>
  <c r="H42" i="23" s="1"/>
  <c r="AJ42" i="23" s="1"/>
  <c r="G40" i="23"/>
  <c r="G41" i="23" s="1"/>
  <c r="G42" i="23" s="1"/>
  <c r="AI42" i="23" s="1"/>
  <c r="P40" i="23"/>
  <c r="P41" i="23" s="1"/>
  <c r="P42" i="23" s="1"/>
  <c r="AR42" i="23" s="1"/>
  <c r="X40" i="23"/>
  <c r="X41" i="23" s="1"/>
  <c r="X42" i="23" s="1"/>
  <c r="AZ42" i="23" s="1"/>
  <c r="AA40" i="23"/>
  <c r="AA41" i="23" s="1"/>
  <c r="AA42" i="23" s="1"/>
  <c r="BC42" i="23" s="1"/>
  <c r="T40" i="23"/>
  <c r="T41" i="23" s="1"/>
  <c r="T42" i="23" s="1"/>
  <c r="AV42" i="23" s="1"/>
  <c r="M40" i="23"/>
  <c r="M41" i="23" s="1"/>
  <c r="M42" i="23" s="1"/>
  <c r="AO42" i="23" s="1"/>
  <c r="V40" i="23"/>
  <c r="V41" i="23" s="1"/>
  <c r="V42" i="23" s="1"/>
  <c r="AX42" i="23" s="1"/>
  <c r="AD40" i="23"/>
  <c r="AD41" i="23" s="1"/>
  <c r="AD42" i="23" s="1"/>
  <c r="BF42" i="23" s="1"/>
  <c r="Q39" i="1"/>
  <c r="R6" i="1"/>
  <c r="S12" i="1"/>
  <c r="BE61" i="31" l="1"/>
  <c r="BE60" i="31"/>
  <c r="AD63" i="31"/>
  <c r="BD63" i="31"/>
  <c r="BD62" i="31"/>
  <c r="AD57" i="31"/>
  <c r="BD56" i="31"/>
  <c r="BD57" i="31"/>
  <c r="BE39" i="31"/>
  <c r="BE38" i="31"/>
  <c r="BE77" i="31"/>
  <c r="BE76" i="31"/>
  <c r="BE69" i="31"/>
  <c r="BE68" i="31"/>
  <c r="BE49" i="31"/>
  <c r="BE48" i="31"/>
  <c r="AD35" i="31"/>
  <c r="BD35" i="31"/>
  <c r="BD34" i="31"/>
  <c r="BE73" i="31"/>
  <c r="BE72" i="31"/>
  <c r="AD59" i="31"/>
  <c r="BD59" i="31"/>
  <c r="BD58" i="31"/>
  <c r="AD53" i="31"/>
  <c r="BD53" i="31"/>
  <c r="BD52" i="31"/>
  <c r="AD43" i="31"/>
  <c r="BD42" i="31"/>
  <c r="BD43" i="31"/>
  <c r="AD65" i="31"/>
  <c r="BD65" i="31"/>
  <c r="BD64" i="31"/>
  <c r="AD67" i="31"/>
  <c r="BD67" i="31"/>
  <c r="BD66" i="31"/>
  <c r="AD51" i="31"/>
  <c r="BD51" i="31"/>
  <c r="BD50" i="31"/>
  <c r="AD37" i="31"/>
  <c r="BD37" i="31"/>
  <c r="BD36" i="31"/>
  <c r="AN37" i="29"/>
  <c r="AY37" i="29"/>
  <c r="AH37" i="29"/>
  <c r="AL37" i="29"/>
  <c r="AK37" i="29"/>
  <c r="AM37" i="29"/>
  <c r="AO37" i="29"/>
  <c r="AJ37" i="29"/>
  <c r="AW37" i="29"/>
  <c r="AW37" i="27"/>
  <c r="AZ37" i="29"/>
  <c r="AP37" i="29"/>
  <c r="AX37" i="29"/>
  <c r="AU37" i="29"/>
  <c r="BG37" i="29"/>
  <c r="BA37" i="29"/>
  <c r="AV37" i="29"/>
  <c r="AT37" i="29"/>
  <c r="BB37" i="29"/>
  <c r="AS37" i="29"/>
  <c r="AR37" i="29"/>
  <c r="AI37" i="29"/>
  <c r="BF37" i="29"/>
  <c r="BD37" i="29"/>
  <c r="BE37" i="29"/>
  <c r="BC37" i="29"/>
  <c r="AQ37" i="29"/>
  <c r="I38" i="29"/>
  <c r="I40" i="29" s="1"/>
  <c r="I41" i="29" s="1"/>
  <c r="I42" i="29" s="1"/>
  <c r="AK42" i="29" s="1"/>
  <c r="AK41" i="29" s="1"/>
  <c r="H38" i="29"/>
  <c r="H40" i="29" s="1"/>
  <c r="H41" i="29" s="1"/>
  <c r="H42" i="29" s="1"/>
  <c r="AJ42" i="29" s="1"/>
  <c r="AJ41" i="29" s="1"/>
  <c r="P38" i="29"/>
  <c r="P40" i="29" s="1"/>
  <c r="P41" i="29" s="1"/>
  <c r="P42" i="29" s="1"/>
  <c r="AR42" i="29" s="1"/>
  <c r="AR41" i="29" s="1"/>
  <c r="AD38" i="29"/>
  <c r="AD40" i="29" s="1"/>
  <c r="AD41" i="29" s="1"/>
  <c r="AD42" i="29" s="1"/>
  <c r="BF42" i="29" s="1"/>
  <c r="BF41" i="29" s="1"/>
  <c r="AC38" i="29"/>
  <c r="AC40" i="29" s="1"/>
  <c r="AC41" i="29" s="1"/>
  <c r="AC42" i="29" s="1"/>
  <c r="BE42" i="29" s="1"/>
  <c r="BE40" i="29" s="1"/>
  <c r="L38" i="29"/>
  <c r="L40" i="29" s="1"/>
  <c r="L41" i="29" s="1"/>
  <c r="L42" i="29" s="1"/>
  <c r="AN42" i="29" s="1"/>
  <c r="AN41" i="29" s="1"/>
  <c r="S38" i="29"/>
  <c r="S40" i="29" s="1"/>
  <c r="S41" i="29" s="1"/>
  <c r="S42" i="29" s="1"/>
  <c r="AU42" i="29" s="1"/>
  <c r="AU40" i="29" s="1"/>
  <c r="T38" i="29"/>
  <c r="T40" i="29" s="1"/>
  <c r="T41" i="29" s="1"/>
  <c r="T42" i="29" s="1"/>
  <c r="AV42" i="29" s="1"/>
  <c r="AV40" i="29" s="1"/>
  <c r="M38" i="29"/>
  <c r="M40" i="29" s="1"/>
  <c r="M41" i="29" s="1"/>
  <c r="M42" i="29" s="1"/>
  <c r="AO42" i="29" s="1"/>
  <c r="W38" i="29"/>
  <c r="W40" i="29" s="1"/>
  <c r="W41" i="29" s="1"/>
  <c r="W42" i="29" s="1"/>
  <c r="AY42" i="29" s="1"/>
  <c r="AY40" i="29" s="1"/>
  <c r="V38" i="29"/>
  <c r="V40" i="29" s="1"/>
  <c r="V41" i="29" s="1"/>
  <c r="V42" i="29" s="1"/>
  <c r="AX42" i="29" s="1"/>
  <c r="AX41" i="29" s="1"/>
  <c r="Q38" i="29"/>
  <c r="Q40" i="29" s="1"/>
  <c r="R38" i="29"/>
  <c r="R40" i="29" s="1"/>
  <c r="AB38" i="29"/>
  <c r="AB40" i="29" s="1"/>
  <c r="U38" i="29"/>
  <c r="U40" i="29" s="1"/>
  <c r="U41" i="29" s="1"/>
  <c r="U42" i="29" s="1"/>
  <c r="AW42" i="29" s="1"/>
  <c r="AW40" i="29" s="1"/>
  <c r="J38" i="29"/>
  <c r="J40" i="29" s="1"/>
  <c r="J41" i="29" s="1"/>
  <c r="J42" i="29" s="1"/>
  <c r="AL42" i="29" s="1"/>
  <c r="AL40" i="29" s="1"/>
  <c r="K38" i="29"/>
  <c r="K40" i="29" s="1"/>
  <c r="K41" i="29" s="1"/>
  <c r="K42" i="29" s="1"/>
  <c r="AM42" i="29" s="1"/>
  <c r="AM41" i="29" s="1"/>
  <c r="AE38" i="29"/>
  <c r="AE40" i="29" s="1"/>
  <c r="AE41" i="29" s="1"/>
  <c r="AE42" i="29" s="1"/>
  <c r="BG42" i="29" s="1"/>
  <c r="BG41" i="29" s="1"/>
  <c r="G38" i="29"/>
  <c r="G40" i="29" s="1"/>
  <c r="G41" i="29" s="1"/>
  <c r="G42" i="29" s="1"/>
  <c r="AI42" i="29" s="1"/>
  <c r="AI40" i="29" s="1"/>
  <c r="O38" i="29"/>
  <c r="O40" i="29" s="1"/>
  <c r="O41" i="29" s="1"/>
  <c r="O42" i="29" s="1"/>
  <c r="AQ42" i="29" s="1"/>
  <c r="Z38" i="29"/>
  <c r="Z40" i="29" s="1"/>
  <c r="Z41" i="29" s="1"/>
  <c r="Z42" i="29" s="1"/>
  <c r="BB42" i="29" s="1"/>
  <c r="BB40" i="29" s="1"/>
  <c r="F38" i="29"/>
  <c r="F40" i="29" s="1"/>
  <c r="F41" i="29" s="1"/>
  <c r="F42" i="29" s="1"/>
  <c r="AH42" i="29" s="1"/>
  <c r="N38" i="29"/>
  <c r="N40" i="29" s="1"/>
  <c r="N41" i="29" s="1"/>
  <c r="N42" i="29" s="1"/>
  <c r="AP42" i="29" s="1"/>
  <c r="AP41" i="29" s="1"/>
  <c r="AA38" i="29"/>
  <c r="AA40" i="29" s="1"/>
  <c r="AA41" i="29" s="1"/>
  <c r="AA42" i="29" s="1"/>
  <c r="BC42" i="29" s="1"/>
  <c r="BC41" i="29" s="1"/>
  <c r="Y38" i="29"/>
  <c r="Y40" i="29" s="1"/>
  <c r="AL37" i="24"/>
  <c r="BD37" i="24"/>
  <c r="AU37" i="27"/>
  <c r="AO37" i="27"/>
  <c r="AN37" i="27"/>
  <c r="AX37" i="27"/>
  <c r="AK37" i="27"/>
  <c r="AR37" i="27"/>
  <c r="BA37" i="27"/>
  <c r="AZ37" i="27"/>
  <c r="AM37" i="24"/>
  <c r="BC37" i="24"/>
  <c r="AI37" i="27"/>
  <c r="BF37" i="27"/>
  <c r="AW37" i="24"/>
  <c r="AX37" i="24"/>
  <c r="AP37" i="27"/>
  <c r="AR37" i="24"/>
  <c r="BA37" i="24"/>
  <c r="AP37" i="24"/>
  <c r="AI37" i="24"/>
  <c r="AV37" i="24"/>
  <c r="AZ37" i="24"/>
  <c r="BG37" i="24"/>
  <c r="AY37" i="27"/>
  <c r="BE37" i="24"/>
  <c r="AT37" i="24"/>
  <c r="BE37" i="27"/>
  <c r="BB37" i="27"/>
  <c r="AV37" i="27"/>
  <c r="AH37" i="24"/>
  <c r="BF37" i="24"/>
  <c r="AY37" i="24"/>
  <c r="BG37" i="27"/>
  <c r="BC37" i="27"/>
  <c r="AJ37" i="27"/>
  <c r="AT37" i="27"/>
  <c r="AQ37" i="24"/>
  <c r="BD37" i="27"/>
  <c r="AQ37" i="27"/>
  <c r="AS37" i="27"/>
  <c r="BB37" i="24"/>
  <c r="AH37" i="27"/>
  <c r="AM37" i="27"/>
  <c r="BF37" i="26"/>
  <c r="AK37" i="24"/>
  <c r="AO37" i="24"/>
  <c r="AN37" i="24"/>
  <c r="AS37" i="24"/>
  <c r="AU37" i="24"/>
  <c r="AL37" i="27"/>
  <c r="Q40" i="27"/>
  <c r="Q41" i="27" s="1"/>
  <c r="Q42" i="27" s="1"/>
  <c r="AS42" i="27" s="1"/>
  <c r="K41" i="27"/>
  <c r="K42" i="27" s="1"/>
  <c r="H38" i="24"/>
  <c r="H40" i="24" s="1"/>
  <c r="H41" i="24" s="1"/>
  <c r="H42" i="24" s="1"/>
  <c r="AJ42" i="24" s="1"/>
  <c r="AJ41" i="24" s="1"/>
  <c r="AD38" i="24"/>
  <c r="AD40" i="24" s="1"/>
  <c r="AA38" i="24"/>
  <c r="AA40" i="24" s="1"/>
  <c r="AA41" i="24" s="1"/>
  <c r="AA42" i="24" s="1"/>
  <c r="BC42" i="24" s="1"/>
  <c r="BC40" i="24" s="1"/>
  <c r="N38" i="24"/>
  <c r="N40" i="24" s="1"/>
  <c r="AJ37" i="24"/>
  <c r="P38" i="24"/>
  <c r="P40" i="24" s="1"/>
  <c r="P41" i="24" s="1"/>
  <c r="P42" i="24" s="1"/>
  <c r="AR42" i="24" s="1"/>
  <c r="AR41" i="24" s="1"/>
  <c r="AC38" i="24"/>
  <c r="AC40" i="24" s="1"/>
  <c r="K38" i="24"/>
  <c r="K40" i="24" s="1"/>
  <c r="K41" i="24" s="1"/>
  <c r="K42" i="24" s="1"/>
  <c r="AM42" i="24" s="1"/>
  <c r="AM41" i="24" s="1"/>
  <c r="T38" i="24"/>
  <c r="T40" i="24" s="1"/>
  <c r="T41" i="24" s="1"/>
  <c r="T42" i="24" s="1"/>
  <c r="AV42" i="24" s="1"/>
  <c r="AV41" i="24" s="1"/>
  <c r="X38" i="24"/>
  <c r="X40" i="24" s="1"/>
  <c r="X41" i="24" s="1"/>
  <c r="X42" i="24" s="1"/>
  <c r="AZ42" i="24" s="1"/>
  <c r="L38" i="24"/>
  <c r="L40" i="24" s="1"/>
  <c r="L41" i="24" s="1"/>
  <c r="L42" i="24" s="1"/>
  <c r="AN42" i="24" s="1"/>
  <c r="AN41" i="24" s="1"/>
  <c r="Y38" i="24"/>
  <c r="Y40" i="24" s="1"/>
  <c r="Y41" i="24" s="1"/>
  <c r="Y42" i="24" s="1"/>
  <c r="BA42" i="24" s="1"/>
  <c r="BA40" i="24" s="1"/>
  <c r="AE38" i="24"/>
  <c r="AE40" i="24" s="1"/>
  <c r="Z38" i="24"/>
  <c r="Z40" i="24" s="1"/>
  <c r="Z41" i="24" s="1"/>
  <c r="Z42" i="24" s="1"/>
  <c r="BB42" i="24" s="1"/>
  <c r="BB41" i="24" s="1"/>
  <c r="W38" i="24"/>
  <c r="W40" i="24" s="1"/>
  <c r="M38" i="24"/>
  <c r="AB38" i="24"/>
  <c r="AB40" i="24" s="1"/>
  <c r="AB41" i="24" s="1"/>
  <c r="AB42" i="24" s="1"/>
  <c r="BD42" i="24" s="1"/>
  <c r="BD41" i="24" s="1"/>
  <c r="G38" i="24"/>
  <c r="G40" i="24" s="1"/>
  <c r="G41" i="24" s="1"/>
  <c r="G42" i="24" s="1"/>
  <c r="AI42" i="24" s="1"/>
  <c r="AI40" i="24" s="1"/>
  <c r="J38" i="24"/>
  <c r="J40" i="24" s="1"/>
  <c r="J41" i="24" s="1"/>
  <c r="J42" i="24" s="1"/>
  <c r="AL42" i="24" s="1"/>
  <c r="AL41" i="24" s="1"/>
  <c r="O38" i="24"/>
  <c r="O40" i="24" s="1"/>
  <c r="Q38" i="24"/>
  <c r="Q40" i="24" s="1"/>
  <c r="Q41" i="24" s="1"/>
  <c r="Q42" i="24" s="1"/>
  <c r="AS42" i="24" s="1"/>
  <c r="AS41" i="24" s="1"/>
  <c r="I38" i="24"/>
  <c r="I40" i="24" s="1"/>
  <c r="I41" i="24" s="1"/>
  <c r="I42" i="24" s="1"/>
  <c r="AK42" i="24" s="1"/>
  <c r="AK41" i="24" s="1"/>
  <c r="F38" i="24"/>
  <c r="F40" i="24" s="1"/>
  <c r="F41" i="24" s="1"/>
  <c r="F42" i="24" s="1"/>
  <c r="AH42" i="24" s="1"/>
  <c r="V38" i="24"/>
  <c r="V40" i="24" s="1"/>
  <c r="V41" i="24" s="1"/>
  <c r="V42" i="24" s="1"/>
  <c r="AX42" i="24" s="1"/>
  <c r="AX41" i="24" s="1"/>
  <c r="S38" i="24"/>
  <c r="S40" i="24" s="1"/>
  <c r="S41" i="24" s="1"/>
  <c r="S42" i="24" s="1"/>
  <c r="AU42" i="24" s="1"/>
  <c r="AU40" i="24" s="1"/>
  <c r="R38" i="24"/>
  <c r="R40" i="24" s="1"/>
  <c r="R41" i="24" s="1"/>
  <c r="R42" i="24" s="1"/>
  <c r="AT42" i="24" s="1"/>
  <c r="AT40" i="24" s="1"/>
  <c r="Q38" i="26"/>
  <c r="Q40" i="26" s="1"/>
  <c r="J38" i="26"/>
  <c r="J40" i="26" s="1"/>
  <c r="J41" i="26" s="1"/>
  <c r="J42" i="26" s="1"/>
  <c r="AL42" i="26" s="1"/>
  <c r="AL40" i="26" s="1"/>
  <c r="M38" i="26"/>
  <c r="AC38" i="26"/>
  <c r="AC40" i="26" s="1"/>
  <c r="AC41" i="26" s="1"/>
  <c r="AC42" i="26" s="1"/>
  <c r="BE42" i="26" s="1"/>
  <c r="P38" i="26"/>
  <c r="P40" i="26" s="1"/>
  <c r="N38" i="26"/>
  <c r="AB38" i="26"/>
  <c r="Z38" i="26"/>
  <c r="AD38" i="26"/>
  <c r="AD40" i="26" s="1"/>
  <c r="AD41" i="26" s="1"/>
  <c r="AD42" i="26" s="1"/>
  <c r="BF42" i="26" s="1"/>
  <c r="BF40" i="26" s="1"/>
  <c r="AA38" i="26"/>
  <c r="AA40" i="26" s="1"/>
  <c r="AA41" i="26" s="1"/>
  <c r="AA42" i="26" s="1"/>
  <c r="BC42" i="26" s="1"/>
  <c r="BC40" i="26" s="1"/>
  <c r="U38" i="26"/>
  <c r="U40" i="26" s="1"/>
  <c r="U41" i="26" s="1"/>
  <c r="U42" i="26" s="1"/>
  <c r="AW42" i="26" s="1"/>
  <c r="AW41" i="26" s="1"/>
  <c r="AE38" i="26"/>
  <c r="G38" i="26"/>
  <c r="G40" i="26" s="1"/>
  <c r="W38" i="26"/>
  <c r="W40" i="26" s="1"/>
  <c r="T38" i="26"/>
  <c r="T40" i="26" s="1"/>
  <c r="T41" i="26" s="1"/>
  <c r="T42" i="26" s="1"/>
  <c r="AV42" i="26" s="1"/>
  <c r="AV40" i="26" s="1"/>
  <c r="H38" i="26"/>
  <c r="H40" i="26" s="1"/>
  <c r="H41" i="26" s="1"/>
  <c r="H42" i="26" s="1"/>
  <c r="AJ42" i="26" s="1"/>
  <c r="AJ41" i="26" s="1"/>
  <c r="K38" i="26"/>
  <c r="K40" i="26" s="1"/>
  <c r="K41" i="26" s="1"/>
  <c r="K42" i="26" s="1"/>
  <c r="AM42" i="26" s="1"/>
  <c r="AM41" i="26" s="1"/>
  <c r="I38" i="26"/>
  <c r="I40" i="26" s="1"/>
  <c r="O38" i="26"/>
  <c r="R38" i="26"/>
  <c r="F38" i="26"/>
  <c r="F40" i="26" s="1"/>
  <c r="F41" i="26" s="1"/>
  <c r="F42" i="26" s="1"/>
  <c r="AH42" i="26" s="1"/>
  <c r="V38" i="26"/>
  <c r="V40" i="26" s="1"/>
  <c r="V41" i="26" s="1"/>
  <c r="V42" i="26" s="1"/>
  <c r="AX42" i="26" s="1"/>
  <c r="AX41" i="26" s="1"/>
  <c r="L38" i="26"/>
  <c r="L40" i="26" s="1"/>
  <c r="L41" i="26" s="1"/>
  <c r="L42" i="26" s="1"/>
  <c r="AN42" i="26" s="1"/>
  <c r="AN40" i="26" s="1"/>
  <c r="X38" i="26"/>
  <c r="X40" i="26" s="1"/>
  <c r="X41" i="26" s="1"/>
  <c r="X42" i="26" s="1"/>
  <c r="AZ42" i="26" s="1"/>
  <c r="AZ40" i="26" s="1"/>
  <c r="S38" i="26"/>
  <c r="AS37" i="26"/>
  <c r="BA37" i="26"/>
  <c r="AM37" i="26"/>
  <c r="AT37" i="26"/>
  <c r="AL37" i="26"/>
  <c r="BD37" i="26"/>
  <c r="AJ37" i="26"/>
  <c r="AK37" i="26"/>
  <c r="AZ37" i="26"/>
  <c r="AP37" i="26"/>
  <c r="AX37" i="26"/>
  <c r="AO37" i="26"/>
  <c r="BB37" i="26"/>
  <c r="AQ37" i="26"/>
  <c r="BE37" i="26"/>
  <c r="BG37" i="26"/>
  <c r="AH37" i="26"/>
  <c r="AI37" i="26"/>
  <c r="AV37" i="26"/>
  <c r="AR37" i="26"/>
  <c r="Q40" i="25"/>
  <c r="Q41" i="25" s="1"/>
  <c r="Q42" i="25" s="1"/>
  <c r="AS42" i="25" s="1"/>
  <c r="AW37" i="26"/>
  <c r="AY37" i="26"/>
  <c r="AN37" i="26"/>
  <c r="BC37" i="26"/>
  <c r="AU37" i="26"/>
  <c r="W40" i="25"/>
  <c r="W41" i="25" s="1"/>
  <c r="W42" i="25" s="1"/>
  <c r="AY42" i="25" s="1"/>
  <c r="I40" i="25"/>
  <c r="I41" i="25" s="1"/>
  <c r="I42" i="25" s="1"/>
  <c r="AK42" i="25" s="1"/>
  <c r="AB40" i="25"/>
  <c r="AB41" i="25" s="1"/>
  <c r="AB42" i="25" s="1"/>
  <c r="BD42" i="25" s="1"/>
  <c r="BD41" i="25" s="1"/>
  <c r="R40" i="25"/>
  <c r="R41" i="25" s="1"/>
  <c r="R42" i="25" s="1"/>
  <c r="AT42" i="25" s="1"/>
  <c r="O40" i="25"/>
  <c r="O41" i="25" s="1"/>
  <c r="O42" i="25" s="1"/>
  <c r="AQ42" i="25" s="1"/>
  <c r="AE40" i="25"/>
  <c r="AE41" i="25" s="1"/>
  <c r="AE42" i="25" s="1"/>
  <c r="BG42" i="25" s="1"/>
  <c r="BG40" i="25" s="1"/>
  <c r="J41" i="25"/>
  <c r="J42" i="25" s="1"/>
  <c r="AL42" i="25" s="1"/>
  <c r="AL41" i="25" s="1"/>
  <c r="AA40" i="25"/>
  <c r="AA41" i="25" s="1"/>
  <c r="AA42" i="25" s="1"/>
  <c r="BC42" i="25" s="1"/>
  <c r="AE41" i="28"/>
  <c r="AE42" i="28" s="1"/>
  <c r="BG42" i="28" s="1"/>
  <c r="BG40" i="28" s="1"/>
  <c r="Z40" i="28"/>
  <c r="Z41" i="28" s="1"/>
  <c r="Z42" i="28" s="1"/>
  <c r="BB42" i="28" s="1"/>
  <c r="BB41" i="28" s="1"/>
  <c r="W40" i="28"/>
  <c r="W41" i="28" s="1"/>
  <c r="W42" i="28" s="1"/>
  <c r="AY42" i="28" s="1"/>
  <c r="AY41" i="28" s="1"/>
  <c r="H41" i="28"/>
  <c r="H42" i="28" s="1"/>
  <c r="AJ42" i="28" s="1"/>
  <c r="AJ40" i="28" s="1"/>
  <c r="P40" i="25"/>
  <c r="P41" i="25" s="1"/>
  <c r="P42" i="25" s="1"/>
  <c r="AR42" i="25" s="1"/>
  <c r="AR40" i="25" s="1"/>
  <c r="AC41" i="25"/>
  <c r="AC42" i="25" s="1"/>
  <c r="BE42" i="25" s="1"/>
  <c r="BE40" i="25" s="1"/>
  <c r="X41" i="28"/>
  <c r="X42" i="28" s="1"/>
  <c r="AZ42" i="28" s="1"/>
  <c r="AZ41" i="28" s="1"/>
  <c r="S41" i="25"/>
  <c r="S42" i="25" s="1"/>
  <c r="AU42" i="25" s="1"/>
  <c r="AU41" i="25" s="1"/>
  <c r="G40" i="25"/>
  <c r="G41" i="25" s="1"/>
  <c r="G42" i="25" s="1"/>
  <c r="AI42" i="25" s="1"/>
  <c r="AI41" i="25" s="1"/>
  <c r="I40" i="28"/>
  <c r="I41" i="28" s="1"/>
  <c r="I42" i="28" s="1"/>
  <c r="AK42" i="28" s="1"/>
  <c r="P40" i="28"/>
  <c r="P41" i="28" s="1"/>
  <c r="P42" i="28" s="1"/>
  <c r="AR42" i="28" s="1"/>
  <c r="Y40" i="28"/>
  <c r="Y41" i="28" s="1"/>
  <c r="Y42" i="28" s="1"/>
  <c r="BA42" i="28" s="1"/>
  <c r="M40" i="28"/>
  <c r="M41" i="28" s="1"/>
  <c r="M42" i="28" s="1"/>
  <c r="AO42" i="28" s="1"/>
  <c r="J40" i="28"/>
  <c r="J41" i="28" s="1"/>
  <c r="J42" i="28" s="1"/>
  <c r="AL42" i="28" s="1"/>
  <c r="V40" i="28"/>
  <c r="V41" i="28" s="1"/>
  <c r="V42" i="28" s="1"/>
  <c r="AX42" i="28" s="1"/>
  <c r="U40" i="28"/>
  <c r="U41" i="28" s="1"/>
  <c r="U42" i="28" s="1"/>
  <c r="AW42" i="28" s="1"/>
  <c r="AC40" i="28"/>
  <c r="AC41" i="28" s="1"/>
  <c r="AC42" i="28" s="1"/>
  <c r="BE42" i="28" s="1"/>
  <c r="AB40" i="28"/>
  <c r="AB41" i="28" s="1"/>
  <c r="AB42" i="28" s="1"/>
  <c r="BD42" i="28" s="1"/>
  <c r="R40" i="28"/>
  <c r="R41" i="28" s="1"/>
  <c r="R42" i="28" s="1"/>
  <c r="AT42" i="28" s="1"/>
  <c r="AT40" i="28" s="1"/>
  <c r="F40" i="28"/>
  <c r="F41" i="28" s="1"/>
  <c r="F42" i="28" s="1"/>
  <c r="AH42" i="28" s="1"/>
  <c r="N41" i="28"/>
  <c r="N42" i="28" s="1"/>
  <c r="AP42" i="28" s="1"/>
  <c r="AP41" i="28" s="1"/>
  <c r="S40" i="28"/>
  <c r="S41" i="28" s="1"/>
  <c r="S42" i="28" s="1"/>
  <c r="AU42" i="28" s="1"/>
  <c r="AU40" i="28" s="1"/>
  <c r="Q41" i="28"/>
  <c r="Q42" i="28" s="1"/>
  <c r="AS42" i="28" s="1"/>
  <c r="AS41" i="28" s="1"/>
  <c r="T40" i="28"/>
  <c r="T41" i="28" s="1"/>
  <c r="T42" i="28" s="1"/>
  <c r="AV42" i="28" s="1"/>
  <c r="AV41" i="28" s="1"/>
  <c r="AZ41" i="29"/>
  <c r="AZ40" i="29"/>
  <c r="AQ40" i="28"/>
  <c r="AQ41" i="28"/>
  <c r="AM41" i="28"/>
  <c r="AM40" i="28"/>
  <c r="AN41" i="28"/>
  <c r="AN40" i="28"/>
  <c r="BC40" i="28"/>
  <c r="BC41" i="28"/>
  <c r="BF41" i="28"/>
  <c r="BF40" i="28"/>
  <c r="AI40" i="28"/>
  <c r="AI41" i="28"/>
  <c r="AL41" i="27"/>
  <c r="AL40" i="27"/>
  <c r="AY41" i="27"/>
  <c r="AY40" i="27"/>
  <c r="AR41" i="27"/>
  <c r="AR40" i="27"/>
  <c r="AN40" i="27"/>
  <c r="AN41" i="27"/>
  <c r="AH42" i="27"/>
  <c r="AU40" i="27"/>
  <c r="AU41" i="27"/>
  <c r="AZ40" i="27"/>
  <c r="AZ41" i="27"/>
  <c r="BG40" i="27"/>
  <c r="BG41" i="27"/>
  <c r="AT40" i="27"/>
  <c r="AT41" i="27"/>
  <c r="AV40" i="27"/>
  <c r="AV41" i="27"/>
  <c r="AK40" i="27"/>
  <c r="AK41" i="27"/>
  <c r="BE41" i="27"/>
  <c r="BE40" i="27"/>
  <c r="BF40" i="27"/>
  <c r="BF41" i="27"/>
  <c r="AX41" i="27"/>
  <c r="AX40" i="27"/>
  <c r="BD41" i="27"/>
  <c r="BD40" i="27"/>
  <c r="AW40" i="27"/>
  <c r="AW41" i="27"/>
  <c r="AI40" i="27"/>
  <c r="AI41" i="27"/>
  <c r="BA40" i="27"/>
  <c r="BA41" i="27"/>
  <c r="AO40" i="27"/>
  <c r="AO41" i="27"/>
  <c r="BB40" i="27"/>
  <c r="BB41" i="27"/>
  <c r="AQ40" i="27"/>
  <c r="AQ41" i="27"/>
  <c r="AP40" i="27"/>
  <c r="AP41" i="27"/>
  <c r="BC40" i="27"/>
  <c r="BC41" i="27"/>
  <c r="AJ40" i="27"/>
  <c r="AJ41" i="27"/>
  <c r="BA40" i="26"/>
  <c r="BA41" i="26"/>
  <c r="BF40" i="25"/>
  <c r="BF41" i="25"/>
  <c r="AN41" i="25"/>
  <c r="AN40" i="25"/>
  <c r="AM41" i="25"/>
  <c r="AM40" i="25"/>
  <c r="AJ40" i="25"/>
  <c r="AJ41" i="25"/>
  <c r="AP40" i="25"/>
  <c r="AP41" i="25"/>
  <c r="BB40" i="25"/>
  <c r="BB41" i="25"/>
  <c r="AZ41" i="25"/>
  <c r="AZ40" i="25"/>
  <c r="BA41" i="25"/>
  <c r="BA40" i="25"/>
  <c r="AX41" i="25"/>
  <c r="AX40" i="25"/>
  <c r="AV40" i="25"/>
  <c r="AV41" i="25"/>
  <c r="AW40" i="25"/>
  <c r="AW41" i="25"/>
  <c r="AH42" i="25"/>
  <c r="AO41" i="25"/>
  <c r="AO40" i="25"/>
  <c r="AW40" i="24"/>
  <c r="AW41" i="24"/>
  <c r="BF40" i="23"/>
  <c r="BF41" i="23"/>
  <c r="BC40" i="23"/>
  <c r="BC41" i="23"/>
  <c r="AT40" i="23"/>
  <c r="AT41" i="23"/>
  <c r="AM41" i="23"/>
  <c r="AM40" i="23"/>
  <c r="AV41" i="23"/>
  <c r="AV40" i="23"/>
  <c r="BE41" i="23"/>
  <c r="BE40" i="23"/>
  <c r="BA40" i="23"/>
  <c r="BA41" i="23"/>
  <c r="BD40" i="23"/>
  <c r="BD41" i="23"/>
  <c r="AI40" i="23"/>
  <c r="AI41" i="23"/>
  <c r="AH42" i="23"/>
  <c r="AF42" i="23"/>
  <c r="AZ40" i="23"/>
  <c r="AZ41" i="23"/>
  <c r="AQ40" i="23"/>
  <c r="AQ41" i="23"/>
  <c r="AS41" i="23"/>
  <c r="AS40" i="23"/>
  <c r="BB41" i="23"/>
  <c r="BB40" i="23"/>
  <c r="AP41" i="23"/>
  <c r="AP40" i="23"/>
  <c r="AL40" i="23"/>
  <c r="AL41" i="23"/>
  <c r="AY41" i="23"/>
  <c r="AY40" i="23"/>
  <c r="BG40" i="23"/>
  <c r="BG41" i="23"/>
  <c r="AU40" i="23"/>
  <c r="AU41" i="23"/>
  <c r="AX40" i="23"/>
  <c r="AX41" i="23"/>
  <c r="AN40" i="23"/>
  <c r="AN41" i="23"/>
  <c r="AK40" i="23"/>
  <c r="AK41" i="23"/>
  <c r="AO40" i="23"/>
  <c r="AO41" i="23"/>
  <c r="AR40" i="23"/>
  <c r="AR41" i="23"/>
  <c r="AJ41" i="23"/>
  <c r="AJ40" i="23"/>
  <c r="AW40" i="23"/>
  <c r="AW41" i="23"/>
  <c r="R39" i="1"/>
  <c r="S6" i="1"/>
  <c r="T12" i="1"/>
  <c r="BE65" i="31" l="1"/>
  <c r="BE64" i="31"/>
  <c r="BE58" i="31"/>
  <c r="BE59" i="31"/>
  <c r="BE56" i="31"/>
  <c r="BE57" i="31"/>
  <c r="BE50" i="31"/>
  <c r="BE51" i="31"/>
  <c r="BE43" i="31"/>
  <c r="BE42" i="31"/>
  <c r="BE63" i="31"/>
  <c r="BE62" i="31"/>
  <c r="BE67" i="31"/>
  <c r="BE66" i="31"/>
  <c r="BE36" i="31"/>
  <c r="BE37" i="31"/>
  <c r="BE52" i="31"/>
  <c r="BE53" i="31"/>
  <c r="BE34" i="31"/>
  <c r="BE35" i="31"/>
  <c r="AL41" i="29"/>
  <c r="BE41" i="29"/>
  <c r="AX40" i="29"/>
  <c r="AY41" i="29"/>
  <c r="BF40" i="29"/>
  <c r="AU41" i="29"/>
  <c r="AK40" i="29"/>
  <c r="AJ40" i="29"/>
  <c r="BG40" i="29"/>
  <c r="AP40" i="29"/>
  <c r="AW41" i="29"/>
  <c r="BB41" i="29"/>
  <c r="AR40" i="29"/>
  <c r="AI41" i="29"/>
  <c r="AN40" i="29"/>
  <c r="BC40" i="29"/>
  <c r="Q41" i="29"/>
  <c r="Q42" i="29" s="1"/>
  <c r="AS42" i="29" s="1"/>
  <c r="AS40" i="29" s="1"/>
  <c r="AV41" i="29"/>
  <c r="R41" i="29"/>
  <c r="R42" i="29" s="1"/>
  <c r="AT42" i="29" s="1"/>
  <c r="AT40" i="29" s="1"/>
  <c r="Y41" i="29"/>
  <c r="Y42" i="29" s="1"/>
  <c r="BA42" i="29" s="1"/>
  <c r="BA40" i="29" s="1"/>
  <c r="AB41" i="29"/>
  <c r="AB42" i="29" s="1"/>
  <c r="BD42" i="29" s="1"/>
  <c r="BD41" i="29" s="1"/>
  <c r="AS41" i="27"/>
  <c r="AS40" i="27"/>
  <c r="AM42" i="27"/>
  <c r="AF42" i="27"/>
  <c r="AQ41" i="29"/>
  <c r="AQ40" i="29"/>
  <c r="AQ40" i="25"/>
  <c r="AQ41" i="25"/>
  <c r="AT41" i="25"/>
  <c r="AT40" i="25"/>
  <c r="AK40" i="25"/>
  <c r="AK41" i="25"/>
  <c r="BD41" i="28"/>
  <c r="BD40" i="28"/>
  <c r="AS40" i="25"/>
  <c r="AS41" i="25"/>
  <c r="AO41" i="29"/>
  <c r="AO40" i="29"/>
  <c r="AJ40" i="24"/>
  <c r="AR40" i="24"/>
  <c r="BC41" i="24"/>
  <c r="AC41" i="24"/>
  <c r="AC42" i="24" s="1"/>
  <c r="BE42" i="24" s="1"/>
  <c r="BE41" i="24" s="1"/>
  <c r="AL40" i="24"/>
  <c r="AD41" i="24"/>
  <c r="AD42" i="24" s="1"/>
  <c r="BF42" i="24" s="1"/>
  <c r="BF40" i="24" s="1"/>
  <c r="AV40" i="24"/>
  <c r="AN40" i="24"/>
  <c r="N41" i="24"/>
  <c r="N42" i="24" s="1"/>
  <c r="AP42" i="24" s="1"/>
  <c r="AP41" i="24" s="1"/>
  <c r="AM40" i="29"/>
  <c r="W41" i="24"/>
  <c r="W42" i="24" s="1"/>
  <c r="AY42" i="24" s="1"/>
  <c r="AY41" i="24" s="1"/>
  <c r="AE41" i="24"/>
  <c r="AE42" i="24" s="1"/>
  <c r="BG42" i="24" s="1"/>
  <c r="BG40" i="24" s="1"/>
  <c r="BC40" i="25"/>
  <c r="BC41" i="25"/>
  <c r="BB40" i="24"/>
  <c r="AM40" i="24"/>
  <c r="AS40" i="24"/>
  <c r="AI41" i="24"/>
  <c r="G41" i="26"/>
  <c r="G42" i="26" s="1"/>
  <c r="AI42" i="26" s="1"/>
  <c r="AI41" i="26" s="1"/>
  <c r="AZ40" i="24"/>
  <c r="AZ41" i="24"/>
  <c r="M40" i="24"/>
  <c r="M41" i="24" s="1"/>
  <c r="M42" i="24" s="1"/>
  <c r="AO42" i="24" s="1"/>
  <c r="AO40" i="24" s="1"/>
  <c r="BD40" i="24"/>
  <c r="AU41" i="24"/>
  <c r="AL41" i="26"/>
  <c r="AT41" i="24"/>
  <c r="O41" i="24"/>
  <c r="O42" i="24" s="1"/>
  <c r="AQ42" i="24" s="1"/>
  <c r="AQ40" i="24" s="1"/>
  <c r="AK40" i="24"/>
  <c r="Q41" i="26"/>
  <c r="Q42" i="26" s="1"/>
  <c r="AS42" i="26" s="1"/>
  <c r="AS41" i="26" s="1"/>
  <c r="AJ40" i="26"/>
  <c r="AM40" i="26"/>
  <c r="AX40" i="24"/>
  <c r="BC41" i="26"/>
  <c r="AW40" i="26"/>
  <c r="I41" i="26"/>
  <c r="I42" i="26" s="1"/>
  <c r="AK42" i="26" s="1"/>
  <c r="AK41" i="26" s="1"/>
  <c r="O40" i="26"/>
  <c r="O41" i="26" s="1"/>
  <c r="O42" i="26" s="1"/>
  <c r="AQ42" i="26" s="1"/>
  <c r="N40" i="26"/>
  <c r="N41" i="26" s="1"/>
  <c r="N42" i="26" s="1"/>
  <c r="AP42" i="26" s="1"/>
  <c r="P41" i="26"/>
  <c r="P42" i="26" s="1"/>
  <c r="AR42" i="26" s="1"/>
  <c r="AR41" i="26" s="1"/>
  <c r="AX40" i="26"/>
  <c r="AN41" i="26"/>
  <c r="R40" i="26"/>
  <c r="R41" i="26" s="1"/>
  <c r="R42" i="26" s="1"/>
  <c r="AT42" i="26" s="1"/>
  <c r="AB40" i="26"/>
  <c r="AB41" i="26" s="1"/>
  <c r="AB42" i="26" s="1"/>
  <c r="BD42" i="26" s="1"/>
  <c r="W41" i="26"/>
  <c r="W42" i="26" s="1"/>
  <c r="AY42" i="26" s="1"/>
  <c r="AY40" i="26" s="1"/>
  <c r="BF41" i="26"/>
  <c r="AV41" i="26"/>
  <c r="Z40" i="26"/>
  <c r="Z41" i="26" s="1"/>
  <c r="Z42" i="26" s="1"/>
  <c r="BB42" i="26" s="1"/>
  <c r="AE40" i="26"/>
  <c r="AE41" i="26" s="1"/>
  <c r="AE42" i="26" s="1"/>
  <c r="BG42" i="26" s="1"/>
  <c r="M40" i="26"/>
  <c r="M41" i="26" s="1"/>
  <c r="M42" i="26" s="1"/>
  <c r="AO42" i="26" s="1"/>
  <c r="AZ41" i="26"/>
  <c r="S40" i="26"/>
  <c r="S41" i="26" s="1"/>
  <c r="S42" i="26" s="1"/>
  <c r="AU42" i="26" s="1"/>
  <c r="BE40" i="26"/>
  <c r="BE41" i="26"/>
  <c r="BA41" i="24"/>
  <c r="AR40" i="28"/>
  <c r="AR41" i="28"/>
  <c r="AY41" i="25"/>
  <c r="AY40" i="25"/>
  <c r="AK40" i="28"/>
  <c r="AK41" i="28"/>
  <c r="AL41" i="28"/>
  <c r="AL40" i="28"/>
  <c r="AL40" i="25"/>
  <c r="AR41" i="25"/>
  <c r="AU40" i="25"/>
  <c r="AY40" i="28"/>
  <c r="BD40" i="25"/>
  <c r="BG41" i="25"/>
  <c r="BA41" i="28"/>
  <c r="BA40" i="28"/>
  <c r="AT41" i="28"/>
  <c r="BE41" i="25"/>
  <c r="AI40" i="25"/>
  <c r="AX40" i="28"/>
  <c r="AX41" i="28"/>
  <c r="AF42" i="25"/>
  <c r="BB40" i="28"/>
  <c r="AP40" i="28"/>
  <c r="AZ40" i="28"/>
  <c r="AU41" i="28"/>
  <c r="AO40" i="28"/>
  <c r="AO41" i="28"/>
  <c r="AW40" i="28"/>
  <c r="AW41" i="28"/>
  <c r="BG41" i="28"/>
  <c r="AV40" i="28"/>
  <c r="AJ41" i="28"/>
  <c r="BE41" i="28"/>
  <c r="BE40" i="28"/>
  <c r="AS40" i="28"/>
  <c r="AF42" i="28"/>
  <c r="AH41" i="29"/>
  <c r="AH40" i="29"/>
  <c r="AH41" i="28"/>
  <c r="AH40" i="28"/>
  <c r="AH40" i="27"/>
  <c r="AH41" i="27"/>
  <c r="AH40" i="26"/>
  <c r="AH41" i="26"/>
  <c r="AH40" i="25"/>
  <c r="AH41" i="25"/>
  <c r="AH40" i="24"/>
  <c r="AH41" i="24"/>
  <c r="AH40" i="23"/>
  <c r="AH41" i="23"/>
  <c r="S39" i="1"/>
  <c r="T6" i="1"/>
  <c r="U12" i="1"/>
  <c r="AS41" i="29" l="1"/>
  <c r="AT41" i="29"/>
  <c r="BD40" i="29"/>
  <c r="BA41" i="29"/>
  <c r="AF42" i="29"/>
  <c r="BD41" i="26"/>
  <c r="BD40" i="26"/>
  <c r="AM40" i="27"/>
  <c r="AM41" i="27"/>
  <c r="AQ40" i="26"/>
  <c r="AQ41" i="26"/>
  <c r="AT40" i="26"/>
  <c r="AT41" i="26"/>
  <c r="BE40" i="24"/>
  <c r="BB40" i="26"/>
  <c r="BB41" i="26"/>
  <c r="AP40" i="26"/>
  <c r="AP41" i="26"/>
  <c r="BF41" i="24"/>
  <c r="AP40" i="24"/>
  <c r="BG41" i="24"/>
  <c r="BG40" i="26"/>
  <c r="BG41" i="26"/>
  <c r="AY40" i="24"/>
  <c r="AO41" i="24"/>
  <c r="AF42" i="24"/>
  <c r="AQ41" i="24"/>
  <c r="AK40" i="26"/>
  <c r="AR40" i="26"/>
  <c r="AF42" i="26"/>
  <c r="AS40" i="26"/>
  <c r="AI40" i="26"/>
  <c r="AO40" i="26"/>
  <c r="AO41" i="26"/>
  <c r="AY41" i="26"/>
  <c r="AU41" i="26"/>
  <c r="AU40" i="26"/>
  <c r="AO43" i="28"/>
  <c r="AR43" i="28"/>
  <c r="AH43" i="28"/>
  <c r="BA43" i="28"/>
  <c r="BE43" i="28"/>
  <c r="AI43" i="28"/>
  <c r="BF43" i="28"/>
  <c r="AK43" i="28"/>
  <c r="AW43" i="28"/>
  <c r="AY43" i="28"/>
  <c r="BD43" i="28"/>
  <c r="BC43" i="28"/>
  <c r="AL43" i="28"/>
  <c r="AS43" i="28"/>
  <c r="AV43" i="28"/>
  <c r="AT43" i="28"/>
  <c r="AP43" i="28"/>
  <c r="AZ43" i="28"/>
  <c r="BG43" i="28"/>
  <c r="BB43" i="28"/>
  <c r="AX43" i="28"/>
  <c r="AQ43" i="28"/>
  <c r="AN43" i="28"/>
  <c r="AJ43" i="28"/>
  <c r="AU43" i="28"/>
  <c r="AM43" i="28"/>
  <c r="AN43" i="25"/>
  <c r="AL43" i="25"/>
  <c r="AJ43" i="25"/>
  <c r="AI43" i="25"/>
  <c r="AY43" i="25"/>
  <c r="AW43" i="25"/>
  <c r="AS43" i="25"/>
  <c r="BA43" i="25"/>
  <c r="AR43" i="25"/>
  <c r="AM43" i="25"/>
  <c r="AV43" i="25"/>
  <c r="AK43" i="25"/>
  <c r="BE43" i="25"/>
  <c r="AH43" i="25"/>
  <c r="AZ43" i="25"/>
  <c r="BC43" i="25"/>
  <c r="BG43" i="25"/>
  <c r="AX43" i="25"/>
  <c r="BF43" i="25"/>
  <c r="AT43" i="25"/>
  <c r="AU43" i="25"/>
  <c r="AP43" i="25"/>
  <c r="BD43" i="25"/>
  <c r="AQ43" i="25"/>
  <c r="AO43" i="25"/>
  <c r="BB43" i="25"/>
  <c r="BD43" i="23"/>
  <c r="AM43" i="23"/>
  <c r="AW43" i="23"/>
  <c r="AZ43" i="23"/>
  <c r="AP43" i="23"/>
  <c r="BE43" i="23"/>
  <c r="AL43" i="23"/>
  <c r="AI43" i="23"/>
  <c r="AY43" i="23"/>
  <c r="AQ43" i="23"/>
  <c r="BA43" i="23"/>
  <c r="AK43" i="23"/>
  <c r="BG43" i="23"/>
  <c r="AU43" i="23"/>
  <c r="BC43" i="23"/>
  <c r="AO43" i="23"/>
  <c r="AN43" i="23"/>
  <c r="AR43" i="23"/>
  <c r="BB43" i="23"/>
  <c r="AX43" i="23"/>
  <c r="AJ43" i="23"/>
  <c r="AV43" i="23"/>
  <c r="BF43" i="23"/>
  <c r="AH43" i="23"/>
  <c r="AT43" i="23"/>
  <c r="AS43" i="23"/>
  <c r="T39" i="1"/>
  <c r="U6" i="1"/>
  <c r="U9" i="1" s="1"/>
  <c r="AW9" i="1" s="1"/>
  <c r="V12" i="1"/>
  <c r="I9" i="31" l="1"/>
  <c r="AJ9" i="31" s="1"/>
  <c r="K13" i="31"/>
  <c r="AL13" i="31" s="1"/>
  <c r="E19" i="31"/>
  <c r="AF19" i="31" s="1"/>
  <c r="S9" i="31"/>
  <c r="AT9" i="31" s="1"/>
  <c r="R9" i="31"/>
  <c r="AS9" i="31" s="1"/>
  <c r="AB9" i="31"/>
  <c r="BC9" i="31" s="1"/>
  <c r="N13" i="31"/>
  <c r="AO13" i="31" s="1"/>
  <c r="Z13" i="31"/>
  <c r="BA13" i="31" s="1"/>
  <c r="X13" i="31"/>
  <c r="AY13" i="31" s="1"/>
  <c r="J19" i="31"/>
  <c r="AK19" i="31" s="1"/>
  <c r="W19" i="31"/>
  <c r="AX19" i="31" s="1"/>
  <c r="V19" i="31"/>
  <c r="AW19" i="31" s="1"/>
  <c r="O19" i="31"/>
  <c r="AP19" i="31" s="1"/>
  <c r="O13" i="31"/>
  <c r="AP13" i="31" s="1"/>
  <c r="AD9" i="31"/>
  <c r="BE9" i="31" s="1"/>
  <c r="R19" i="31"/>
  <c r="AS19" i="31" s="1"/>
  <c r="U9" i="31"/>
  <c r="AV9" i="31" s="1"/>
  <c r="H9" i="31"/>
  <c r="AI9" i="31" s="1"/>
  <c r="W9" i="31"/>
  <c r="AX9" i="31" s="1"/>
  <c r="M13" i="31"/>
  <c r="AN13" i="31" s="1"/>
  <c r="E13" i="31"/>
  <c r="AF13" i="31" s="1"/>
  <c r="T13" i="31"/>
  <c r="AU13" i="31" s="1"/>
  <c r="G19" i="31"/>
  <c r="AH19" i="31" s="1"/>
  <c r="Q19" i="31"/>
  <c r="AR19" i="31" s="1"/>
  <c r="H19" i="31"/>
  <c r="AI19" i="31" s="1"/>
  <c r="AD13" i="31"/>
  <c r="BE13" i="31" s="1"/>
  <c r="G9" i="31"/>
  <c r="AH9" i="31" s="1"/>
  <c r="P13" i="31"/>
  <c r="AQ13" i="31" s="1"/>
  <c r="M19" i="31"/>
  <c r="AN19" i="31" s="1"/>
  <c r="Y9" i="31"/>
  <c r="AZ9" i="31" s="1"/>
  <c r="X9" i="31"/>
  <c r="AY9" i="31" s="1"/>
  <c r="T9" i="31"/>
  <c r="AU9" i="31" s="1"/>
  <c r="R13" i="31"/>
  <c r="AS13" i="31" s="1"/>
  <c r="AB13" i="31"/>
  <c r="BC13" i="31" s="1"/>
  <c r="V13" i="31"/>
  <c r="AW13" i="31" s="1"/>
  <c r="K19" i="31"/>
  <c r="AL19" i="31" s="1"/>
  <c r="S19" i="31"/>
  <c r="AT19" i="31" s="1"/>
  <c r="AC19" i="31"/>
  <c r="BD19" i="31" s="1"/>
  <c r="AC9" i="31"/>
  <c r="BD9" i="31" s="1"/>
  <c r="AA19" i="31"/>
  <c r="BB19" i="31" s="1"/>
  <c r="M9" i="31"/>
  <c r="AN9" i="31" s="1"/>
  <c r="W13" i="31"/>
  <c r="AX13" i="31" s="1"/>
  <c r="L19" i="31"/>
  <c r="AM19" i="31" s="1"/>
  <c r="P9" i="31"/>
  <c r="AQ9" i="31" s="1"/>
  <c r="O9" i="31"/>
  <c r="AP9" i="31" s="1"/>
  <c r="N9" i="31"/>
  <c r="AO9" i="31" s="1"/>
  <c r="J9" i="31"/>
  <c r="AK9" i="31" s="1"/>
  <c r="Q13" i="31"/>
  <c r="AR13" i="31" s="1"/>
  <c r="H13" i="31"/>
  <c r="AI13" i="31" s="1"/>
  <c r="F13" i="31"/>
  <c r="AG13" i="31" s="1"/>
  <c r="N19" i="31"/>
  <c r="AO19" i="31" s="1"/>
  <c r="P19" i="31"/>
  <c r="AQ19" i="31" s="1"/>
  <c r="F19" i="31"/>
  <c r="AG19" i="31" s="1"/>
  <c r="L13" i="31"/>
  <c r="AM13" i="31" s="1"/>
  <c r="Q9" i="31"/>
  <c r="AR9" i="31" s="1"/>
  <c r="K9" i="31"/>
  <c r="AL9" i="31" s="1"/>
  <c r="V9" i="31"/>
  <c r="AW9" i="31" s="1"/>
  <c r="AA9" i="31"/>
  <c r="BB9" i="31" s="1"/>
  <c r="AC13" i="31"/>
  <c r="BD13" i="31" s="1"/>
  <c r="S13" i="31"/>
  <c r="AT13" i="31" s="1"/>
  <c r="G13" i="31"/>
  <c r="AH13" i="31" s="1"/>
  <c r="U19" i="31"/>
  <c r="AV19" i="31" s="1"/>
  <c r="I19" i="31"/>
  <c r="AJ19" i="31" s="1"/>
  <c r="AB19" i="31"/>
  <c r="BC19" i="31" s="1"/>
  <c r="Z9" i="31"/>
  <c r="BA9" i="31" s="1"/>
  <c r="AD19" i="31"/>
  <c r="BE19" i="31" s="1"/>
  <c r="AA13" i="31"/>
  <c r="BB13" i="31" s="1"/>
  <c r="T19" i="31"/>
  <c r="AU19" i="31" s="1"/>
  <c r="E9" i="31"/>
  <c r="AF9" i="31" s="1"/>
  <c r="L9" i="31"/>
  <c r="AM9" i="31" s="1"/>
  <c r="F9" i="31"/>
  <c r="AG9" i="31" s="1"/>
  <c r="Y13" i="31"/>
  <c r="AZ13" i="31" s="1"/>
  <c r="U13" i="31"/>
  <c r="AV13" i="31" s="1"/>
  <c r="J13" i="31"/>
  <c r="AK13" i="31" s="1"/>
  <c r="I13" i="31"/>
  <c r="AJ13" i="31" s="1"/>
  <c r="Y19" i="31"/>
  <c r="AZ19" i="31" s="1"/>
  <c r="Z19" i="31"/>
  <c r="BA19" i="31" s="1"/>
  <c r="X19" i="31"/>
  <c r="AY19" i="31" s="1"/>
  <c r="BD43" i="27"/>
  <c r="BG43" i="29"/>
  <c r="BB43" i="29"/>
  <c r="AS43" i="29"/>
  <c r="AW43" i="29"/>
  <c r="AX43" i="29"/>
  <c r="AN43" i="29"/>
  <c r="AI43" i="29"/>
  <c r="AO43" i="29"/>
  <c r="BC43" i="29"/>
  <c r="AV43" i="29"/>
  <c r="AQ43" i="29"/>
  <c r="AY43" i="29"/>
  <c r="AK43" i="29"/>
  <c r="AL43" i="29"/>
  <c r="AJ43" i="29"/>
  <c r="AU43" i="29"/>
  <c r="BD43" i="29"/>
  <c r="AM43" i="29"/>
  <c r="AH43" i="29"/>
  <c r="AR43" i="29"/>
  <c r="BE43" i="29"/>
  <c r="AP43" i="29"/>
  <c r="BA43" i="29"/>
  <c r="AZ43" i="29"/>
  <c r="AT43" i="29"/>
  <c r="BF43" i="29"/>
  <c r="BB43" i="24"/>
  <c r="BB43" i="27"/>
  <c r="BA43" i="24"/>
  <c r="AV43" i="27"/>
  <c r="AY43" i="27"/>
  <c r="BA43" i="27"/>
  <c r="AT43" i="27"/>
  <c r="AZ43" i="27"/>
  <c r="AU43" i="27"/>
  <c r="AI43" i="27"/>
  <c r="AO43" i="27"/>
  <c r="AZ43" i="24"/>
  <c r="BD43" i="24"/>
  <c r="AR43" i="27"/>
  <c r="BF43" i="24"/>
  <c r="AH43" i="24"/>
  <c r="E11" i="31" s="1"/>
  <c r="AR43" i="24"/>
  <c r="AQ43" i="27"/>
  <c r="AJ43" i="27"/>
  <c r="AM43" i="24"/>
  <c r="AN43" i="27"/>
  <c r="BG43" i="27"/>
  <c r="AS43" i="27"/>
  <c r="AP43" i="27"/>
  <c r="BF43" i="27"/>
  <c r="AW43" i="24"/>
  <c r="AL43" i="24"/>
  <c r="AM43" i="27"/>
  <c r="BE43" i="24"/>
  <c r="AY43" i="24"/>
  <c r="AO43" i="24"/>
  <c r="AT43" i="24"/>
  <c r="AX43" i="24"/>
  <c r="AS43" i="24"/>
  <c r="AU43" i="24"/>
  <c r="AV43" i="24"/>
  <c r="AK43" i="24"/>
  <c r="BG43" i="24"/>
  <c r="AI43" i="24"/>
  <c r="AK43" i="27"/>
  <c r="BE43" i="27"/>
  <c r="AH43" i="27"/>
  <c r="AW43" i="27"/>
  <c r="BC43" i="27"/>
  <c r="AX43" i="27"/>
  <c r="AI43" i="26"/>
  <c r="AN43" i="24"/>
  <c r="BC43" i="24"/>
  <c r="AP43" i="24"/>
  <c r="AQ43" i="24"/>
  <c r="AL43" i="27"/>
  <c r="I17" i="31" s="1"/>
  <c r="BA43" i="26"/>
  <c r="BB43" i="26"/>
  <c r="AP43" i="26"/>
  <c r="AS43" i="26"/>
  <c r="AK43" i="26"/>
  <c r="AM43" i="26"/>
  <c r="AX43" i="26"/>
  <c r="BE43" i="26"/>
  <c r="BG43" i="26"/>
  <c r="AL43" i="26"/>
  <c r="AU43" i="26"/>
  <c r="BD43" i="26"/>
  <c r="AW43" i="26"/>
  <c r="AV43" i="26"/>
  <c r="BC43" i="26"/>
  <c r="AZ43" i="26"/>
  <c r="AJ43" i="26"/>
  <c r="AY43" i="26"/>
  <c r="BF43" i="26"/>
  <c r="AT43" i="26"/>
  <c r="AN43" i="26"/>
  <c r="AH43" i="26"/>
  <c r="AQ43" i="26"/>
  <c r="AR43" i="26"/>
  <c r="AJ43" i="24"/>
  <c r="G11" i="31" s="1"/>
  <c r="AO43" i="26"/>
  <c r="AW8" i="1"/>
  <c r="AW7" i="1"/>
  <c r="AF9" i="1"/>
  <c r="Z11" i="1" s="1"/>
  <c r="Z13" i="1" s="1"/>
  <c r="U39" i="1"/>
  <c r="V6" i="1"/>
  <c r="W12" i="1"/>
  <c r="E15" i="31" l="1"/>
  <c r="AF15" i="31" s="1"/>
  <c r="AC17" i="31"/>
  <c r="BD17" i="31" s="1"/>
  <c r="Y11" i="31"/>
  <c r="AZ11" i="31" s="1"/>
  <c r="K15" i="31"/>
  <c r="AL15" i="31" s="1"/>
  <c r="T15" i="31"/>
  <c r="AU15" i="31" s="1"/>
  <c r="H15" i="31"/>
  <c r="AI15" i="31" s="1"/>
  <c r="Z11" i="31"/>
  <c r="BA11" i="31" s="1"/>
  <c r="H17" i="31"/>
  <c r="AI17" i="31" s="1"/>
  <c r="Q11" i="31"/>
  <c r="AR11" i="31" s="1"/>
  <c r="M17" i="31"/>
  <c r="AN17" i="31" s="1"/>
  <c r="W17" i="31"/>
  <c r="AX17" i="31" s="1"/>
  <c r="AC21" i="31"/>
  <c r="BD21" i="31" s="1"/>
  <c r="J21" i="31"/>
  <c r="AK21" i="31" s="1"/>
  <c r="S21" i="31"/>
  <c r="AT21" i="31" s="1"/>
  <c r="Y21" i="31"/>
  <c r="AZ21" i="31" s="1"/>
  <c r="AB17" i="31"/>
  <c r="BC17" i="31" s="1"/>
  <c r="N21" i="31"/>
  <c r="AO21" i="31" s="1"/>
  <c r="P15" i="31"/>
  <c r="AQ15" i="31" s="1"/>
  <c r="AC11" i="31"/>
  <c r="BD11" i="31" s="1"/>
  <c r="AD21" i="31"/>
  <c r="BE21" i="31" s="1"/>
  <c r="AC15" i="31"/>
  <c r="BD15" i="31" s="1"/>
  <c r="R15" i="31"/>
  <c r="AS15" i="31" s="1"/>
  <c r="M15" i="31"/>
  <c r="AN15" i="31" s="1"/>
  <c r="F15" i="31"/>
  <c r="AG15" i="31" s="1"/>
  <c r="AD11" i="31"/>
  <c r="BE11" i="31" s="1"/>
  <c r="V11" i="31"/>
  <c r="AW11" i="31" s="1"/>
  <c r="AD17" i="31"/>
  <c r="BE17" i="31" s="1"/>
  <c r="O17" i="31"/>
  <c r="AP17" i="31" s="1"/>
  <c r="X17" i="31"/>
  <c r="AY17" i="31" s="1"/>
  <c r="W21" i="31"/>
  <c r="AX21" i="31" s="1"/>
  <c r="R21" i="31"/>
  <c r="AS21" i="31" s="1"/>
  <c r="L21" i="31"/>
  <c r="AM21" i="31" s="1"/>
  <c r="AA17" i="31"/>
  <c r="BB17" i="31" s="1"/>
  <c r="U11" i="31"/>
  <c r="AV11" i="31" s="1"/>
  <c r="P21" i="31"/>
  <c r="AQ21" i="31" s="1"/>
  <c r="K11" i="31"/>
  <c r="AL11" i="31" s="1"/>
  <c r="P17" i="31"/>
  <c r="AQ17" i="31" s="1"/>
  <c r="Z21" i="31"/>
  <c r="BA21" i="31" s="1"/>
  <c r="I15" i="31"/>
  <c r="AJ15" i="31" s="1"/>
  <c r="U17" i="31"/>
  <c r="AV17" i="31" s="1"/>
  <c r="AB11" i="31"/>
  <c r="BC11" i="31" s="1"/>
  <c r="K17" i="31"/>
  <c r="AL17" i="31" s="1"/>
  <c r="AA11" i="31"/>
  <c r="BB11" i="31" s="1"/>
  <c r="V17" i="31"/>
  <c r="AW17" i="31" s="1"/>
  <c r="X21" i="31"/>
  <c r="AY21" i="31" s="1"/>
  <c r="G21" i="31"/>
  <c r="AH21" i="31" s="1"/>
  <c r="F21" i="31"/>
  <c r="AG21" i="31" s="1"/>
  <c r="M11" i="31"/>
  <c r="AN11" i="31" s="1"/>
  <c r="E21" i="31"/>
  <c r="AF21" i="31" s="1"/>
  <c r="F11" i="31"/>
  <c r="AG11" i="31" s="1"/>
  <c r="Q21" i="31"/>
  <c r="AR21" i="31" s="1"/>
  <c r="L15" i="31"/>
  <c r="AM15" i="31" s="1"/>
  <c r="Y15" i="31"/>
  <c r="AZ15" i="31" s="1"/>
  <c r="H11" i="31"/>
  <c r="AI11" i="31" s="1"/>
  <c r="G15" i="31"/>
  <c r="AH15" i="31" s="1"/>
  <c r="AD15" i="31"/>
  <c r="BE15" i="31" s="1"/>
  <c r="X15" i="31"/>
  <c r="AY15" i="31" s="1"/>
  <c r="Z17" i="31"/>
  <c r="BA17" i="31" s="1"/>
  <c r="S11" i="31"/>
  <c r="AT11" i="31" s="1"/>
  <c r="J17" i="31"/>
  <c r="AK17" i="31" s="1"/>
  <c r="J11" i="31"/>
  <c r="AK11" i="31" s="1"/>
  <c r="W11" i="31"/>
  <c r="AX11" i="31" s="1"/>
  <c r="S17" i="31"/>
  <c r="AT17" i="31" s="1"/>
  <c r="M21" i="31"/>
  <c r="AN21" i="31" s="1"/>
  <c r="I21" i="31"/>
  <c r="AJ21" i="31" s="1"/>
  <c r="K21" i="31"/>
  <c r="AL21" i="31" s="1"/>
  <c r="S15" i="31"/>
  <c r="AT15" i="31" s="1"/>
  <c r="O11" i="31"/>
  <c r="AP11" i="31" s="1"/>
  <c r="Q15" i="31"/>
  <c r="AR15" i="31" s="1"/>
  <c r="L11" i="31"/>
  <c r="AM11" i="31" s="1"/>
  <c r="AA21" i="31"/>
  <c r="BB21" i="31" s="1"/>
  <c r="V15" i="31"/>
  <c r="AW15" i="31" s="1"/>
  <c r="O15" i="31"/>
  <c r="AP15" i="31" s="1"/>
  <c r="W15" i="31"/>
  <c r="AX15" i="31" s="1"/>
  <c r="R11" i="31"/>
  <c r="AS11" i="31" s="1"/>
  <c r="I11" i="31"/>
  <c r="AJ11" i="31" s="1"/>
  <c r="G17" i="31"/>
  <c r="AH17" i="31" s="1"/>
  <c r="L17" i="31"/>
  <c r="AM17" i="31" s="1"/>
  <c r="X11" i="31"/>
  <c r="AY11" i="31" s="1"/>
  <c r="AB21" i="31"/>
  <c r="BC21" i="31" s="1"/>
  <c r="H21" i="31"/>
  <c r="AI21" i="31" s="1"/>
  <c r="U21" i="31"/>
  <c r="AV21" i="31" s="1"/>
  <c r="J15" i="31"/>
  <c r="AK15" i="31" s="1"/>
  <c r="R17" i="31"/>
  <c r="AS17" i="31" s="1"/>
  <c r="AA15" i="31"/>
  <c r="BB15" i="31" s="1"/>
  <c r="Q17" i="31"/>
  <c r="AR17" i="31" s="1"/>
  <c r="AB15" i="31"/>
  <c r="BC15" i="31" s="1"/>
  <c r="T17" i="31"/>
  <c r="AU17" i="31" s="1"/>
  <c r="N15" i="31"/>
  <c r="AO15" i="31" s="1"/>
  <c r="Z15" i="31"/>
  <c r="BA15" i="31" s="1"/>
  <c r="U15" i="31"/>
  <c r="AV15" i="31" s="1"/>
  <c r="N11" i="31"/>
  <c r="AO11" i="31" s="1"/>
  <c r="E17" i="31"/>
  <c r="AF17" i="31" s="1"/>
  <c r="P11" i="31"/>
  <c r="AQ11" i="31" s="1"/>
  <c r="T11" i="31"/>
  <c r="AU11" i="31" s="1"/>
  <c r="N17" i="31"/>
  <c r="AO17" i="31" s="1"/>
  <c r="F17" i="31"/>
  <c r="AG17" i="31" s="1"/>
  <c r="Y17" i="31"/>
  <c r="AZ17" i="31" s="1"/>
  <c r="O21" i="31"/>
  <c r="AP21" i="31" s="1"/>
  <c r="V21" i="31"/>
  <c r="AW21" i="31" s="1"/>
  <c r="T21" i="31"/>
  <c r="AU21" i="31" s="1"/>
  <c r="AF11" i="31"/>
  <c r="AH11" i="31"/>
  <c r="AJ17" i="31"/>
  <c r="V11" i="1"/>
  <c r="V13" i="1" s="1"/>
  <c r="Q11" i="1"/>
  <c r="Q13" i="1" s="1"/>
  <c r="Q14" i="1" s="1"/>
  <c r="Q15" i="1" s="1"/>
  <c r="AS15" i="1" s="1"/>
  <c r="O11" i="1"/>
  <c r="O13" i="1" s="1"/>
  <c r="O14" i="1" s="1"/>
  <c r="O15" i="1" s="1"/>
  <c r="AQ15" i="1" s="1"/>
  <c r="AB11" i="1"/>
  <c r="AB13" i="1" s="1"/>
  <c r="AA11" i="1"/>
  <c r="AA13" i="1" s="1"/>
  <c r="X11" i="1"/>
  <c r="X13" i="1" s="1"/>
  <c r="Y11" i="1"/>
  <c r="Y13" i="1" s="1"/>
  <c r="W11" i="1"/>
  <c r="W13" i="1" s="1"/>
  <c r="K11" i="1"/>
  <c r="K13" i="1" s="1"/>
  <c r="K14" i="1" s="1"/>
  <c r="K15" i="1" s="1"/>
  <c r="AM15" i="1" s="1"/>
  <c r="AC11" i="1"/>
  <c r="AC13" i="1" s="1"/>
  <c r="U11" i="1"/>
  <c r="U13" i="1" s="1"/>
  <c r="J11" i="1"/>
  <c r="J13" i="1" s="1"/>
  <c r="J14" i="1" s="1"/>
  <c r="J15" i="1" s="1"/>
  <c r="AL15" i="1" s="1"/>
  <c r="I11" i="1"/>
  <c r="I13" i="1" s="1"/>
  <c r="R11" i="1"/>
  <c r="R13" i="1" s="1"/>
  <c r="R14" i="1" s="1"/>
  <c r="R15" i="1" s="1"/>
  <c r="AT15" i="1" s="1"/>
  <c r="AE11" i="1"/>
  <c r="AE13" i="1" s="1"/>
  <c r="T11" i="1"/>
  <c r="T13" i="1" s="1"/>
  <c r="AD11" i="1"/>
  <c r="AD13" i="1" s="1"/>
  <c r="G11" i="1"/>
  <c r="G13" i="1" s="1"/>
  <c r="F11" i="1"/>
  <c r="F13" i="1" s="1"/>
  <c r="F14" i="1" s="1"/>
  <c r="F15" i="1" s="1"/>
  <c r="AH15" i="1" s="1"/>
  <c r="M11" i="1"/>
  <c r="M13" i="1" s="1"/>
  <c r="M14" i="1" s="1"/>
  <c r="M15" i="1" s="1"/>
  <c r="AO15" i="1" s="1"/>
  <c r="N11" i="1"/>
  <c r="N13" i="1" s="1"/>
  <c r="N14" i="1" s="1"/>
  <c r="N15" i="1" s="1"/>
  <c r="AP15" i="1" s="1"/>
  <c r="S11" i="1"/>
  <c r="S13" i="1" s="1"/>
  <c r="H11" i="1"/>
  <c r="H13" i="1" s="1"/>
  <c r="P11" i="1"/>
  <c r="P13" i="1" s="1"/>
  <c r="P14" i="1" s="1"/>
  <c r="P15" i="1" s="1"/>
  <c r="AR15" i="1" s="1"/>
  <c r="L11" i="1"/>
  <c r="L13" i="1" s="1"/>
  <c r="Z14" i="1"/>
  <c r="Z15" i="1" s="1"/>
  <c r="BB15" i="1" s="1"/>
  <c r="V39" i="1"/>
  <c r="W6" i="1"/>
  <c r="X12" i="1"/>
  <c r="AB14" i="1" l="1"/>
  <c r="AB15" i="1" s="1"/>
  <c r="BD15" i="1" s="1"/>
  <c r="BD14" i="1" s="1"/>
  <c r="AS13" i="1"/>
  <c r="AS14" i="1"/>
  <c r="AT13" i="1"/>
  <c r="AT14" i="1"/>
  <c r="AP13" i="1"/>
  <c r="AP14" i="1"/>
  <c r="AM14" i="1"/>
  <c r="AM13" i="1"/>
  <c r="AQ13" i="1"/>
  <c r="AQ14" i="1"/>
  <c r="AH13" i="1"/>
  <c r="AH14" i="1"/>
  <c r="AO14" i="1"/>
  <c r="AO13" i="1"/>
  <c r="BB14" i="1"/>
  <c r="BB13" i="1"/>
  <c r="I14" i="1"/>
  <c r="I15" i="1" s="1"/>
  <c r="AK15" i="1" s="1"/>
  <c r="AR14" i="1"/>
  <c r="AR13" i="1"/>
  <c r="AL14" i="1"/>
  <c r="AL13" i="1"/>
  <c r="AA14" i="1"/>
  <c r="AA15" i="1" s="1"/>
  <c r="BC15" i="1" s="1"/>
  <c r="W14" i="1"/>
  <c r="W15" i="1" s="1"/>
  <c r="AY15" i="1" s="1"/>
  <c r="AE14" i="1"/>
  <c r="AE15" i="1" s="1"/>
  <c r="BG15" i="1" s="1"/>
  <c r="Y14" i="1"/>
  <c r="Y15" i="1" s="1"/>
  <c r="BA15" i="1" s="1"/>
  <c r="V14" i="1"/>
  <c r="V15" i="1" s="1"/>
  <c r="AX15" i="1" s="1"/>
  <c r="AX13" i="1" s="1"/>
  <c r="X14" i="1"/>
  <c r="X15" i="1" s="1"/>
  <c r="AZ15" i="1" s="1"/>
  <c r="T14" i="1"/>
  <c r="T15" i="1" s="1"/>
  <c r="AV15" i="1" s="1"/>
  <c r="U14" i="1"/>
  <c r="U15" i="1" s="1"/>
  <c r="AW15" i="1" s="1"/>
  <c r="H14" i="1"/>
  <c r="H15" i="1" s="1"/>
  <c r="AJ15" i="1" s="1"/>
  <c r="AC14" i="1"/>
  <c r="AC15" i="1" s="1"/>
  <c r="BE15" i="1" s="1"/>
  <c r="G14" i="1"/>
  <c r="G15" i="1" s="1"/>
  <c r="AI15" i="1" s="1"/>
  <c r="AD14" i="1"/>
  <c r="AD15" i="1" s="1"/>
  <c r="BF15" i="1" s="1"/>
  <c r="S14" i="1"/>
  <c r="S15" i="1" s="1"/>
  <c r="AU15" i="1" s="1"/>
  <c r="L14" i="1"/>
  <c r="L15" i="1" s="1"/>
  <c r="AN15" i="1" s="1"/>
  <c r="W39" i="1"/>
  <c r="X6" i="1"/>
  <c r="Y12" i="1"/>
  <c r="AX14" i="1" l="1"/>
  <c r="BD13" i="1"/>
  <c r="AN13" i="1"/>
  <c r="AN14" i="1"/>
  <c r="AJ13" i="1"/>
  <c r="AJ14" i="1"/>
  <c r="BG13" i="1"/>
  <c r="BG14" i="1"/>
  <c r="BE13" i="1"/>
  <c r="BE14" i="1"/>
  <c r="AW13" i="1"/>
  <c r="AW14" i="1"/>
  <c r="AU14" i="1"/>
  <c r="AU13" i="1"/>
  <c r="AK13" i="1"/>
  <c r="AK14" i="1"/>
  <c r="AZ13" i="1"/>
  <c r="AZ14" i="1"/>
  <c r="BA13" i="1"/>
  <c r="BA14" i="1"/>
  <c r="BF13" i="1"/>
  <c r="BF14" i="1"/>
  <c r="AY13" i="1"/>
  <c r="AY14" i="1"/>
  <c r="AI13" i="1"/>
  <c r="AI14" i="1"/>
  <c r="BC13" i="1"/>
  <c r="BC14" i="1"/>
  <c r="AV14" i="1"/>
  <c r="AV13" i="1"/>
  <c r="AF15" i="1"/>
  <c r="F17" i="1" s="1"/>
  <c r="F19" i="1" s="1"/>
  <c r="F20" i="1" s="1"/>
  <c r="F21" i="1" s="1"/>
  <c r="AH21" i="1" s="1"/>
  <c r="X39" i="1"/>
  <c r="Y6" i="1"/>
  <c r="Z12" i="1"/>
  <c r="BA16" i="1" l="1"/>
  <c r="BD16" i="1"/>
  <c r="BG16" i="1"/>
  <c r="AR16" i="1"/>
  <c r="AP16" i="1"/>
  <c r="AU16" i="1"/>
  <c r="AK16" i="1"/>
  <c r="AV16" i="1"/>
  <c r="AX16" i="1"/>
  <c r="BF16" i="1"/>
  <c r="AT16" i="1"/>
  <c r="AW16" i="1"/>
  <c r="AZ16" i="1"/>
  <c r="AO16" i="1"/>
  <c r="AS16" i="1"/>
  <c r="AY16" i="1"/>
  <c r="AQ16" i="1"/>
  <c r="BC16" i="1"/>
  <c r="AN16" i="1"/>
  <c r="AJ16" i="1"/>
  <c r="BE16" i="1"/>
  <c r="AI16" i="1"/>
  <c r="BB16" i="1"/>
  <c r="AH16" i="1"/>
  <c r="AM16" i="1"/>
  <c r="AL16" i="1"/>
  <c r="AH19" i="1"/>
  <c r="AH20" i="1"/>
  <c r="L17" i="1"/>
  <c r="L19" i="1" s="1"/>
  <c r="L20" i="1" s="1"/>
  <c r="L21" i="1" s="1"/>
  <c r="AN21" i="1" s="1"/>
  <c r="U17" i="1"/>
  <c r="U19" i="1" s="1"/>
  <c r="N17" i="1"/>
  <c r="N19" i="1" s="1"/>
  <c r="N20" i="1" s="1"/>
  <c r="N21" i="1" s="1"/>
  <c r="AP21" i="1" s="1"/>
  <c r="I17" i="1"/>
  <c r="I19" i="1" s="1"/>
  <c r="T17" i="1"/>
  <c r="T19" i="1" s="1"/>
  <c r="T20" i="1" s="1"/>
  <c r="T21" i="1" s="1"/>
  <c r="AV21" i="1" s="1"/>
  <c r="K17" i="1"/>
  <c r="K19" i="1" s="1"/>
  <c r="J17" i="1"/>
  <c r="J19" i="1" s="1"/>
  <c r="J20" i="1" s="1"/>
  <c r="J21" i="1" s="1"/>
  <c r="AL21" i="1" s="1"/>
  <c r="AD17" i="1"/>
  <c r="AD19" i="1" s="1"/>
  <c r="AD20" i="1" s="1"/>
  <c r="AD21" i="1" s="1"/>
  <c r="BF21" i="1" s="1"/>
  <c r="P17" i="1"/>
  <c r="AA17" i="1"/>
  <c r="M17" i="1"/>
  <c r="M19" i="1" s="1"/>
  <c r="M20" i="1" s="1"/>
  <c r="M21" i="1" s="1"/>
  <c r="AO21" i="1" s="1"/>
  <c r="S17" i="1"/>
  <c r="S19" i="1" s="1"/>
  <c r="S20" i="1" s="1"/>
  <c r="S21" i="1" s="1"/>
  <c r="AU21" i="1" s="1"/>
  <c r="H17" i="1"/>
  <c r="H19" i="1" s="1"/>
  <c r="H20" i="1" s="1"/>
  <c r="H21" i="1" s="1"/>
  <c r="AJ21" i="1" s="1"/>
  <c r="O17" i="1"/>
  <c r="O19" i="1" s="1"/>
  <c r="O20" i="1" s="1"/>
  <c r="O21" i="1" s="1"/>
  <c r="AQ21" i="1" s="1"/>
  <c r="G17" i="1"/>
  <c r="G19" i="1" s="1"/>
  <c r="G20" i="1" s="1"/>
  <c r="G21" i="1" s="1"/>
  <c r="AI21" i="1" s="1"/>
  <c r="Z17" i="1"/>
  <c r="Z19" i="1" s="1"/>
  <c r="Z20" i="1" s="1"/>
  <c r="Z21" i="1" s="1"/>
  <c r="BB21" i="1" s="1"/>
  <c r="W17" i="1"/>
  <c r="W19" i="1" s="1"/>
  <c r="R17" i="1"/>
  <c r="R19" i="1" s="1"/>
  <c r="Q17" i="1"/>
  <c r="Q19" i="1" s="1"/>
  <c r="Q20" i="1" s="1"/>
  <c r="Q21" i="1" s="1"/>
  <c r="AS21" i="1" s="1"/>
  <c r="AC17" i="1"/>
  <c r="AC19" i="1" s="1"/>
  <c r="AC20" i="1" s="1"/>
  <c r="AC21" i="1" s="1"/>
  <c r="BE21" i="1" s="1"/>
  <c r="X17" i="1"/>
  <c r="X19" i="1" s="1"/>
  <c r="X20" i="1" s="1"/>
  <c r="X21" i="1" s="1"/>
  <c r="AZ21" i="1" s="1"/>
  <c r="V17" i="1"/>
  <c r="V19" i="1" s="1"/>
  <c r="V20" i="1" s="1"/>
  <c r="V21" i="1" s="1"/>
  <c r="AX21" i="1" s="1"/>
  <c r="Y17" i="1"/>
  <c r="Y19" i="1" s="1"/>
  <c r="Y20" i="1" s="1"/>
  <c r="Y21" i="1" s="1"/>
  <c r="BA21" i="1" s="1"/>
  <c r="AE17" i="1"/>
  <c r="AE19" i="1" s="1"/>
  <c r="AE20" i="1" s="1"/>
  <c r="AE21" i="1" s="1"/>
  <c r="BG21" i="1" s="1"/>
  <c r="AB17" i="1"/>
  <c r="AB19" i="1" s="1"/>
  <c r="AB20" i="1" s="1"/>
  <c r="AB21" i="1" s="1"/>
  <c r="BD21" i="1" s="1"/>
  <c r="Y39" i="1"/>
  <c r="Z6" i="1"/>
  <c r="AA12" i="1"/>
  <c r="P19" i="1" l="1"/>
  <c r="P20" i="1" s="1"/>
  <c r="P21" i="1" s="1"/>
  <c r="AR21" i="1" s="1"/>
  <c r="U20" i="1"/>
  <c r="U21" i="1" s="1"/>
  <c r="AW21" i="1" s="1"/>
  <c r="AL20" i="1"/>
  <c r="AL19" i="1"/>
  <c r="AQ19" i="1"/>
  <c r="AQ20" i="1"/>
  <c r="BD19" i="1"/>
  <c r="BD20" i="1"/>
  <c r="AJ19" i="1"/>
  <c r="AJ20" i="1"/>
  <c r="BE19" i="1"/>
  <c r="BE20" i="1"/>
  <c r="BF19" i="1"/>
  <c r="BF20" i="1"/>
  <c r="AS20" i="1"/>
  <c r="AS19" i="1"/>
  <c r="BG20" i="1"/>
  <c r="BG19" i="1"/>
  <c r="AU20" i="1"/>
  <c r="AU19" i="1"/>
  <c r="AV20" i="1"/>
  <c r="AV19" i="1"/>
  <c r="AX19" i="1"/>
  <c r="AX20" i="1"/>
  <c r="BB20" i="1"/>
  <c r="BB19" i="1"/>
  <c r="BA20" i="1"/>
  <c r="BA19" i="1"/>
  <c r="AO20" i="1"/>
  <c r="AO19" i="1"/>
  <c r="AN19" i="1"/>
  <c r="AN20" i="1"/>
  <c r="AZ20" i="1"/>
  <c r="AZ19" i="1"/>
  <c r="AI20" i="1"/>
  <c r="AI19" i="1"/>
  <c r="AP19" i="1"/>
  <c r="AP20" i="1"/>
  <c r="K20" i="1"/>
  <c r="K21" i="1" s="1"/>
  <c r="AM21" i="1" s="1"/>
  <c r="R20" i="1"/>
  <c r="R21" i="1" s="1"/>
  <c r="AT21" i="1" s="1"/>
  <c r="AA19" i="1"/>
  <c r="AA20" i="1" s="1"/>
  <c r="AA21" i="1" s="1"/>
  <c r="BC21" i="1" s="1"/>
  <c r="W20" i="1"/>
  <c r="W21" i="1" s="1"/>
  <c r="AY21" i="1" s="1"/>
  <c r="I20" i="1"/>
  <c r="I21" i="1" s="1"/>
  <c r="AK21" i="1" s="1"/>
  <c r="Z39" i="1"/>
  <c r="AA6" i="1"/>
  <c r="AB12" i="1"/>
  <c r="AT20" i="1" l="1"/>
  <c r="AT19" i="1"/>
  <c r="AM20" i="1"/>
  <c r="AM19" i="1"/>
  <c r="AK19" i="1"/>
  <c r="AK20" i="1"/>
  <c r="AW19" i="1"/>
  <c r="AW20" i="1"/>
  <c r="BC20" i="1"/>
  <c r="BC19" i="1"/>
  <c r="AY19" i="1"/>
  <c r="AY20" i="1"/>
  <c r="AR20" i="1"/>
  <c r="AR19" i="1"/>
  <c r="AF21" i="1"/>
  <c r="AD23" i="1" s="1"/>
  <c r="AD24" i="1" s="1"/>
  <c r="BF24" i="1" s="1"/>
  <c r="AA39" i="1"/>
  <c r="AB6" i="1"/>
  <c r="AC12" i="1"/>
  <c r="AS22" i="1" l="1"/>
  <c r="AU22" i="1"/>
  <c r="AO22" i="1"/>
  <c r="AT22" i="1"/>
  <c r="AV22" i="1"/>
  <c r="BG22" i="1"/>
  <c r="BD22" i="1"/>
  <c r="AR22" i="1"/>
  <c r="AX22" i="1"/>
  <c r="AW22" i="1"/>
  <c r="BF22" i="1"/>
  <c r="AP22" i="1"/>
  <c r="AZ22" i="1"/>
  <c r="BA22" i="1"/>
  <c r="AH22" i="1"/>
  <c r="AM22" i="1"/>
  <c r="BE22" i="1"/>
  <c r="AY22" i="1"/>
  <c r="AI22" i="1"/>
  <c r="BB22" i="1"/>
  <c r="BC22" i="1"/>
  <c r="AJ22" i="1"/>
  <c r="AN22" i="1"/>
  <c r="AQ22" i="1"/>
  <c r="AL22" i="1"/>
  <c r="AK22" i="1"/>
  <c r="BF25" i="1"/>
  <c r="BF26" i="1"/>
  <c r="Z23" i="1"/>
  <c r="Z24" i="1" s="1"/>
  <c r="BB24" i="1" s="1"/>
  <c r="X23" i="1"/>
  <c r="X24" i="1" s="1"/>
  <c r="AZ24" i="1" s="1"/>
  <c r="I23" i="1"/>
  <c r="I24" i="1" s="1"/>
  <c r="AK24" i="1" s="1"/>
  <c r="N23" i="1"/>
  <c r="N24" i="1" s="1"/>
  <c r="AP24" i="1" s="1"/>
  <c r="M23" i="1"/>
  <c r="M24" i="1" s="1"/>
  <c r="AO24" i="1" s="1"/>
  <c r="H23" i="1"/>
  <c r="H24" i="1" s="1"/>
  <c r="AJ24" i="1" s="1"/>
  <c r="L23" i="1"/>
  <c r="L24" i="1" s="1"/>
  <c r="AN24" i="1" s="1"/>
  <c r="G23" i="1"/>
  <c r="G24" i="1" s="1"/>
  <c r="AI24" i="1" s="1"/>
  <c r="Q23" i="1"/>
  <c r="Q24" i="1" s="1"/>
  <c r="AS24" i="1" s="1"/>
  <c r="V23" i="1"/>
  <c r="V24" i="1" s="1"/>
  <c r="AX24" i="1" s="1"/>
  <c r="F23" i="1"/>
  <c r="F24" i="1" s="1"/>
  <c r="AH24" i="1" s="1"/>
  <c r="AA23" i="1"/>
  <c r="AA24" i="1" s="1"/>
  <c r="BC24" i="1" s="1"/>
  <c r="J23" i="1"/>
  <c r="J24" i="1" s="1"/>
  <c r="AL24" i="1" s="1"/>
  <c r="AC23" i="1"/>
  <c r="AC24" i="1" s="1"/>
  <c r="BE24" i="1" s="1"/>
  <c r="Y23" i="1"/>
  <c r="Y24" i="1" s="1"/>
  <c r="BA24" i="1" s="1"/>
  <c r="AB23" i="1"/>
  <c r="AB24" i="1" s="1"/>
  <c r="BD24" i="1" s="1"/>
  <c r="S23" i="1"/>
  <c r="S24" i="1" s="1"/>
  <c r="AU24" i="1" s="1"/>
  <c r="W23" i="1"/>
  <c r="W24" i="1" s="1"/>
  <c r="AY24" i="1" s="1"/>
  <c r="K23" i="1"/>
  <c r="K24" i="1" s="1"/>
  <c r="AM24" i="1" s="1"/>
  <c r="U23" i="1"/>
  <c r="U24" i="1" s="1"/>
  <c r="AW24" i="1" s="1"/>
  <c r="P23" i="1"/>
  <c r="P24" i="1" s="1"/>
  <c r="AR24" i="1" s="1"/>
  <c r="AE23" i="1"/>
  <c r="AE24" i="1" s="1"/>
  <c r="BG24" i="1" s="1"/>
  <c r="O23" i="1"/>
  <c r="O24" i="1" s="1"/>
  <c r="AQ24" i="1" s="1"/>
  <c r="R23" i="1"/>
  <c r="R24" i="1" s="1"/>
  <c r="AT24" i="1" s="1"/>
  <c r="T23" i="1"/>
  <c r="T24" i="1" s="1"/>
  <c r="AV24" i="1" s="1"/>
  <c r="AB39" i="1"/>
  <c r="AC6" i="1"/>
  <c r="AD12" i="1"/>
  <c r="AS25" i="1" l="1"/>
  <c r="AS26" i="1"/>
  <c r="AI25" i="1"/>
  <c r="AI26" i="1"/>
  <c r="BG25" i="1"/>
  <c r="BG26" i="1"/>
  <c r="BD26" i="1"/>
  <c r="BD25" i="1"/>
  <c r="AX26" i="1"/>
  <c r="AX25" i="1"/>
  <c r="AP25" i="1"/>
  <c r="AP26" i="1"/>
  <c r="AR26" i="1"/>
  <c r="AR25" i="1"/>
  <c r="BE25" i="1"/>
  <c r="BE26" i="1"/>
  <c r="AV26" i="1"/>
  <c r="AV25" i="1"/>
  <c r="AN25" i="1"/>
  <c r="AN26" i="1"/>
  <c r="BB26" i="1"/>
  <c r="BB25" i="1"/>
  <c r="BA26" i="1"/>
  <c r="BA25" i="1"/>
  <c r="AW25" i="1"/>
  <c r="AW26" i="1"/>
  <c r="AZ25" i="1"/>
  <c r="AZ26" i="1"/>
  <c r="AL26" i="1"/>
  <c r="AL25" i="1"/>
  <c r="AY25" i="1"/>
  <c r="AY26" i="1"/>
  <c r="BC26" i="1"/>
  <c r="BC25" i="1"/>
  <c r="AJ25" i="1"/>
  <c r="AJ26" i="1"/>
  <c r="AK26" i="1"/>
  <c r="AK25" i="1"/>
  <c r="AM25" i="1"/>
  <c r="AM26" i="1"/>
  <c r="AT26" i="1"/>
  <c r="AT25" i="1"/>
  <c r="AQ25" i="1"/>
  <c r="AQ26" i="1"/>
  <c r="AU26" i="1"/>
  <c r="AU25" i="1"/>
  <c r="AH26" i="1"/>
  <c r="AH25" i="1"/>
  <c r="AO26" i="1"/>
  <c r="AO25" i="1"/>
  <c r="AC39" i="1"/>
  <c r="AD6" i="1"/>
  <c r="AE12" i="1"/>
  <c r="AY23" i="1" l="1"/>
  <c r="AW23" i="1"/>
  <c r="AX23" i="1"/>
  <c r="BC23" i="1"/>
  <c r="BD23" i="1"/>
  <c r="AL23" i="1"/>
  <c r="AV23" i="1"/>
  <c r="AH23" i="1"/>
  <c r="AJ23" i="1"/>
  <c r="BG23" i="1"/>
  <c r="BE23" i="1"/>
  <c r="AO23" i="1"/>
  <c r="AT23" i="1"/>
  <c r="AK23" i="1"/>
  <c r="AS23" i="1"/>
  <c r="AN23" i="1"/>
  <c r="AM23" i="1"/>
  <c r="AR23" i="1"/>
  <c r="AP23" i="1"/>
  <c r="BB23" i="1"/>
  <c r="BA23" i="1"/>
  <c r="AQ23" i="1"/>
  <c r="AZ23" i="1"/>
  <c r="AI23" i="1"/>
  <c r="BF23" i="1"/>
  <c r="AU23" i="1"/>
  <c r="AD39" i="1"/>
  <c r="AE6" i="1"/>
  <c r="AE39" i="1" l="1"/>
  <c r="AF24" i="1" l="1"/>
  <c r="F26" i="1" s="1"/>
  <c r="F28" i="1" s="1"/>
  <c r="O26" i="1" l="1"/>
  <c r="O28" i="1" s="1"/>
  <c r="P26" i="1"/>
  <c r="P28" i="1" s="1"/>
  <c r="AD26" i="1"/>
  <c r="AD28" i="1" s="1"/>
  <c r="X26" i="1"/>
  <c r="X28" i="1" s="1"/>
  <c r="Q26" i="1"/>
  <c r="Q28" i="1" s="1"/>
  <c r="F29" i="1"/>
  <c r="F30" i="1" s="1"/>
  <c r="AH30" i="1" s="1"/>
  <c r="V26" i="1"/>
  <c r="V28" i="1" s="1"/>
  <c r="L26" i="1"/>
  <c r="L28" i="1" s="1"/>
  <c r="U26" i="1"/>
  <c r="U28" i="1" s="1"/>
  <c r="G26" i="1"/>
  <c r="G28" i="1" s="1"/>
  <c r="AB26" i="1"/>
  <c r="AB28" i="1" s="1"/>
  <c r="S26" i="1"/>
  <c r="S28" i="1" s="1"/>
  <c r="AA26" i="1"/>
  <c r="AA28" i="1" s="1"/>
  <c r="N26" i="1"/>
  <c r="N28" i="1" s="1"/>
  <c r="Y26" i="1"/>
  <c r="Y28" i="1" s="1"/>
  <c r="J26" i="1"/>
  <c r="J28" i="1" s="1"/>
  <c r="T26" i="1"/>
  <c r="T28" i="1" s="1"/>
  <c r="AC26" i="1"/>
  <c r="AC28" i="1" s="1"/>
  <c r="AE26" i="1"/>
  <c r="AE28" i="1" s="1"/>
  <c r="W26" i="1"/>
  <c r="W28" i="1" s="1"/>
  <c r="Z26" i="1"/>
  <c r="Z28" i="1" s="1"/>
  <c r="I26" i="1"/>
  <c r="I28" i="1" s="1"/>
  <c r="R26" i="1"/>
  <c r="R28" i="1" s="1"/>
  <c r="H26" i="1"/>
  <c r="H28" i="1" s="1"/>
  <c r="K26" i="1"/>
  <c r="K28" i="1" s="1"/>
  <c r="M26" i="1"/>
  <c r="AH28" i="1" l="1"/>
  <c r="AH29" i="1"/>
  <c r="M28" i="1"/>
  <c r="M29" i="1" s="1"/>
  <c r="M30" i="1" s="1"/>
  <c r="AO30" i="1" s="1"/>
  <c r="Y29" i="1"/>
  <c r="Y30" i="1" s="1"/>
  <c r="BA30" i="1" s="1"/>
  <c r="U29" i="1"/>
  <c r="U30" i="1" s="1"/>
  <c r="AW30" i="1" s="1"/>
  <c r="Q29" i="1"/>
  <c r="Q30" i="1" s="1"/>
  <c r="AS30" i="1" s="1"/>
  <c r="I29" i="1"/>
  <c r="I30" i="1" s="1"/>
  <c r="AK30" i="1" s="1"/>
  <c r="G29" i="1"/>
  <c r="G30" i="1" s="1"/>
  <c r="AI30" i="1" s="1"/>
  <c r="AD29" i="1"/>
  <c r="AD30" i="1" s="1"/>
  <c r="BF30" i="1" s="1"/>
  <c r="N29" i="1"/>
  <c r="N30" i="1" s="1"/>
  <c r="AP30" i="1" s="1"/>
  <c r="X29" i="1"/>
  <c r="X30" i="1" s="1"/>
  <c r="AZ30" i="1" s="1"/>
  <c r="K29" i="1"/>
  <c r="K30" i="1" s="1"/>
  <c r="AM30" i="1" s="1"/>
  <c r="AA29" i="1"/>
  <c r="AA30" i="1" s="1"/>
  <c r="BC30" i="1" s="1"/>
  <c r="H29" i="1"/>
  <c r="H30" i="1" s="1"/>
  <c r="AJ30" i="1" s="1"/>
  <c r="AC29" i="1"/>
  <c r="AC30" i="1" s="1"/>
  <c r="BE30" i="1" s="1"/>
  <c r="S29" i="1"/>
  <c r="S30" i="1" s="1"/>
  <c r="AU30" i="1" s="1"/>
  <c r="P29" i="1"/>
  <c r="P30" i="1" s="1"/>
  <c r="AR30" i="1" s="1"/>
  <c r="J29" i="1"/>
  <c r="J30" i="1" s="1"/>
  <c r="AL30" i="1" s="1"/>
  <c r="Z29" i="1"/>
  <c r="Z30" i="1" s="1"/>
  <c r="BB30" i="1" s="1"/>
  <c r="W29" i="1"/>
  <c r="W30" i="1" s="1"/>
  <c r="AY30" i="1" s="1"/>
  <c r="L29" i="1"/>
  <c r="L30" i="1" s="1"/>
  <c r="AN30" i="1" s="1"/>
  <c r="AE29" i="1"/>
  <c r="AE30" i="1" s="1"/>
  <c r="BG30" i="1" s="1"/>
  <c r="V29" i="1"/>
  <c r="V30" i="1" s="1"/>
  <c r="AX30" i="1" s="1"/>
  <c r="R29" i="1"/>
  <c r="R30" i="1" s="1"/>
  <c r="AT30" i="1" s="1"/>
  <c r="T29" i="1"/>
  <c r="T30" i="1" s="1"/>
  <c r="AV30" i="1" s="1"/>
  <c r="AB29" i="1"/>
  <c r="AB30" i="1" s="1"/>
  <c r="BD30" i="1" s="1"/>
  <c r="O29" i="1"/>
  <c r="O30" i="1" s="1"/>
  <c r="AQ30" i="1" s="1"/>
  <c r="AM29" i="1" l="1"/>
  <c r="AM28" i="1"/>
  <c r="AR29" i="1"/>
  <c r="AR28" i="1"/>
  <c r="AZ28" i="1"/>
  <c r="AZ29" i="1"/>
  <c r="AW29" i="1"/>
  <c r="AW28" i="1"/>
  <c r="AT28" i="1"/>
  <c r="AT29" i="1"/>
  <c r="AS29" i="1"/>
  <c r="AS28" i="1"/>
  <c r="BG28" i="1"/>
  <c r="BG29" i="1"/>
  <c r="BA28" i="1"/>
  <c r="BA29" i="1"/>
  <c r="AN28" i="1"/>
  <c r="AN29" i="1"/>
  <c r="AO28" i="1"/>
  <c r="AO29" i="1"/>
  <c r="AL29" i="1"/>
  <c r="AL28" i="1"/>
  <c r="AX29" i="1"/>
  <c r="AX28" i="1"/>
  <c r="AU28" i="1"/>
  <c r="AU29" i="1"/>
  <c r="AP29" i="1"/>
  <c r="AP28" i="1"/>
  <c r="AQ29" i="1"/>
  <c r="AQ28" i="1"/>
  <c r="BE29" i="1"/>
  <c r="BE28" i="1"/>
  <c r="BF28" i="1"/>
  <c r="BF29" i="1"/>
  <c r="BD29" i="1"/>
  <c r="BD28" i="1"/>
  <c r="AY29" i="1"/>
  <c r="AY28" i="1"/>
  <c r="AJ29" i="1"/>
  <c r="AJ28" i="1"/>
  <c r="AI28" i="1"/>
  <c r="AI29" i="1"/>
  <c r="AV29" i="1"/>
  <c r="AV28" i="1"/>
  <c r="BB29" i="1"/>
  <c r="BB28" i="1"/>
  <c r="BC28" i="1"/>
  <c r="BC29" i="1"/>
  <c r="AK28" i="1"/>
  <c r="AK29" i="1"/>
  <c r="AF30" i="1"/>
  <c r="AB32" i="1" s="1"/>
  <c r="AB34" i="1" s="1"/>
  <c r="BD31" i="1" l="1"/>
  <c r="AT31" i="1"/>
  <c r="AP31" i="1"/>
  <c r="BG31" i="1"/>
  <c r="AW31" i="1"/>
  <c r="AV31" i="1"/>
  <c r="AX31" i="1"/>
  <c r="AO31" i="1"/>
  <c r="AR31" i="1"/>
  <c r="AZ31" i="1"/>
  <c r="AU31" i="1"/>
  <c r="BF31" i="1"/>
  <c r="BA31" i="1"/>
  <c r="AS31" i="1"/>
  <c r="AM31" i="1"/>
  <c r="AY31" i="1"/>
  <c r="BB31" i="1"/>
  <c r="AI31" i="1"/>
  <c r="AQ31" i="1"/>
  <c r="AH31" i="1"/>
  <c r="BE31" i="1"/>
  <c r="AN31" i="1"/>
  <c r="BC31" i="1"/>
  <c r="AJ31" i="1"/>
  <c r="AK31" i="1"/>
  <c r="AL31" i="1"/>
  <c r="Z32" i="1"/>
  <c r="Z34" i="1" s="1"/>
  <c r="R32" i="1"/>
  <c r="R34" i="1" s="1"/>
  <c r="Y32" i="1"/>
  <c r="O32" i="1"/>
  <c r="O34" i="1" s="1"/>
  <c r="K32" i="1"/>
  <c r="K34" i="1" s="1"/>
  <c r="X32" i="1"/>
  <c r="X34" i="1" s="1"/>
  <c r="AE32" i="1"/>
  <c r="AE34" i="1" s="1"/>
  <c r="U32" i="1"/>
  <c r="U34" i="1" s="1"/>
  <c r="W32" i="1"/>
  <c r="W34" i="1" s="1"/>
  <c r="G32" i="1"/>
  <c r="T32" i="1"/>
  <c r="T34" i="1" s="1"/>
  <c r="J32" i="1"/>
  <c r="J34" i="1" s="1"/>
  <c r="AC32" i="1"/>
  <c r="AC34" i="1" s="1"/>
  <c r="M32" i="1"/>
  <c r="M34" i="1" s="1"/>
  <c r="F32" i="1"/>
  <c r="F34" i="1" s="1"/>
  <c r="P32" i="1"/>
  <c r="P34" i="1" s="1"/>
  <c r="H32" i="1"/>
  <c r="L32" i="1"/>
  <c r="L34" i="1" s="1"/>
  <c r="S32" i="1"/>
  <c r="S34" i="1" s="1"/>
  <c r="I32" i="1"/>
  <c r="Q32" i="1"/>
  <c r="Q34" i="1" s="1"/>
  <c r="AD32" i="1"/>
  <c r="N32" i="1"/>
  <c r="N34" i="1" s="1"/>
  <c r="AA32" i="1"/>
  <c r="AA34" i="1" s="1"/>
  <c r="V32" i="1"/>
  <c r="V34" i="1" s="1"/>
  <c r="AB35" i="1"/>
  <c r="AB36" i="1" s="1"/>
  <c r="BD36" i="1" s="1"/>
  <c r="BD35" i="1" l="1"/>
  <c r="BD34" i="1"/>
  <c r="H34" i="1"/>
  <c r="H35" i="1" s="1"/>
  <c r="H36" i="1" s="1"/>
  <c r="AJ36" i="1" s="1"/>
  <c r="Y34" i="1"/>
  <c r="Y35" i="1" s="1"/>
  <c r="Y36" i="1" s="1"/>
  <c r="BA36" i="1" s="1"/>
  <c r="AD34" i="1"/>
  <c r="AD35" i="1" s="1"/>
  <c r="AD36" i="1" s="1"/>
  <c r="BF36" i="1" s="1"/>
  <c r="G34" i="1"/>
  <c r="G35" i="1" s="1"/>
  <c r="G36" i="1" s="1"/>
  <c r="AI36" i="1" s="1"/>
  <c r="I34" i="1"/>
  <c r="I35" i="1" s="1"/>
  <c r="I36" i="1" s="1"/>
  <c r="AK36" i="1" s="1"/>
  <c r="M35" i="1"/>
  <c r="M36" i="1" s="1"/>
  <c r="AO36" i="1" s="1"/>
  <c r="O35" i="1"/>
  <c r="O36" i="1" s="1"/>
  <c r="AQ36" i="1" s="1"/>
  <c r="AE35" i="1"/>
  <c r="AE36" i="1" s="1"/>
  <c r="BG36" i="1" s="1"/>
  <c r="V35" i="1"/>
  <c r="V36" i="1" s="1"/>
  <c r="AX36" i="1" s="1"/>
  <c r="K35" i="1"/>
  <c r="K36" i="1" s="1"/>
  <c r="AM36" i="1" s="1"/>
  <c r="S35" i="1"/>
  <c r="S36" i="1" s="1"/>
  <c r="AU36" i="1" s="1"/>
  <c r="AA35" i="1"/>
  <c r="AA36" i="1" s="1"/>
  <c r="BC36" i="1" s="1"/>
  <c r="J35" i="1"/>
  <c r="J36" i="1" s="1"/>
  <c r="AL36" i="1" s="1"/>
  <c r="R35" i="1"/>
  <c r="R36" i="1" s="1"/>
  <c r="AT36" i="1" s="1"/>
  <c r="T35" i="1"/>
  <c r="T36" i="1" s="1"/>
  <c r="AV36" i="1" s="1"/>
  <c r="P35" i="1"/>
  <c r="P36" i="1" s="1"/>
  <c r="AR36" i="1" s="1"/>
  <c r="L35" i="1"/>
  <c r="L36" i="1" s="1"/>
  <c r="AN36" i="1" s="1"/>
  <c r="N35" i="1"/>
  <c r="N36" i="1" s="1"/>
  <c r="AP36" i="1" s="1"/>
  <c r="X35" i="1"/>
  <c r="X36" i="1" s="1"/>
  <c r="AZ36" i="1" s="1"/>
  <c r="Q35" i="1"/>
  <c r="Q36" i="1" s="1"/>
  <c r="AS36" i="1" s="1"/>
  <c r="W35" i="1"/>
  <c r="W36" i="1" s="1"/>
  <c r="AY36" i="1" s="1"/>
  <c r="F35" i="1"/>
  <c r="F36" i="1" s="1"/>
  <c r="AH36" i="1" s="1"/>
  <c r="AC35" i="1"/>
  <c r="AC36" i="1" s="1"/>
  <c r="BE36" i="1" s="1"/>
  <c r="U35" i="1"/>
  <c r="U36" i="1" s="1"/>
  <c r="AW36" i="1" s="1"/>
  <c r="Z35" i="1"/>
  <c r="Z36" i="1" s="1"/>
  <c r="BB36" i="1" s="1"/>
  <c r="AR35" i="1" l="1"/>
  <c r="AR34" i="1"/>
  <c r="AM34" i="1"/>
  <c r="AM35" i="1"/>
  <c r="AI35" i="1"/>
  <c r="AI34" i="1"/>
  <c r="AS35" i="1"/>
  <c r="AS34" i="1"/>
  <c r="AV34" i="1"/>
  <c r="AV35" i="1"/>
  <c r="AX35" i="1"/>
  <c r="AX34" i="1"/>
  <c r="BF35" i="1"/>
  <c r="BF34" i="1"/>
  <c r="AZ35" i="1"/>
  <c r="AZ34" i="1"/>
  <c r="AW34" i="1"/>
  <c r="AW35" i="1"/>
  <c r="AJ34" i="1"/>
  <c r="AJ35" i="1"/>
  <c r="BB34" i="1"/>
  <c r="BB35" i="1"/>
  <c r="BG35" i="1"/>
  <c r="BG34" i="1"/>
  <c r="BC34" i="1"/>
  <c r="BC35" i="1"/>
  <c r="AQ34" i="1"/>
  <c r="AQ35" i="1"/>
  <c r="AP34" i="1"/>
  <c r="AP35" i="1"/>
  <c r="AO35" i="1"/>
  <c r="AO34" i="1"/>
  <c r="AY35" i="1"/>
  <c r="AY34" i="1"/>
  <c r="AT35" i="1"/>
  <c r="AT34" i="1"/>
  <c r="BA35" i="1"/>
  <c r="BA34" i="1"/>
  <c r="AL35" i="1"/>
  <c r="AL34" i="1"/>
  <c r="BE35" i="1"/>
  <c r="BE34" i="1"/>
  <c r="AH35" i="1"/>
  <c r="AH34" i="1"/>
  <c r="AN35" i="1"/>
  <c r="AN34" i="1"/>
  <c r="AU35" i="1"/>
  <c r="AU34" i="1"/>
  <c r="AK34" i="1"/>
  <c r="AK35" i="1"/>
  <c r="AF36" i="1"/>
  <c r="AD38" i="1" s="1"/>
  <c r="AD40" i="1" s="1"/>
  <c r="AQ37" i="1" l="1"/>
  <c r="AJ37" i="1"/>
  <c r="AI37" i="1"/>
  <c r="BA37" i="1"/>
  <c r="AU37" i="1"/>
  <c r="BG37" i="1"/>
  <c r="AY37" i="1"/>
  <c r="AR37" i="1"/>
  <c r="AH37" i="1"/>
  <c r="AP37" i="1"/>
  <c r="AW37" i="1"/>
  <c r="AL37" i="1"/>
  <c r="BE37" i="1"/>
  <c r="AV37" i="1"/>
  <c r="BC37" i="1"/>
  <c r="AM37" i="1"/>
  <c r="AK37" i="1"/>
  <c r="BB37" i="1"/>
  <c r="AZ37" i="1"/>
  <c r="BF37" i="1"/>
  <c r="BD37" i="1"/>
  <c r="AT37" i="1"/>
  <c r="AX37" i="1"/>
  <c r="AO37" i="1"/>
  <c r="AN37" i="1"/>
  <c r="AS37" i="1"/>
  <c r="F38" i="1"/>
  <c r="F40" i="1" s="1"/>
  <c r="O38" i="1"/>
  <c r="O40" i="1" s="1"/>
  <c r="Q38" i="1"/>
  <c r="G38" i="1"/>
  <c r="G40" i="1" s="1"/>
  <c r="U38" i="1"/>
  <c r="U40" i="1" s="1"/>
  <c r="W38" i="1"/>
  <c r="W40" i="1" s="1"/>
  <c r="M38" i="1"/>
  <c r="M40" i="1" s="1"/>
  <c r="J38" i="1"/>
  <c r="J40" i="1" s="1"/>
  <c r="AC38" i="1"/>
  <c r="AC40" i="1" s="1"/>
  <c r="H38" i="1"/>
  <c r="Y38" i="1"/>
  <c r="Y40" i="1" s="1"/>
  <c r="V38" i="1"/>
  <c r="V40" i="1" s="1"/>
  <c r="L38" i="1"/>
  <c r="L40" i="1" s="1"/>
  <c r="T38" i="1"/>
  <c r="T40" i="1" s="1"/>
  <c r="T41" i="1" s="1"/>
  <c r="AE38" i="1"/>
  <c r="AE40" i="1" s="1"/>
  <c r="P38" i="1"/>
  <c r="P40" i="1" s="1"/>
  <c r="R38" i="1"/>
  <c r="R40" i="1" s="1"/>
  <c r="Z38" i="1"/>
  <c r="Z40" i="1" s="1"/>
  <c r="I38" i="1"/>
  <c r="I40" i="1" s="1"/>
  <c r="AB38" i="1"/>
  <c r="AB40" i="1" s="1"/>
  <c r="X38" i="1"/>
  <c r="X40" i="1" s="1"/>
  <c r="N38" i="1"/>
  <c r="N40" i="1" s="1"/>
  <c r="S38" i="1"/>
  <c r="S40" i="1" s="1"/>
  <c r="AA38" i="1"/>
  <c r="K38" i="1"/>
  <c r="K40" i="1" s="1"/>
  <c r="AD41" i="1"/>
  <c r="AD42" i="1" s="1"/>
  <c r="BF42" i="1" s="1"/>
  <c r="BF41" i="1" l="1"/>
  <c r="BF40" i="1"/>
  <c r="H40" i="1"/>
  <c r="H41" i="1" s="1"/>
  <c r="H42" i="1" s="1"/>
  <c r="AJ42" i="1" s="1"/>
  <c r="Q40" i="1"/>
  <c r="Q41" i="1" s="1"/>
  <c r="Q42" i="1" s="1"/>
  <c r="AS42" i="1" s="1"/>
  <c r="AA40" i="1"/>
  <c r="AA41" i="1" s="1"/>
  <c r="AA42" i="1" s="1"/>
  <c r="BC42" i="1" s="1"/>
  <c r="I41" i="1"/>
  <c r="I42" i="1" s="1"/>
  <c r="AK42" i="1" s="1"/>
  <c r="Y41" i="1"/>
  <c r="Y42" i="1" s="1"/>
  <c r="BA42" i="1" s="1"/>
  <c r="U41" i="1"/>
  <c r="U42" i="1" s="1"/>
  <c r="AW42" i="1" s="1"/>
  <c r="O41" i="1"/>
  <c r="O42" i="1" s="1"/>
  <c r="AQ42" i="1" s="1"/>
  <c r="J41" i="1"/>
  <c r="J42" i="1" s="1"/>
  <c r="AL42" i="1" s="1"/>
  <c r="R41" i="1"/>
  <c r="R42" i="1" s="1"/>
  <c r="AT42" i="1" s="1"/>
  <c r="F41" i="1"/>
  <c r="F42" i="1" s="1"/>
  <c r="AH42" i="1" s="1"/>
  <c r="S41" i="1"/>
  <c r="S42" i="1" s="1"/>
  <c r="AU42" i="1" s="1"/>
  <c r="M41" i="1"/>
  <c r="M42" i="1" s="1"/>
  <c r="AO42" i="1" s="1"/>
  <c r="AB41" i="1"/>
  <c r="AB42" i="1" s="1"/>
  <c r="BD42" i="1" s="1"/>
  <c r="Z41" i="1"/>
  <c r="Z42" i="1" s="1"/>
  <c r="BB42" i="1" s="1"/>
  <c r="T42" i="1"/>
  <c r="AV42" i="1" s="1"/>
  <c r="W41" i="1"/>
  <c r="W42" i="1" s="1"/>
  <c r="AY42" i="1" s="1"/>
  <c r="V41" i="1"/>
  <c r="V42" i="1" s="1"/>
  <c r="AX42" i="1" s="1"/>
  <c r="P41" i="1"/>
  <c r="P42" i="1" s="1"/>
  <c r="AR42" i="1" s="1"/>
  <c r="L41" i="1"/>
  <c r="L42" i="1" s="1"/>
  <c r="AN42" i="1" s="1"/>
  <c r="X41" i="1"/>
  <c r="X42" i="1" s="1"/>
  <c r="AZ42" i="1" s="1"/>
  <c r="G41" i="1"/>
  <c r="G42" i="1" s="1"/>
  <c r="AI42" i="1" s="1"/>
  <c r="AE41" i="1"/>
  <c r="AE42" i="1" s="1"/>
  <c r="BG42" i="1" s="1"/>
  <c r="N41" i="1"/>
  <c r="N42" i="1" s="1"/>
  <c r="AP42" i="1" s="1"/>
  <c r="AC41" i="1"/>
  <c r="AC42" i="1" s="1"/>
  <c r="BE42" i="1" s="1"/>
  <c r="K41" i="1"/>
  <c r="K42" i="1" s="1"/>
  <c r="AM42" i="1" s="1"/>
  <c r="AN41" i="1" l="1"/>
  <c r="AN40" i="1"/>
  <c r="AR40" i="1"/>
  <c r="AR41" i="1"/>
  <c r="AP41" i="1"/>
  <c r="AP40" i="1"/>
  <c r="AX40" i="1"/>
  <c r="AX41" i="1"/>
  <c r="BA41" i="1"/>
  <c r="BA40" i="1"/>
  <c r="AS40" i="1"/>
  <c r="AS41" i="1"/>
  <c r="AJ41" i="1"/>
  <c r="AJ40" i="1"/>
  <c r="BG40" i="1"/>
  <c r="BG41" i="1"/>
  <c r="AU40" i="1"/>
  <c r="AU41" i="1"/>
  <c r="BD40" i="1"/>
  <c r="BD41" i="1"/>
  <c r="AW41" i="1"/>
  <c r="AW40" i="1"/>
  <c r="AH41" i="1"/>
  <c r="AH40" i="1"/>
  <c r="AT41" i="1"/>
  <c r="AT40" i="1"/>
  <c r="AK41" i="1"/>
  <c r="AK40" i="1"/>
  <c r="BE40" i="1"/>
  <c r="BE41" i="1"/>
  <c r="AQ41" i="1"/>
  <c r="AQ40" i="1"/>
  <c r="AZ41" i="1"/>
  <c r="AZ40" i="1"/>
  <c r="AO41" i="1"/>
  <c r="AO40" i="1"/>
  <c r="AY40" i="1"/>
  <c r="AY41" i="1"/>
  <c r="AI41" i="1"/>
  <c r="AI40" i="1"/>
  <c r="AV41" i="1"/>
  <c r="AV40" i="1"/>
  <c r="AM40" i="1"/>
  <c r="AM41" i="1"/>
  <c r="BB41" i="1"/>
  <c r="BB40" i="1"/>
  <c r="AL40" i="1"/>
  <c r="AL41" i="1"/>
  <c r="BC41" i="1"/>
  <c r="BC40" i="1"/>
  <c r="AF42" i="1"/>
  <c r="AO43" i="1" l="1"/>
  <c r="AP43" i="1"/>
  <c r="AH43" i="1"/>
  <c r="E5" i="31" s="1"/>
  <c r="AV43" i="1"/>
  <c r="AZ43" i="1"/>
  <c r="AT43" i="1"/>
  <c r="AK43" i="1"/>
  <c r="BF43" i="1"/>
  <c r="AU43" i="1"/>
  <c r="BA43" i="1"/>
  <c r="AI43" i="1"/>
  <c r="AR43" i="1"/>
  <c r="BE43" i="1"/>
  <c r="BD43" i="1"/>
  <c r="AS43" i="1"/>
  <c r="AM43" i="1"/>
  <c r="AN43" i="1"/>
  <c r="BG43" i="1"/>
  <c r="BB43" i="1"/>
  <c r="AJ43" i="1"/>
  <c r="AY43" i="1"/>
  <c r="BC43" i="1"/>
  <c r="AX43" i="1"/>
  <c r="AW43" i="1"/>
  <c r="AL43" i="1"/>
  <c r="AQ43" i="1"/>
  <c r="T5" i="31" l="1"/>
  <c r="AU5" i="31" s="1"/>
  <c r="P5" i="31"/>
  <c r="AQ5" i="31" s="1"/>
  <c r="AA5" i="31"/>
  <c r="BB5" i="31" s="1"/>
  <c r="V5" i="31"/>
  <c r="AW5" i="31" s="1"/>
  <c r="AB5" i="31"/>
  <c r="BC5" i="31" s="1"/>
  <c r="W5" i="31"/>
  <c r="AX5" i="31" s="1"/>
  <c r="U5" i="31"/>
  <c r="AV5" i="31" s="1"/>
  <c r="Q5" i="31"/>
  <c r="AR5" i="31" s="1"/>
  <c r="G5" i="31"/>
  <c r="AH5" i="31" s="1"/>
  <c r="O5" i="31"/>
  <c r="AP5" i="31" s="1"/>
  <c r="S5" i="31"/>
  <c r="AT5" i="31" s="1"/>
  <c r="J5" i="31"/>
  <c r="AK5" i="31" s="1"/>
  <c r="Y5" i="31"/>
  <c r="AZ5" i="31" s="1"/>
  <c r="H5" i="31"/>
  <c r="AI5" i="31" s="1"/>
  <c r="N5" i="31"/>
  <c r="AO5" i="31" s="1"/>
  <c r="AD5" i="31"/>
  <c r="BE5" i="31" s="1"/>
  <c r="X5" i="31"/>
  <c r="AY5" i="31" s="1"/>
  <c r="M5" i="31"/>
  <c r="AN5" i="31" s="1"/>
  <c r="AC5" i="31"/>
  <c r="BD5" i="31" s="1"/>
  <c r="Z5" i="31"/>
  <c r="BA5" i="31" s="1"/>
  <c r="F5" i="31"/>
  <c r="AG5" i="31" s="1"/>
  <c r="I5" i="31"/>
  <c r="AJ5" i="31" s="1"/>
  <c r="K5" i="31"/>
  <c r="AL5" i="31" s="1"/>
  <c r="R5" i="31"/>
  <c r="AS5" i="31" s="1"/>
  <c r="L5" i="31"/>
  <c r="AM5" i="31" s="1"/>
  <c r="AF5" i="31"/>
  <c r="D1" i="22"/>
  <c r="F8" i="22"/>
  <c r="F9" i="22" s="1"/>
  <c r="G8" i="22"/>
  <c r="G9" i="22" s="1"/>
  <c r="AI9" i="22" s="1"/>
  <c r="AI8" i="22" s="1"/>
  <c r="H8" i="22"/>
  <c r="H9" i="22" s="1"/>
  <c r="AJ9" i="22" s="1"/>
  <c r="AJ8" i="22" s="1"/>
  <c r="I8" i="22"/>
  <c r="I9" i="22" s="1"/>
  <c r="AK9" i="22" s="1"/>
  <c r="AK7" i="22" s="1"/>
  <c r="J8" i="22"/>
  <c r="J9" i="22" s="1"/>
  <c r="AL9" i="22" s="1"/>
  <c r="AL7" i="22" s="1"/>
  <c r="K8" i="22"/>
  <c r="K9" i="22" s="1"/>
  <c r="AM9" i="22" s="1"/>
  <c r="AM8" i="22" s="1"/>
  <c r="L8" i="22"/>
  <c r="L9" i="22" s="1"/>
  <c r="AN9" i="22" s="1"/>
  <c r="AN8" i="22" s="1"/>
  <c r="M8" i="22"/>
  <c r="M9" i="22" s="1"/>
  <c r="AO9" i="22" s="1"/>
  <c r="AO8" i="22" s="1"/>
  <c r="N8" i="22"/>
  <c r="N9" i="22" s="1"/>
  <c r="AP9" i="22" s="1"/>
  <c r="AP8" i="22" s="1"/>
  <c r="O8" i="22"/>
  <c r="O9" i="22" s="1"/>
  <c r="AQ9" i="22" s="1"/>
  <c r="AQ7" i="22" s="1"/>
  <c r="P8" i="22"/>
  <c r="P9" i="22" s="1"/>
  <c r="AR9" i="22" s="1"/>
  <c r="AR7" i="22" s="1"/>
  <c r="Q8" i="22"/>
  <c r="Q9" i="22" s="1"/>
  <c r="AS9" i="22" s="1"/>
  <c r="AS8" i="22" s="1"/>
  <c r="R8" i="22"/>
  <c r="R9" i="22" s="1"/>
  <c r="AT9" i="22" s="1"/>
  <c r="AT8" i="22" s="1"/>
  <c r="S8" i="22"/>
  <c r="S9" i="22" s="1"/>
  <c r="AU9" i="22" s="1"/>
  <c r="AU8" i="22" s="1"/>
  <c r="T8" i="22"/>
  <c r="T9" i="22" s="1"/>
  <c r="AV9" i="22" s="1"/>
  <c r="AV8" i="22" s="1"/>
  <c r="U8" i="22"/>
  <c r="U9" i="22" s="1"/>
  <c r="AW9" i="22" s="1"/>
  <c r="AW7" i="22" s="1"/>
  <c r="V8" i="22"/>
  <c r="V9" i="22" s="1"/>
  <c r="AX9" i="22" s="1"/>
  <c r="AX7" i="22" s="1"/>
  <c r="W8" i="22"/>
  <c r="W9" i="22" s="1"/>
  <c r="AY9" i="22" s="1"/>
  <c r="AY8" i="22" s="1"/>
  <c r="X8" i="22"/>
  <c r="X9" i="22" s="1"/>
  <c r="AZ9" i="22" s="1"/>
  <c r="AZ8" i="22" s="1"/>
  <c r="Y8" i="22"/>
  <c r="Y9" i="22" s="1"/>
  <c r="BA9" i="22" s="1"/>
  <c r="BA8" i="22" s="1"/>
  <c r="Z8" i="22"/>
  <c r="Z9" i="22" s="1"/>
  <c r="BB9" i="22" s="1"/>
  <c r="BB8" i="22" s="1"/>
  <c r="AA8" i="22"/>
  <c r="AA9" i="22" s="1"/>
  <c r="BC9" i="22" s="1"/>
  <c r="BC7" i="22" s="1"/>
  <c r="AB8" i="22"/>
  <c r="AB9" i="22" s="1"/>
  <c r="BD9" i="22" s="1"/>
  <c r="BD7" i="22" s="1"/>
  <c r="AC8" i="22"/>
  <c r="AC9" i="22" s="1"/>
  <c r="BE9" i="22" s="1"/>
  <c r="BE8" i="22" s="1"/>
  <c r="AD8" i="22"/>
  <c r="AD9" i="22" s="1"/>
  <c r="BF9" i="22" s="1"/>
  <c r="BF8" i="22" s="1"/>
  <c r="AE8" i="22"/>
  <c r="AE9" i="22" s="1"/>
  <c r="BG9" i="22" s="1"/>
  <c r="BG8" i="22" s="1"/>
  <c r="C39" i="22"/>
  <c r="AF9" i="22" l="1"/>
  <c r="J11" i="22" s="1"/>
  <c r="J13" i="22" s="1"/>
  <c r="J14" i="22" s="1"/>
  <c r="J15" i="22" s="1"/>
  <c r="AL15" i="22" s="1"/>
  <c r="AH9" i="22"/>
  <c r="AH8" i="22" s="1"/>
  <c r="BD8" i="22"/>
  <c r="AX8" i="22"/>
  <c r="AR8" i="22"/>
  <c r="AL8" i="22"/>
  <c r="BB7" i="22"/>
  <c r="AV7" i="22"/>
  <c r="AP7" i="22"/>
  <c r="AJ7" i="22"/>
  <c r="BC8" i="22"/>
  <c r="AW8" i="22"/>
  <c r="AQ8" i="22"/>
  <c r="AK8" i="22"/>
  <c r="BG7" i="22"/>
  <c r="BA7" i="22"/>
  <c r="AU7" i="22"/>
  <c r="AO7" i="22"/>
  <c r="AI7" i="22"/>
  <c r="BF7" i="22"/>
  <c r="AZ7" i="22"/>
  <c r="AT7" i="22"/>
  <c r="AN7" i="22"/>
  <c r="BE7" i="22"/>
  <c r="AY7" i="22"/>
  <c r="AS7" i="22"/>
  <c r="AM7" i="22"/>
  <c r="AH7" i="22" l="1"/>
  <c r="H11" i="22"/>
  <c r="H13" i="22" s="1"/>
  <c r="H14" i="22" s="1"/>
  <c r="H15" i="22" s="1"/>
  <c r="AJ15" i="22" s="1"/>
  <c r="N11" i="22"/>
  <c r="N13" i="22" s="1"/>
  <c r="N14" i="22" s="1"/>
  <c r="N15" i="22" s="1"/>
  <c r="AP15" i="22" s="1"/>
  <c r="V11" i="22"/>
  <c r="V13" i="22" s="1"/>
  <c r="V14" i="22" s="1"/>
  <c r="V15" i="22" s="1"/>
  <c r="AX15" i="22" s="1"/>
  <c r="R11" i="22"/>
  <c r="R13" i="22" s="1"/>
  <c r="R14" i="22" s="1"/>
  <c r="R15" i="22" s="1"/>
  <c r="AT15" i="22" s="1"/>
  <c r="AE11" i="22"/>
  <c r="AE13" i="22" s="1"/>
  <c r="AE14" i="22" s="1"/>
  <c r="AE15" i="22" s="1"/>
  <c r="BG15" i="22" s="1"/>
  <c r="T11" i="22"/>
  <c r="T13" i="22" s="1"/>
  <c r="T14" i="22" s="1"/>
  <c r="T15" i="22" s="1"/>
  <c r="AV15" i="22" s="1"/>
  <c r="P11" i="22"/>
  <c r="P13" i="22" s="1"/>
  <c r="P14" i="22" s="1"/>
  <c r="P15" i="22" s="1"/>
  <c r="AR15" i="22" s="1"/>
  <c r="AC11" i="22"/>
  <c r="AC13" i="22" s="1"/>
  <c r="AC14" i="22" s="1"/>
  <c r="AC15" i="22" s="1"/>
  <c r="BE15" i="22" s="1"/>
  <c r="L11" i="22"/>
  <c r="L13" i="22" s="1"/>
  <c r="L14" i="22" s="1"/>
  <c r="L15" i="22" s="1"/>
  <c r="AN15" i="22" s="1"/>
  <c r="Y11" i="22"/>
  <c r="Y13" i="22" s="1"/>
  <c r="Y14" i="22" s="1"/>
  <c r="Y15" i="22" s="1"/>
  <c r="BA15" i="22" s="1"/>
  <c r="X11" i="22"/>
  <c r="X13" i="22" s="1"/>
  <c r="X14" i="22" s="1"/>
  <c r="X15" i="22" s="1"/>
  <c r="AZ15" i="22" s="1"/>
  <c r="W11" i="22"/>
  <c r="W13" i="22" s="1"/>
  <c r="W14" i="22" s="1"/>
  <c r="W15" i="22" s="1"/>
  <c r="AY15" i="22" s="1"/>
  <c r="F11" i="22"/>
  <c r="F13" i="22" s="1"/>
  <c r="F14" i="22" s="1"/>
  <c r="F15" i="22" s="1"/>
  <c r="S11" i="22"/>
  <c r="S13" i="22" s="1"/>
  <c r="S14" i="22" s="1"/>
  <c r="S15" i="22" s="1"/>
  <c r="AU15" i="22" s="1"/>
  <c r="AB11" i="22"/>
  <c r="AB13" i="22" s="1"/>
  <c r="AB14" i="22" s="1"/>
  <c r="AB15" i="22" s="1"/>
  <c r="BD15" i="22" s="1"/>
  <c r="AD11" i="22"/>
  <c r="AD13" i="22" s="1"/>
  <c r="AD14" i="22" s="1"/>
  <c r="AD15" i="22" s="1"/>
  <c r="BF15" i="22" s="1"/>
  <c r="G11" i="22"/>
  <c r="G13" i="22" s="1"/>
  <c r="G14" i="22" s="1"/>
  <c r="G15" i="22" s="1"/>
  <c r="AI15" i="22" s="1"/>
  <c r="K11" i="22"/>
  <c r="K13" i="22" s="1"/>
  <c r="K14" i="22" s="1"/>
  <c r="K15" i="22" s="1"/>
  <c r="AM15" i="22" s="1"/>
  <c r="Q11" i="22"/>
  <c r="Q13" i="22" s="1"/>
  <c r="Q14" i="22" s="1"/>
  <c r="Q15" i="22" s="1"/>
  <c r="AS15" i="22" s="1"/>
  <c r="M11" i="22"/>
  <c r="M13" i="22" s="1"/>
  <c r="M14" i="22" s="1"/>
  <c r="M15" i="22" s="1"/>
  <c r="AO15" i="22" s="1"/>
  <c r="Z11" i="22"/>
  <c r="Z13" i="22" s="1"/>
  <c r="Z14" i="22" s="1"/>
  <c r="Z15" i="22" s="1"/>
  <c r="BB15" i="22" s="1"/>
  <c r="I11" i="22"/>
  <c r="I13" i="22" s="1"/>
  <c r="I14" i="22" s="1"/>
  <c r="I15" i="22" s="1"/>
  <c r="AK15" i="22" s="1"/>
  <c r="AK14" i="22" s="1"/>
  <c r="AA11" i="22"/>
  <c r="AA13" i="22" s="1"/>
  <c r="AA14" i="22" s="1"/>
  <c r="AA15" i="22" s="1"/>
  <c r="BC15" i="22" s="1"/>
  <c r="O11" i="22"/>
  <c r="U11" i="22"/>
  <c r="U13" i="22" s="1"/>
  <c r="U14" i="22" s="1"/>
  <c r="U15" i="22" s="1"/>
  <c r="AW15" i="22" s="1"/>
  <c r="AL14" i="22"/>
  <c r="AL13" i="22"/>
  <c r="AK13" i="22" l="1"/>
  <c r="O13" i="22"/>
  <c r="O14" i="22" s="1"/>
  <c r="O15" i="22" s="1"/>
  <c r="AW14" i="22"/>
  <c r="AW13" i="22"/>
  <c r="BC13" i="22"/>
  <c r="BC14" i="22"/>
  <c r="BB14" i="22"/>
  <c r="BB13" i="22"/>
  <c r="AP14" i="22"/>
  <c r="AP13" i="22"/>
  <c r="BF13" i="22"/>
  <c r="BF14" i="22"/>
  <c r="BA13" i="22"/>
  <c r="BA14" i="22"/>
  <c r="AU13" i="22"/>
  <c r="AU14" i="22"/>
  <c r="AM14" i="22"/>
  <c r="AM13" i="22"/>
  <c r="BG13" i="22"/>
  <c r="BG14" i="22"/>
  <c r="BE14" i="22"/>
  <c r="BE13" i="22"/>
  <c r="AR14" i="22"/>
  <c r="AR13" i="22"/>
  <c r="AT13" i="22"/>
  <c r="AT14" i="22"/>
  <c r="AV14" i="22"/>
  <c r="AV13" i="22"/>
  <c r="AO13" i="22"/>
  <c r="AO14" i="22"/>
  <c r="AX14" i="22"/>
  <c r="AX13" i="22"/>
  <c r="AS14" i="22"/>
  <c r="AS13" i="22"/>
  <c r="AI13" i="22"/>
  <c r="AI14" i="22"/>
  <c r="AZ13" i="22"/>
  <c r="AZ14" i="22"/>
  <c r="AN13" i="22"/>
  <c r="AN14" i="22"/>
  <c r="AY14" i="22"/>
  <c r="AY13" i="22"/>
  <c r="AJ14" i="22"/>
  <c r="AJ13" i="22"/>
  <c r="BD14" i="22"/>
  <c r="BD13" i="22"/>
  <c r="AH15" i="22"/>
  <c r="AQ15" i="22" l="1"/>
  <c r="AF15" i="22"/>
  <c r="F17" i="22" s="1"/>
  <c r="AH13" i="22"/>
  <c r="AH14" i="22"/>
  <c r="AA17" i="22" l="1"/>
  <c r="AA19" i="22" s="1"/>
  <c r="AA20" i="22" s="1"/>
  <c r="AA21" i="22" s="1"/>
  <c r="BC21" i="22" s="1"/>
  <c r="Z17" i="22"/>
  <c r="Z19" i="22" s="1"/>
  <c r="Z20" i="22" s="1"/>
  <c r="Z21" i="22" s="1"/>
  <c r="BB21" i="22" s="1"/>
  <c r="T17" i="22"/>
  <c r="T19" i="22" s="1"/>
  <c r="T20" i="22" s="1"/>
  <c r="T21" i="22" s="1"/>
  <c r="AV21" i="22" s="1"/>
  <c r="G17" i="22"/>
  <c r="G19" i="22" s="1"/>
  <c r="G20" i="22" s="1"/>
  <c r="G21" i="22" s="1"/>
  <c r="AI21" i="22" s="1"/>
  <c r="H17" i="22"/>
  <c r="H19" i="22" s="1"/>
  <c r="H20" i="22" s="1"/>
  <c r="H21" i="22" s="1"/>
  <c r="AJ21" i="22" s="1"/>
  <c r="AB17" i="22"/>
  <c r="AB19" i="22" s="1"/>
  <c r="AB20" i="22" s="1"/>
  <c r="AB21" i="22" s="1"/>
  <c r="BD21" i="22" s="1"/>
  <c r="P17" i="22"/>
  <c r="P19" i="22" s="1"/>
  <c r="P20" i="22" s="1"/>
  <c r="P21" i="22" s="1"/>
  <c r="AR21" i="22" s="1"/>
  <c r="AC17" i="22"/>
  <c r="AC19" i="22" s="1"/>
  <c r="AC20" i="22" s="1"/>
  <c r="AC21" i="22" s="1"/>
  <c r="BE21" i="22" s="1"/>
  <c r="AD17" i="22"/>
  <c r="AD19" i="22" s="1"/>
  <c r="AD20" i="22" s="1"/>
  <c r="AD21" i="22" s="1"/>
  <c r="BF21" i="22" s="1"/>
  <c r="J17" i="22"/>
  <c r="J19" i="22" s="1"/>
  <c r="J20" i="22" s="1"/>
  <c r="J21" i="22" s="1"/>
  <c r="AL21" i="22" s="1"/>
  <c r="N17" i="22"/>
  <c r="N19" i="22" s="1"/>
  <c r="N20" i="22" s="1"/>
  <c r="N21" i="22" s="1"/>
  <c r="AP21" i="22" s="1"/>
  <c r="L17" i="22"/>
  <c r="L19" i="22" s="1"/>
  <c r="L20" i="22" s="1"/>
  <c r="L21" i="22" s="1"/>
  <c r="AN21" i="22" s="1"/>
  <c r="U17" i="22"/>
  <c r="U19" i="22" s="1"/>
  <c r="U20" i="22" s="1"/>
  <c r="U21" i="22" s="1"/>
  <c r="AW21" i="22" s="1"/>
  <c r="S17" i="22"/>
  <c r="S19" i="22" s="1"/>
  <c r="S20" i="22" s="1"/>
  <c r="S21" i="22" s="1"/>
  <c r="AU21" i="22" s="1"/>
  <c r="O17" i="22"/>
  <c r="O19" i="22" s="1"/>
  <c r="O20" i="22" s="1"/>
  <c r="O21" i="22" s="1"/>
  <c r="AQ21" i="22" s="1"/>
  <c r="M17" i="22"/>
  <c r="M19" i="22" s="1"/>
  <c r="M20" i="22" s="1"/>
  <c r="M21" i="22" s="1"/>
  <c r="AO21" i="22" s="1"/>
  <c r="W17" i="22"/>
  <c r="W19" i="22" s="1"/>
  <c r="W20" i="22" s="1"/>
  <c r="W21" i="22" s="1"/>
  <c r="AY21" i="22" s="1"/>
  <c r="Q17" i="22"/>
  <c r="Q19" i="22" s="1"/>
  <c r="Q20" i="22" s="1"/>
  <c r="Q21" i="22" s="1"/>
  <c r="AS21" i="22" s="1"/>
  <c r="AE17" i="22"/>
  <c r="AE19" i="22" s="1"/>
  <c r="AE20" i="22" s="1"/>
  <c r="AE21" i="22" s="1"/>
  <c r="BG21" i="22" s="1"/>
  <c r="X17" i="22"/>
  <c r="X19" i="22" s="1"/>
  <c r="X20" i="22" s="1"/>
  <c r="X21" i="22" s="1"/>
  <c r="AZ21" i="22" s="1"/>
  <c r="V17" i="22"/>
  <c r="V19" i="22" s="1"/>
  <c r="V20" i="22" s="1"/>
  <c r="V21" i="22" s="1"/>
  <c r="AX21" i="22" s="1"/>
  <c r="I17" i="22"/>
  <c r="I19" i="22" s="1"/>
  <c r="I20" i="22" s="1"/>
  <c r="I21" i="22" s="1"/>
  <c r="AK21" i="22" s="1"/>
  <c r="Y17" i="22"/>
  <c r="Y19" i="22" s="1"/>
  <c r="Y20" i="22" s="1"/>
  <c r="Y21" i="22" s="1"/>
  <c r="BA21" i="22" s="1"/>
  <c r="R17" i="22"/>
  <c r="R19" i="22" s="1"/>
  <c r="R20" i="22" s="1"/>
  <c r="R21" i="22" s="1"/>
  <c r="AT21" i="22" s="1"/>
  <c r="K17" i="22"/>
  <c r="K19" i="22" s="1"/>
  <c r="K20" i="22" s="1"/>
  <c r="K21" i="22" s="1"/>
  <c r="AM21" i="22" s="1"/>
  <c r="AQ13" i="22"/>
  <c r="AQ14" i="22"/>
  <c r="F19" i="22"/>
  <c r="F20" i="22" s="1"/>
  <c r="F21" i="22" s="1"/>
  <c r="BF16" i="22" l="1"/>
  <c r="AX16" i="22"/>
  <c r="AO16" i="22"/>
  <c r="AV16" i="22"/>
  <c r="AU16" i="22"/>
  <c r="AW16" i="22"/>
  <c r="AN16" i="22"/>
  <c r="BD16" i="22"/>
  <c r="AS16" i="22"/>
  <c r="BG16" i="22"/>
  <c r="BE16" i="22"/>
  <c r="AR16" i="22"/>
  <c r="AL16" i="22"/>
  <c r="AY16" i="22"/>
  <c r="AM16" i="22"/>
  <c r="AH16" i="22"/>
  <c r="AQ16" i="22"/>
  <c r="AJ16" i="22"/>
  <c r="AZ16" i="22"/>
  <c r="BB16" i="22"/>
  <c r="AK16" i="22"/>
  <c r="AT16" i="22"/>
  <c r="AI16" i="22"/>
  <c r="BC16" i="22"/>
  <c r="BA16" i="22"/>
  <c r="AP16" i="22"/>
  <c r="AY19" i="22"/>
  <c r="AY20" i="22"/>
  <c r="AP20" i="22"/>
  <c r="AP19" i="22"/>
  <c r="AL19" i="22"/>
  <c r="AL20" i="22"/>
  <c r="AQ20" i="22"/>
  <c r="AQ19" i="22"/>
  <c r="AJ20" i="22"/>
  <c r="AJ19" i="22"/>
  <c r="BD20" i="22"/>
  <c r="BD19" i="22"/>
  <c r="BG19" i="22"/>
  <c r="BG20" i="22"/>
  <c r="AF21" i="22"/>
  <c r="AH21" i="22"/>
  <c r="AN20" i="22"/>
  <c r="AN19" i="22"/>
  <c r="AT19" i="22"/>
  <c r="AT20" i="22"/>
  <c r="BC20" i="22"/>
  <c r="BC19" i="22"/>
  <c r="AK20" i="22"/>
  <c r="AK19" i="22"/>
  <c r="BB19" i="22"/>
  <c r="BB20" i="22"/>
  <c r="AM19" i="22"/>
  <c r="AM20" i="22"/>
  <c r="AZ20" i="22"/>
  <c r="AZ19" i="22"/>
  <c r="BF19" i="22"/>
  <c r="BF20" i="22"/>
  <c r="AO19" i="22"/>
  <c r="AO20" i="22"/>
  <c r="AU19" i="22"/>
  <c r="AU20" i="22"/>
  <c r="AW20" i="22"/>
  <c r="AW19" i="22"/>
  <c r="AX20" i="22"/>
  <c r="AX19" i="22"/>
  <c r="AI19" i="22"/>
  <c r="AI20" i="22"/>
  <c r="AV20" i="22"/>
  <c r="AV19" i="22"/>
  <c r="AR20" i="22"/>
  <c r="AR19" i="22"/>
  <c r="BE19" i="22"/>
  <c r="BE20" i="22"/>
  <c r="BA19" i="22"/>
  <c r="BA20" i="22"/>
  <c r="AS19" i="22"/>
  <c r="AS20" i="22"/>
  <c r="AH20" i="22" l="1"/>
  <c r="AH19" i="22"/>
  <c r="G23" i="22"/>
  <c r="G24" i="22" s="1"/>
  <c r="AI24" i="22" s="1"/>
  <c r="M23" i="22"/>
  <c r="M24" i="22" s="1"/>
  <c r="AO24" i="22" s="1"/>
  <c r="S23" i="22"/>
  <c r="S24" i="22" s="1"/>
  <c r="AU24" i="22" s="1"/>
  <c r="Y23" i="22"/>
  <c r="Y24" i="22" s="1"/>
  <c r="BA24" i="22" s="1"/>
  <c r="AE23" i="22"/>
  <c r="AE24" i="22" s="1"/>
  <c r="BG24" i="22" s="1"/>
  <c r="H23" i="22"/>
  <c r="H24" i="22" s="1"/>
  <c r="AJ24" i="22" s="1"/>
  <c r="N23" i="22"/>
  <c r="N24" i="22" s="1"/>
  <c r="AP24" i="22" s="1"/>
  <c r="T23" i="22"/>
  <c r="T24" i="22" s="1"/>
  <c r="AV24" i="22" s="1"/>
  <c r="Z23" i="22"/>
  <c r="Z24" i="22" s="1"/>
  <c r="BB24" i="22" s="1"/>
  <c r="I23" i="22"/>
  <c r="I24" i="22" s="1"/>
  <c r="AK24" i="22" s="1"/>
  <c r="O23" i="22"/>
  <c r="O24" i="22" s="1"/>
  <c r="AQ24" i="22" s="1"/>
  <c r="U23" i="22"/>
  <c r="U24" i="22" s="1"/>
  <c r="AW24" i="22" s="1"/>
  <c r="AA23" i="22"/>
  <c r="AA24" i="22" s="1"/>
  <c r="BC24" i="22" s="1"/>
  <c r="J23" i="22"/>
  <c r="J24" i="22" s="1"/>
  <c r="AL24" i="22" s="1"/>
  <c r="P23" i="22"/>
  <c r="P24" i="22" s="1"/>
  <c r="AR24" i="22" s="1"/>
  <c r="V23" i="22"/>
  <c r="V24" i="22" s="1"/>
  <c r="AX24" i="22" s="1"/>
  <c r="AB23" i="22"/>
  <c r="AB24" i="22" s="1"/>
  <c r="BD24" i="22" s="1"/>
  <c r="K23" i="22"/>
  <c r="K24" i="22" s="1"/>
  <c r="AM24" i="22" s="1"/>
  <c r="Q23" i="22"/>
  <c r="Q24" i="22" s="1"/>
  <c r="AS24" i="22" s="1"/>
  <c r="W23" i="22"/>
  <c r="W24" i="22" s="1"/>
  <c r="AY24" i="22" s="1"/>
  <c r="AC23" i="22"/>
  <c r="AC24" i="22" s="1"/>
  <c r="BE24" i="22" s="1"/>
  <c r="F23" i="22"/>
  <c r="F24" i="22" s="1"/>
  <c r="L23" i="22"/>
  <c r="L24" i="22" s="1"/>
  <c r="AN24" i="22" s="1"/>
  <c r="R23" i="22"/>
  <c r="R24" i="22" s="1"/>
  <c r="AT24" i="22" s="1"/>
  <c r="X23" i="22"/>
  <c r="X24" i="22" s="1"/>
  <c r="AZ24" i="22" s="1"/>
  <c r="AD23" i="22"/>
  <c r="AD24" i="22" s="1"/>
  <c r="BF24" i="22" s="1"/>
  <c r="AH24" i="22" l="1"/>
  <c r="AF24" i="22"/>
  <c r="AK26" i="22"/>
  <c r="AK25" i="22"/>
  <c r="BA26" i="22"/>
  <c r="BA25" i="22"/>
  <c r="AX25" i="22"/>
  <c r="AX26" i="22"/>
  <c r="BE25" i="22"/>
  <c r="BE26" i="22"/>
  <c r="AR25" i="22"/>
  <c r="AR26" i="22"/>
  <c r="BB26" i="22"/>
  <c r="BB25" i="22"/>
  <c r="AU26" i="22"/>
  <c r="AU25" i="22"/>
  <c r="AO26" i="22"/>
  <c r="AO25" i="22"/>
  <c r="AY25" i="22"/>
  <c r="AY26" i="22"/>
  <c r="AV26" i="22"/>
  <c r="AV25" i="22"/>
  <c r="AS25" i="22"/>
  <c r="AS26" i="22"/>
  <c r="BC26" i="22"/>
  <c r="BC25" i="22"/>
  <c r="AP26" i="22"/>
  <c r="AP25" i="22"/>
  <c r="AI26" i="22"/>
  <c r="AI25" i="22"/>
  <c r="AZ26" i="22"/>
  <c r="AZ25" i="22"/>
  <c r="AM25" i="22"/>
  <c r="AM26" i="22"/>
  <c r="AW26" i="22"/>
  <c r="AW25" i="22"/>
  <c r="AJ26" i="22"/>
  <c r="AJ25" i="22"/>
  <c r="BE22" i="22"/>
  <c r="AX22" i="22"/>
  <c r="AI22" i="22"/>
  <c r="BF22" i="22"/>
  <c r="BG22" i="22"/>
  <c r="AN22" i="22"/>
  <c r="AU22" i="22"/>
  <c r="AR22" i="22"/>
  <c r="AM22" i="22"/>
  <c r="AT22" i="22"/>
  <c r="AH22" i="22"/>
  <c r="AY22" i="22"/>
  <c r="AJ22" i="22"/>
  <c r="AV22" i="22"/>
  <c r="AK22" i="22"/>
  <c r="BD22" i="22"/>
  <c r="BC22" i="22"/>
  <c r="AO22" i="22"/>
  <c r="AL22" i="22"/>
  <c r="BA22" i="22"/>
  <c r="AQ22" i="22"/>
  <c r="AW22" i="22"/>
  <c r="AS22" i="22"/>
  <c r="AP22" i="22"/>
  <c r="AZ22" i="22"/>
  <c r="BB22" i="22"/>
  <c r="BF26" i="22"/>
  <c r="BF25" i="22"/>
  <c r="AL25" i="22"/>
  <c r="AL26" i="22"/>
  <c r="AT26" i="22"/>
  <c r="AT25" i="22"/>
  <c r="AN26" i="22"/>
  <c r="AN25" i="22"/>
  <c r="BD25" i="22"/>
  <c r="BD26" i="22"/>
  <c r="AQ26" i="22"/>
  <c r="AQ25" i="22"/>
  <c r="BG26" i="22"/>
  <c r="BG25" i="22"/>
  <c r="H26" i="22" l="1"/>
  <c r="N26" i="22"/>
  <c r="T26" i="22"/>
  <c r="Z26" i="22"/>
  <c r="I26" i="22"/>
  <c r="O26" i="22"/>
  <c r="U26" i="22"/>
  <c r="AA26" i="22"/>
  <c r="J26" i="22"/>
  <c r="P26" i="22"/>
  <c r="V26" i="22"/>
  <c r="AB26" i="22"/>
  <c r="K26" i="22"/>
  <c r="Q26" i="22"/>
  <c r="W26" i="22"/>
  <c r="AC26" i="22"/>
  <c r="F26" i="22"/>
  <c r="L26" i="22"/>
  <c r="R26" i="22"/>
  <c r="X26" i="22"/>
  <c r="AD26" i="22"/>
  <c r="G26" i="22"/>
  <c r="S26" i="22"/>
  <c r="AE26" i="22"/>
  <c r="M26" i="22"/>
  <c r="Y26" i="22"/>
  <c r="AH26" i="22"/>
  <c r="AH25" i="22"/>
  <c r="BF23" i="22" l="1"/>
  <c r="F28" i="22"/>
  <c r="F29" i="22" s="1"/>
  <c r="F30" i="22" s="1"/>
  <c r="BD23" i="22"/>
  <c r="AP23" i="22"/>
  <c r="P28" i="22"/>
  <c r="P29" i="22" s="1"/>
  <c r="P30" i="22" s="1"/>
  <c r="AR30" i="22" s="1"/>
  <c r="Z28" i="22"/>
  <c r="Z29" i="22" s="1"/>
  <c r="Z30" i="22" s="1"/>
  <c r="BB30" i="22" s="1"/>
  <c r="AT23" i="22"/>
  <c r="AX23" i="22"/>
  <c r="AI23" i="22"/>
  <c r="BG23" i="22"/>
  <c r="W28" i="22"/>
  <c r="W29" i="22" s="1"/>
  <c r="W30" i="22" s="1"/>
  <c r="AY30" i="22" s="1"/>
  <c r="J28" i="22"/>
  <c r="J29" i="22" s="1"/>
  <c r="J30" i="22" s="1"/>
  <c r="AL30" i="22" s="1"/>
  <c r="T28" i="22"/>
  <c r="T29" i="22" s="1"/>
  <c r="T30" i="22" s="1"/>
  <c r="AV30" i="22" s="1"/>
  <c r="BE23" i="22"/>
  <c r="AR23" i="22"/>
  <c r="AM23" i="22"/>
  <c r="V28" i="22"/>
  <c r="V29" i="22" s="1"/>
  <c r="V30" i="22" s="1"/>
  <c r="AX30" i="22" s="1"/>
  <c r="AC28" i="22"/>
  <c r="AC29" i="22" s="1"/>
  <c r="AC30" i="22" s="1"/>
  <c r="BE30" i="22" s="1"/>
  <c r="AW23" i="22"/>
  <c r="AA28" i="22"/>
  <c r="AA29" i="22" s="1"/>
  <c r="AA30" i="22" s="1"/>
  <c r="BC30" i="22" s="1"/>
  <c r="N28" i="22"/>
  <c r="N29" i="22" s="1"/>
  <c r="N30" i="22" s="1"/>
  <c r="AP30" i="22" s="1"/>
  <c r="AU23" i="22"/>
  <c r="AV23" i="22"/>
  <c r="AK23" i="22"/>
  <c r="S28" i="22"/>
  <c r="S29" i="22" s="1"/>
  <c r="S30" i="22" s="1"/>
  <c r="AU30" i="22" s="1"/>
  <c r="AZ23" i="22"/>
  <c r="AO23" i="22"/>
  <c r="Y28" i="22"/>
  <c r="Y29" i="22" s="1"/>
  <c r="Y30" i="22" s="1"/>
  <c r="BA30" i="22" s="1"/>
  <c r="Q28" i="22"/>
  <c r="Q29" i="22" s="1"/>
  <c r="Q30" i="22" s="1"/>
  <c r="AS30" i="22" s="1"/>
  <c r="R28" i="22"/>
  <c r="R29" i="22" s="1"/>
  <c r="R30" i="22" s="1"/>
  <c r="AT30" i="22" s="1"/>
  <c r="H28" i="22"/>
  <c r="H29" i="22" s="1"/>
  <c r="H30" i="22" s="1"/>
  <c r="AJ30" i="22" s="1"/>
  <c r="AJ23" i="22"/>
  <c r="BA23" i="22"/>
  <c r="AQ23" i="22"/>
  <c r="AY23" i="22"/>
  <c r="I28" i="22"/>
  <c r="I29" i="22" s="1"/>
  <c r="I30" i="22" s="1"/>
  <c r="AK30" i="22" s="1"/>
  <c r="G28" i="22"/>
  <c r="G29" i="22" s="1"/>
  <c r="G30" i="22" s="1"/>
  <c r="AI30" i="22" s="1"/>
  <c r="AD28" i="22"/>
  <c r="AD29" i="22" s="1"/>
  <c r="AD30" i="22" s="1"/>
  <c r="BF30" i="22" s="1"/>
  <c r="AH23" i="22"/>
  <c r="X28" i="22"/>
  <c r="X29" i="22" s="1"/>
  <c r="X30" i="22" s="1"/>
  <c r="AZ30" i="22" s="1"/>
  <c r="BC23" i="22"/>
  <c r="M28" i="22"/>
  <c r="M29" i="22" s="1"/>
  <c r="M30" i="22" s="1"/>
  <c r="AO30" i="22" s="1"/>
  <c r="K28" i="22"/>
  <c r="K29" i="22" s="1"/>
  <c r="K30" i="22" s="1"/>
  <c r="AM30" i="22" s="1"/>
  <c r="U28" i="22"/>
  <c r="U29" i="22" s="1"/>
  <c r="U30" i="22" s="1"/>
  <c r="AW30" i="22" s="1"/>
  <c r="AS23" i="22"/>
  <c r="AE28" i="22"/>
  <c r="AE29" i="22" s="1"/>
  <c r="AE30" i="22" s="1"/>
  <c r="BG30" i="22" s="1"/>
  <c r="L28" i="22"/>
  <c r="L29" i="22" s="1"/>
  <c r="L30" i="22" s="1"/>
  <c r="AN30" i="22" s="1"/>
  <c r="AB28" i="22"/>
  <c r="AB29" i="22" s="1"/>
  <c r="AB30" i="22" s="1"/>
  <c r="BD30" i="22" s="1"/>
  <c r="O28" i="22"/>
  <c r="O29" i="22" s="1"/>
  <c r="O30" i="22" s="1"/>
  <c r="AQ30" i="22" s="1"/>
  <c r="AN23" i="22"/>
  <c r="AL23" i="22"/>
  <c r="BB23" i="22"/>
  <c r="BC28" i="22" l="1"/>
  <c r="BC29" i="22"/>
  <c r="BA29" i="22"/>
  <c r="BA28" i="22"/>
  <c r="BB28" i="22"/>
  <c r="BB29" i="22"/>
  <c r="AK28" i="22"/>
  <c r="AK29" i="22"/>
  <c r="AN29" i="22"/>
  <c r="AN28" i="22"/>
  <c r="BF29" i="22"/>
  <c r="BF28" i="22"/>
  <c r="AL29" i="22"/>
  <c r="AL28" i="22"/>
  <c r="AY29" i="22"/>
  <c r="AY28" i="22"/>
  <c r="AR29" i="22"/>
  <c r="AR28" i="22"/>
  <c r="AQ28" i="22"/>
  <c r="AQ29" i="22"/>
  <c r="AM29" i="22"/>
  <c r="AM28" i="22"/>
  <c r="AX29" i="22"/>
  <c r="AX28" i="22"/>
  <c r="AO29" i="22"/>
  <c r="AO28" i="22"/>
  <c r="BG29" i="22"/>
  <c r="BG28" i="22"/>
  <c r="AI29" i="22"/>
  <c r="AI28" i="22"/>
  <c r="AP28" i="22"/>
  <c r="AP29" i="22"/>
  <c r="AJ28" i="22"/>
  <c r="AJ29" i="22"/>
  <c r="AT29" i="22"/>
  <c r="AT28" i="22"/>
  <c r="AU29" i="22"/>
  <c r="AU28" i="22"/>
  <c r="AZ29" i="22"/>
  <c r="AZ28" i="22"/>
  <c r="BD29" i="22"/>
  <c r="BD28" i="22"/>
  <c r="AW28" i="22"/>
  <c r="AW29" i="22"/>
  <c r="AS29" i="22"/>
  <c r="AS28" i="22"/>
  <c r="BE29" i="22"/>
  <c r="BE28" i="22"/>
  <c r="AV28" i="22"/>
  <c r="AV29" i="22"/>
  <c r="AF30" i="22"/>
  <c r="AH30" i="22"/>
  <c r="AH29" i="22" l="1"/>
  <c r="AH28" i="22"/>
  <c r="G32" i="22"/>
  <c r="H32" i="22"/>
  <c r="N32" i="22"/>
  <c r="T32" i="22"/>
  <c r="Z32" i="22"/>
  <c r="J32" i="22"/>
  <c r="P32" i="22"/>
  <c r="V32" i="22"/>
  <c r="AB32" i="22"/>
  <c r="F32" i="22"/>
  <c r="Q32" i="22"/>
  <c r="Y32" i="22"/>
  <c r="I32" i="22"/>
  <c r="R32" i="22"/>
  <c r="AA32" i="22"/>
  <c r="M32" i="22"/>
  <c r="K32" i="22"/>
  <c r="S32" i="22"/>
  <c r="AC32" i="22"/>
  <c r="L32" i="22"/>
  <c r="U32" i="22"/>
  <c r="AD32" i="22"/>
  <c r="W32" i="22"/>
  <c r="O32" i="22"/>
  <c r="X32" i="22"/>
  <c r="AE32" i="22"/>
  <c r="AD34" i="22" l="1"/>
  <c r="AD35" i="22" s="1"/>
  <c r="AD36" i="22" s="1"/>
  <c r="BF36" i="22" s="1"/>
  <c r="T34" i="22"/>
  <c r="T35" i="22" s="1"/>
  <c r="T36" i="22" s="1"/>
  <c r="AV36" i="22" s="1"/>
  <c r="U34" i="22"/>
  <c r="U35" i="22" s="1"/>
  <c r="U36" i="22" s="1"/>
  <c r="AW36" i="22" s="1"/>
  <c r="AA34" i="22"/>
  <c r="AA35" i="22" s="1"/>
  <c r="AA36" i="22" s="1"/>
  <c r="BC36" i="22" s="1"/>
  <c r="AB34" i="22"/>
  <c r="AB35" i="22" s="1"/>
  <c r="AB36" i="22" s="1"/>
  <c r="BD36" i="22" s="1"/>
  <c r="N34" i="22"/>
  <c r="N35" i="22" s="1"/>
  <c r="N36" i="22" s="1"/>
  <c r="AP36" i="22" s="1"/>
  <c r="M34" i="22"/>
  <c r="M35" i="22" s="1"/>
  <c r="M36" i="22" s="1"/>
  <c r="AO36" i="22" s="1"/>
  <c r="R34" i="22"/>
  <c r="R35" i="22" s="1"/>
  <c r="R36" i="22" s="1"/>
  <c r="AT36" i="22" s="1"/>
  <c r="V34" i="22"/>
  <c r="V35" i="22" s="1"/>
  <c r="V36" i="22" s="1"/>
  <c r="AX36" i="22" s="1"/>
  <c r="H34" i="22"/>
  <c r="H35" i="22" s="1"/>
  <c r="H36" i="22" s="1"/>
  <c r="AJ36" i="22" s="1"/>
  <c r="F34" i="22"/>
  <c r="F35" i="22" s="1"/>
  <c r="F36" i="22" s="1"/>
  <c r="X34" i="22"/>
  <c r="X35" i="22" s="1"/>
  <c r="X36" i="22" s="1"/>
  <c r="AZ36" i="22" s="1"/>
  <c r="AC34" i="22"/>
  <c r="AC35" i="22" s="1"/>
  <c r="AC36" i="22" s="1"/>
  <c r="BE36" i="22" s="1"/>
  <c r="I34" i="22"/>
  <c r="I35" i="22" s="1"/>
  <c r="I36" i="22" s="1"/>
  <c r="AK36" i="22" s="1"/>
  <c r="P34" i="22"/>
  <c r="P35" i="22" s="1"/>
  <c r="P36" i="22" s="1"/>
  <c r="AR36" i="22" s="1"/>
  <c r="G34" i="22"/>
  <c r="G35" i="22" s="1"/>
  <c r="G36" i="22" s="1"/>
  <c r="AI36" i="22" s="1"/>
  <c r="L34" i="22"/>
  <c r="L35" i="22" s="1"/>
  <c r="L36" i="22" s="1"/>
  <c r="AN36" i="22" s="1"/>
  <c r="Y34" i="22"/>
  <c r="Y35" i="22" s="1"/>
  <c r="Y36" i="22" s="1"/>
  <c r="BA36" i="22" s="1"/>
  <c r="BF31" i="22"/>
  <c r="AP31" i="22"/>
  <c r="AQ31" i="22"/>
  <c r="BB31" i="22"/>
  <c r="AL31" i="22"/>
  <c r="AM31" i="22"/>
  <c r="AJ31" i="22"/>
  <c r="BC31" i="22"/>
  <c r="AY31" i="22"/>
  <c r="BG31" i="22"/>
  <c r="AK31" i="22"/>
  <c r="AO31" i="22"/>
  <c r="BD31" i="22"/>
  <c r="BE31" i="22"/>
  <c r="BA31" i="22"/>
  <c r="AW31" i="22"/>
  <c r="AV31" i="22"/>
  <c r="AR31" i="22"/>
  <c r="AZ31" i="22"/>
  <c r="AN31" i="22"/>
  <c r="AI31" i="22"/>
  <c r="AX31" i="22"/>
  <c r="AT31" i="22"/>
  <c r="AU31" i="22"/>
  <c r="AH31" i="22"/>
  <c r="AS31" i="22"/>
  <c r="AE34" i="22"/>
  <c r="AE35" i="22" s="1"/>
  <c r="AE36" i="22" s="1"/>
  <c r="BG36" i="22" s="1"/>
  <c r="O34" i="22"/>
  <c r="O35" i="22" s="1"/>
  <c r="O36" i="22" s="1"/>
  <c r="AQ36" i="22" s="1"/>
  <c r="S34" i="22"/>
  <c r="S35" i="22" s="1"/>
  <c r="S36" i="22" s="1"/>
  <c r="AU36" i="22" s="1"/>
  <c r="J34" i="22"/>
  <c r="J35" i="22" s="1"/>
  <c r="J36" i="22" s="1"/>
  <c r="AL36" i="22" s="1"/>
  <c r="W34" i="22"/>
  <c r="W35" i="22" s="1"/>
  <c r="W36" i="22" s="1"/>
  <c r="AY36" i="22" s="1"/>
  <c r="K34" i="22"/>
  <c r="K35" i="22" s="1"/>
  <c r="K36" i="22" s="1"/>
  <c r="AM36" i="22" s="1"/>
  <c r="Q34" i="22"/>
  <c r="Q35" i="22" s="1"/>
  <c r="Q36" i="22" s="1"/>
  <c r="AS36" i="22" s="1"/>
  <c r="Z34" i="22"/>
  <c r="Z35" i="22" s="1"/>
  <c r="Z36" i="22" s="1"/>
  <c r="BB36" i="22" s="1"/>
  <c r="AK34" i="22" l="1"/>
  <c r="AK35" i="22"/>
  <c r="AJ35" i="22"/>
  <c r="AJ34" i="22"/>
  <c r="BD34" i="22"/>
  <c r="BD35" i="22"/>
  <c r="AM35" i="22"/>
  <c r="AM34" i="22"/>
  <c r="BA34" i="22"/>
  <c r="BA35" i="22"/>
  <c r="BE35" i="22"/>
  <c r="BE34" i="22"/>
  <c r="AX34" i="22"/>
  <c r="AX35" i="22"/>
  <c r="BC34" i="22"/>
  <c r="BC35" i="22"/>
  <c r="AN35" i="22"/>
  <c r="AN34" i="22"/>
  <c r="AT35" i="22"/>
  <c r="AT34" i="22"/>
  <c r="AW35" i="22"/>
  <c r="AW34" i="22"/>
  <c r="AL34" i="22"/>
  <c r="AL35" i="22"/>
  <c r="AF36" i="22"/>
  <c r="AH36" i="22"/>
  <c r="AO35" i="22"/>
  <c r="AO34" i="22"/>
  <c r="AV35" i="22"/>
  <c r="AV34" i="22"/>
  <c r="AY35" i="22"/>
  <c r="AY34" i="22"/>
  <c r="BB35" i="22"/>
  <c r="BB34" i="22"/>
  <c r="AS35" i="22"/>
  <c r="AS34" i="22"/>
  <c r="AI35" i="22"/>
  <c r="AI34" i="22"/>
  <c r="BF35" i="22"/>
  <c r="BF34" i="22"/>
  <c r="AZ35" i="22"/>
  <c r="AZ34" i="22"/>
  <c r="BG35" i="22"/>
  <c r="BG34" i="22"/>
  <c r="AU34" i="22"/>
  <c r="AU35" i="22"/>
  <c r="AR34" i="22"/>
  <c r="AR35" i="22"/>
  <c r="AP35" i="22"/>
  <c r="AP34" i="22"/>
  <c r="AQ34" i="22"/>
  <c r="AQ35" i="22"/>
  <c r="AH35" i="22" l="1"/>
  <c r="AH34" i="22"/>
  <c r="I38" i="22"/>
  <c r="O38" i="22"/>
  <c r="U38" i="22"/>
  <c r="AA38" i="22"/>
  <c r="K38" i="22"/>
  <c r="Q38" i="22"/>
  <c r="W38" i="22"/>
  <c r="AC38" i="22"/>
  <c r="F38" i="22"/>
  <c r="N38" i="22"/>
  <c r="X38" i="22"/>
  <c r="G38" i="22"/>
  <c r="P38" i="22"/>
  <c r="Y38" i="22"/>
  <c r="H38" i="22"/>
  <c r="R38" i="22"/>
  <c r="Z38" i="22"/>
  <c r="J38" i="22"/>
  <c r="S38" i="22"/>
  <c r="AB38" i="22"/>
  <c r="M38" i="22"/>
  <c r="V38" i="22"/>
  <c r="AE38" i="22"/>
  <c r="L38" i="22"/>
  <c r="T38" i="22"/>
  <c r="AD38" i="22"/>
  <c r="AA40" i="22" l="1"/>
  <c r="AA41" i="22" s="1"/>
  <c r="AA42" i="22" s="1"/>
  <c r="BC42" i="22" s="1"/>
  <c r="V40" i="22"/>
  <c r="V41" i="22" s="1"/>
  <c r="V42" i="22" s="1"/>
  <c r="AX42" i="22" s="1"/>
  <c r="H40" i="22"/>
  <c r="H41" i="22" s="1"/>
  <c r="H42" i="22" s="1"/>
  <c r="AJ42" i="22" s="1"/>
  <c r="F40" i="22"/>
  <c r="F41" i="22" s="1"/>
  <c r="F42" i="22" s="1"/>
  <c r="U40" i="22"/>
  <c r="U41" i="22" s="1"/>
  <c r="U42" i="22" s="1"/>
  <c r="AW42" i="22" s="1"/>
  <c r="AD40" i="22"/>
  <c r="AD41" i="22" s="1"/>
  <c r="AD42" i="22" s="1"/>
  <c r="BF42" i="22" s="1"/>
  <c r="AC40" i="22"/>
  <c r="AC41" i="22" s="1"/>
  <c r="AC42" i="22" s="1"/>
  <c r="BE42" i="22" s="1"/>
  <c r="O40" i="22"/>
  <c r="O41" i="22" s="1"/>
  <c r="O42" i="22" s="1"/>
  <c r="AQ42" i="22" s="1"/>
  <c r="R40" i="22"/>
  <c r="R41" i="22" s="1"/>
  <c r="R42" i="22" s="1"/>
  <c r="AT42" i="22" s="1"/>
  <c r="T40" i="22"/>
  <c r="T41" i="22" s="1"/>
  <c r="T42" i="22" s="1"/>
  <c r="AV42" i="22" s="1"/>
  <c r="S40" i="22"/>
  <c r="S41" i="22" s="1"/>
  <c r="S42" i="22" s="1"/>
  <c r="AU42" i="22" s="1"/>
  <c r="P40" i="22"/>
  <c r="P41" i="22" s="1"/>
  <c r="P42" i="22" s="1"/>
  <c r="AR42" i="22" s="1"/>
  <c r="W40" i="22"/>
  <c r="W41" i="22" s="1"/>
  <c r="W42" i="22" s="1"/>
  <c r="AY42" i="22" s="1"/>
  <c r="I40" i="22"/>
  <c r="I41" i="22" s="1"/>
  <c r="I42" i="22" s="1"/>
  <c r="AK42" i="22" s="1"/>
  <c r="N40" i="22"/>
  <c r="N41" i="22" s="1"/>
  <c r="N42" i="22" s="1"/>
  <c r="AP42" i="22" s="1"/>
  <c r="AB40" i="22"/>
  <c r="AB41" i="22" s="1"/>
  <c r="AB42" i="22" s="1"/>
  <c r="BD42" i="22" s="1"/>
  <c r="G40" i="22"/>
  <c r="G41" i="22" s="1"/>
  <c r="G42" i="22" s="1"/>
  <c r="AI42" i="22" s="1"/>
  <c r="AR37" i="22"/>
  <c r="AL37" i="22"/>
  <c r="BA37" i="22"/>
  <c r="AY37" i="22"/>
  <c r="AO37" i="22"/>
  <c r="BG37" i="22"/>
  <c r="AH37" i="22"/>
  <c r="AM37" i="22"/>
  <c r="BB37" i="22"/>
  <c r="AZ37" i="22"/>
  <c r="AS37" i="22"/>
  <c r="BE37" i="22"/>
  <c r="AI37" i="22"/>
  <c r="AW37" i="22"/>
  <c r="AN37" i="22"/>
  <c r="AT37" i="22"/>
  <c r="BD37" i="22"/>
  <c r="AU37" i="22"/>
  <c r="AP37" i="22"/>
  <c r="AQ37" i="22"/>
  <c r="AV37" i="22"/>
  <c r="AX37" i="22"/>
  <c r="BC37" i="22"/>
  <c r="AJ37" i="22"/>
  <c r="BF37" i="22"/>
  <c r="AK37" i="22"/>
  <c r="M40" i="22"/>
  <c r="M41" i="22" s="1"/>
  <c r="M42" i="22" s="1"/>
  <c r="AO42" i="22" s="1"/>
  <c r="Y40" i="22"/>
  <c r="Y41" i="22" s="1"/>
  <c r="Y42" i="22" s="1"/>
  <c r="BA42" i="22" s="1"/>
  <c r="L40" i="22"/>
  <c r="L41" i="22" s="1"/>
  <c r="L42" i="22" s="1"/>
  <c r="AN42" i="22" s="1"/>
  <c r="J40" i="22"/>
  <c r="J41" i="22" s="1"/>
  <c r="J42" i="22" s="1"/>
  <c r="AL42" i="22" s="1"/>
  <c r="Q40" i="22"/>
  <c r="Q41" i="22" s="1"/>
  <c r="Q42" i="22" s="1"/>
  <c r="AS42" i="22" s="1"/>
  <c r="AE40" i="22"/>
  <c r="AE41" i="22" s="1"/>
  <c r="AE42" i="22" s="1"/>
  <c r="BG42" i="22" s="1"/>
  <c r="Z40" i="22"/>
  <c r="Z41" i="22" s="1"/>
  <c r="Z42" i="22" s="1"/>
  <c r="BB42" i="22" s="1"/>
  <c r="X40" i="22"/>
  <c r="X41" i="22" s="1"/>
  <c r="X42" i="22" s="1"/>
  <c r="AZ42" i="22" s="1"/>
  <c r="K40" i="22"/>
  <c r="K41" i="22" s="1"/>
  <c r="K42" i="22" s="1"/>
  <c r="AM42" i="22" s="1"/>
  <c r="AM41" i="22" l="1"/>
  <c r="AM40" i="22"/>
  <c r="AY40" i="22"/>
  <c r="AY41" i="22"/>
  <c r="AT41" i="22"/>
  <c r="AT40" i="22"/>
  <c r="AF42" i="22"/>
  <c r="AH42" i="22"/>
  <c r="AZ41" i="22"/>
  <c r="AZ40" i="22"/>
  <c r="AN41" i="22"/>
  <c r="AN40" i="22"/>
  <c r="AI40" i="22"/>
  <c r="AI41" i="22"/>
  <c r="AR40" i="22"/>
  <c r="AR41" i="22"/>
  <c r="AQ40" i="22"/>
  <c r="AQ41" i="22"/>
  <c r="BD40" i="22"/>
  <c r="BD41" i="22"/>
  <c r="AU41" i="22"/>
  <c r="AU40" i="22"/>
  <c r="BE41" i="22"/>
  <c r="BE40" i="22"/>
  <c r="BB41" i="22"/>
  <c r="BB40" i="22"/>
  <c r="BG41" i="22"/>
  <c r="BG40" i="22"/>
  <c r="AO41" i="22"/>
  <c r="AO40" i="22"/>
  <c r="BF41" i="22"/>
  <c r="BF40" i="22"/>
  <c r="AJ41" i="22"/>
  <c r="AJ40" i="22"/>
  <c r="AL40" i="22"/>
  <c r="AL41" i="22"/>
  <c r="AS41" i="22"/>
  <c r="AS40" i="22"/>
  <c r="AP41" i="22"/>
  <c r="AP40" i="22"/>
  <c r="AX40" i="22"/>
  <c r="AX41" i="22"/>
  <c r="BA40" i="22"/>
  <c r="BA41" i="22"/>
  <c r="AK41" i="22"/>
  <c r="AK40" i="22"/>
  <c r="AW41" i="22"/>
  <c r="AW40" i="22"/>
  <c r="BC41" i="22"/>
  <c r="BC40" i="22"/>
  <c r="AV41" i="22"/>
  <c r="AV40" i="22"/>
  <c r="AH41" i="22" l="1"/>
  <c r="AH40" i="22"/>
  <c r="AZ43" i="22" l="1"/>
  <c r="AM43" i="22"/>
  <c r="AT43" i="22"/>
  <c r="BG43" i="22"/>
  <c r="AL43" i="22"/>
  <c r="AV43" i="22"/>
  <c r="AP43" i="22"/>
  <c r="BC43" i="22"/>
  <c r="BF43" i="22"/>
  <c r="AW43" i="22"/>
  <c r="AY43" i="22"/>
  <c r="BA43" i="22"/>
  <c r="BD43" i="22"/>
  <c r="AO43" i="22"/>
  <c r="AX43" i="22"/>
  <c r="AN43" i="22"/>
  <c r="BB43" i="22"/>
  <c r="AI43" i="22"/>
  <c r="AJ43" i="22"/>
  <c r="BE43" i="22"/>
  <c r="AK43" i="22"/>
  <c r="AQ43" i="22"/>
  <c r="AH43" i="22"/>
  <c r="E7" i="31" s="1"/>
  <c r="AU43" i="22"/>
  <c r="AS43" i="22"/>
  <c r="AR43" i="22"/>
  <c r="K7" i="31" l="1"/>
  <c r="AL7" i="31" s="1"/>
  <c r="L7" i="31"/>
  <c r="AM7" i="31" s="1"/>
  <c r="H7" i="31"/>
  <c r="AI7" i="31" s="1"/>
  <c r="AA7" i="31"/>
  <c r="BB7" i="31" s="1"/>
  <c r="I7" i="31"/>
  <c r="AJ7" i="31" s="1"/>
  <c r="S7" i="31"/>
  <c r="AT7" i="31" s="1"/>
  <c r="AB7" i="31"/>
  <c r="BC7" i="31" s="1"/>
  <c r="X7" i="31"/>
  <c r="AY7" i="31" s="1"/>
  <c r="AD7" i="31"/>
  <c r="BE7" i="31" s="1"/>
  <c r="M7" i="31"/>
  <c r="AN7" i="31" s="1"/>
  <c r="V7" i="31"/>
  <c r="AW7" i="31" s="1"/>
  <c r="Q7" i="31"/>
  <c r="AR7" i="31" s="1"/>
  <c r="Z7" i="31"/>
  <c r="BA7" i="31" s="1"/>
  <c r="N7" i="31"/>
  <c r="AO7" i="31" s="1"/>
  <c r="O7" i="31"/>
  <c r="AP7" i="31" s="1"/>
  <c r="F7" i="31"/>
  <c r="AG7" i="31" s="1"/>
  <c r="T7" i="31"/>
  <c r="AU7" i="31" s="1"/>
  <c r="J7" i="31"/>
  <c r="AK7" i="31" s="1"/>
  <c r="R7" i="31"/>
  <c r="AS7" i="31" s="1"/>
  <c r="U7" i="31"/>
  <c r="AV7" i="31" s="1"/>
  <c r="G7" i="31"/>
  <c r="AH7" i="31" s="1"/>
  <c r="P7" i="31"/>
  <c r="AQ7" i="31" s="1"/>
  <c r="Y7" i="31"/>
  <c r="AZ7" i="31" s="1"/>
  <c r="AC7" i="31"/>
  <c r="BD7" i="31" s="1"/>
  <c r="W7" i="31"/>
  <c r="AX7" i="31" s="1"/>
  <c r="AF7" i="31"/>
</calcChain>
</file>

<file path=xl/sharedStrings.xml><?xml version="1.0" encoding="utf-8"?>
<sst xmlns="http://schemas.openxmlformats.org/spreadsheetml/2006/main" count="6459" uniqueCount="634">
  <si>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</si>
  <si>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</si>
  <si>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</si>
  <si>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</si>
  <si>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</si>
  <si>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</si>
  <si>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</si>
  <si>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</si>
  <si>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</si>
  <si>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</si>
  <si>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</si>
  <si>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</si>
  <si>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</si>
  <si>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</si>
  <si>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</si>
  <si>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</si>
  <si>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</si>
  <si>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</si>
  <si>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</si>
  <si>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</si>
  <si>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</si>
  <si>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</si>
  <si>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</si>
  <si>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</si>
  <si>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</si>
  <si>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</si>
  <si>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Reflector</t>
  </si>
  <si>
    <t>Current position</t>
  </si>
  <si>
    <t>Counter</t>
  </si>
  <si>
    <t>Let2Num</t>
  </si>
  <si>
    <t>Rotor</t>
  </si>
  <si>
    <t>RotorReverse</t>
  </si>
  <si>
    <t>R1</t>
  </si>
  <si>
    <t>R2</t>
  </si>
  <si>
    <t>R3</t>
  </si>
  <si>
    <t>R4</t>
  </si>
  <si>
    <t>R5</t>
  </si>
  <si>
    <t>WideA</t>
  </si>
  <si>
    <t>WideB</t>
  </si>
  <si>
    <t>WideC</t>
  </si>
  <si>
    <t>1A</t>
  </si>
  <si>
    <t>1B</t>
  </si>
  <si>
    <t>1C</t>
  </si>
  <si>
    <t>1D</t>
  </si>
  <si>
    <t>1E</t>
  </si>
  <si>
    <t>1F</t>
  </si>
  <si>
    <t>1G</t>
  </si>
  <si>
    <t>1H</t>
  </si>
  <si>
    <t>1I</t>
  </si>
  <si>
    <t>1J</t>
  </si>
  <si>
    <t>1K</t>
  </si>
  <si>
    <t>1L</t>
  </si>
  <si>
    <t>1M</t>
  </si>
  <si>
    <t>1N</t>
  </si>
  <si>
    <t>1O</t>
  </si>
  <si>
    <t>1P</t>
  </si>
  <si>
    <t>1Q</t>
  </si>
  <si>
    <t>1R</t>
  </si>
  <si>
    <t>1S</t>
  </si>
  <si>
    <t>1T</t>
  </si>
  <si>
    <t>1U</t>
  </si>
  <si>
    <t>1V</t>
  </si>
  <si>
    <t>1W</t>
  </si>
  <si>
    <t>1X</t>
  </si>
  <si>
    <t>1Y</t>
  </si>
  <si>
    <t>1Z</t>
  </si>
  <si>
    <t>2A</t>
  </si>
  <si>
    <t>2B</t>
  </si>
  <si>
    <t>2C</t>
  </si>
  <si>
    <t>2D</t>
  </si>
  <si>
    <t>2E</t>
  </si>
  <si>
    <t>2F</t>
  </si>
  <si>
    <t>2G</t>
  </si>
  <si>
    <t>2H</t>
  </si>
  <si>
    <t>2I</t>
  </si>
  <si>
    <t>2J</t>
  </si>
  <si>
    <t>2K</t>
  </si>
  <si>
    <t>2L</t>
  </si>
  <si>
    <t>2M</t>
  </si>
  <si>
    <t>2N</t>
  </si>
  <si>
    <t>2O</t>
  </si>
  <si>
    <t>2P</t>
  </si>
  <si>
    <t>2Q</t>
  </si>
  <si>
    <t>2R</t>
  </si>
  <si>
    <t>2S</t>
  </si>
  <si>
    <t>2T</t>
  </si>
  <si>
    <t>2U</t>
  </si>
  <si>
    <t>2V</t>
  </si>
  <si>
    <t>2W</t>
  </si>
  <si>
    <t>2X</t>
  </si>
  <si>
    <t>2Y</t>
  </si>
  <si>
    <t>2Z</t>
  </si>
  <si>
    <t>3A</t>
  </si>
  <si>
    <t>3B</t>
  </si>
  <si>
    <t>3C</t>
  </si>
  <si>
    <t>3D</t>
  </si>
  <si>
    <t>3E</t>
  </si>
  <si>
    <t>3F</t>
  </si>
  <si>
    <t>3G</t>
  </si>
  <si>
    <t>3H</t>
  </si>
  <si>
    <t>3I</t>
  </si>
  <si>
    <t>3J</t>
  </si>
  <si>
    <t>3K</t>
  </si>
  <si>
    <t>3L</t>
  </si>
  <si>
    <t>3M</t>
  </si>
  <si>
    <t>3N</t>
  </si>
  <si>
    <t>3O</t>
  </si>
  <si>
    <t>3P</t>
  </si>
  <si>
    <t>3Q</t>
  </si>
  <si>
    <t>3R</t>
  </si>
  <si>
    <t>3S</t>
  </si>
  <si>
    <t>3T</t>
  </si>
  <si>
    <t>3U</t>
  </si>
  <si>
    <t>3V</t>
  </si>
  <si>
    <t>3W</t>
  </si>
  <si>
    <t>3X</t>
  </si>
  <si>
    <t>3Y</t>
  </si>
  <si>
    <t>3Z</t>
  </si>
  <si>
    <t>4A</t>
  </si>
  <si>
    <t>4B</t>
  </si>
  <si>
    <t>4C</t>
  </si>
  <si>
    <t>4D</t>
  </si>
  <si>
    <t>4E</t>
  </si>
  <si>
    <t>4F</t>
  </si>
  <si>
    <t>4G</t>
  </si>
  <si>
    <t>4H</t>
  </si>
  <si>
    <t>4I</t>
  </si>
  <si>
    <t>4J</t>
  </si>
  <si>
    <t>4K</t>
  </si>
  <si>
    <t>4L</t>
  </si>
  <si>
    <t>4M</t>
  </si>
  <si>
    <t>4N</t>
  </si>
  <si>
    <t>4O</t>
  </si>
  <si>
    <t>4P</t>
  </si>
  <si>
    <t>4Q</t>
  </si>
  <si>
    <t>4R</t>
  </si>
  <si>
    <t>4S</t>
  </si>
  <si>
    <t>4T</t>
  </si>
  <si>
    <t>4U</t>
  </si>
  <si>
    <t>4V</t>
  </si>
  <si>
    <t>4W</t>
  </si>
  <si>
    <t>4X</t>
  </si>
  <si>
    <t>4Y</t>
  </si>
  <si>
    <t>4Z</t>
  </si>
  <si>
    <t>5A</t>
  </si>
  <si>
    <t>5B</t>
  </si>
  <si>
    <t>5C</t>
  </si>
  <si>
    <t>5D</t>
  </si>
  <si>
    <t>5E</t>
  </si>
  <si>
    <t>5F</t>
  </si>
  <si>
    <t>5G</t>
  </si>
  <si>
    <t>5H</t>
  </si>
  <si>
    <t>5I</t>
  </si>
  <si>
    <t>5J</t>
  </si>
  <si>
    <t>5K</t>
  </si>
  <si>
    <t>5L</t>
  </si>
  <si>
    <t>5M</t>
  </si>
  <si>
    <t>5N</t>
  </si>
  <si>
    <t>5O</t>
  </si>
  <si>
    <t>5P</t>
  </si>
  <si>
    <t>5Q</t>
  </si>
  <si>
    <t>5R</t>
  </si>
  <si>
    <t>5S</t>
  </si>
  <si>
    <t>5T</t>
  </si>
  <si>
    <t>5U</t>
  </si>
  <si>
    <t>5V</t>
  </si>
  <si>
    <t>5W</t>
  </si>
  <si>
    <t>5X</t>
  </si>
  <si>
    <t>5Y</t>
  </si>
  <si>
    <t>5Z</t>
  </si>
  <si>
    <t>R1A</t>
  </si>
  <si>
    <t>R1B</t>
  </si>
  <si>
    <t>R1C</t>
  </si>
  <si>
    <t>R1D</t>
  </si>
  <si>
    <t>R1E</t>
  </si>
  <si>
    <t>R1F</t>
  </si>
  <si>
    <t>R1G</t>
  </si>
  <si>
    <t>R1H</t>
  </si>
  <si>
    <t>R1I</t>
  </si>
  <si>
    <t>R1J</t>
  </si>
  <si>
    <t>R1K</t>
  </si>
  <si>
    <t>R1L</t>
  </si>
  <si>
    <t>R1M</t>
  </si>
  <si>
    <t>R1N</t>
  </si>
  <si>
    <t>R1O</t>
  </si>
  <si>
    <t>R1P</t>
  </si>
  <si>
    <t>R1Q</t>
  </si>
  <si>
    <t>R1R</t>
  </si>
  <si>
    <t>R1S</t>
  </si>
  <si>
    <t>R1T</t>
  </si>
  <si>
    <t>R1U</t>
  </si>
  <si>
    <t>R1V</t>
  </si>
  <si>
    <t>R1W</t>
  </si>
  <si>
    <t>R1X</t>
  </si>
  <si>
    <t>R1Y</t>
  </si>
  <si>
    <t>R1Z</t>
  </si>
  <si>
    <t>R2A</t>
  </si>
  <si>
    <t>R2B</t>
  </si>
  <si>
    <t>R2C</t>
  </si>
  <si>
    <t>R2D</t>
  </si>
  <si>
    <t>R2E</t>
  </si>
  <si>
    <t>R2F</t>
  </si>
  <si>
    <t>R2G</t>
  </si>
  <si>
    <t>R2H</t>
  </si>
  <si>
    <t>R2I</t>
  </si>
  <si>
    <t>R2J</t>
  </si>
  <si>
    <t>R2K</t>
  </si>
  <si>
    <t>R2L</t>
  </si>
  <si>
    <t>R2M</t>
  </si>
  <si>
    <t>R2N</t>
  </si>
  <si>
    <t>R2O</t>
  </si>
  <si>
    <t>R2P</t>
  </si>
  <si>
    <t>R2Q</t>
  </si>
  <si>
    <t>R2R</t>
  </si>
  <si>
    <t>R2S</t>
  </si>
  <si>
    <t>R2T</t>
  </si>
  <si>
    <t>R2U</t>
  </si>
  <si>
    <t>R2V</t>
  </si>
  <si>
    <t>R2W</t>
  </si>
  <si>
    <t>R2X</t>
  </si>
  <si>
    <t>R2Y</t>
  </si>
  <si>
    <t>R2Z</t>
  </si>
  <si>
    <t>R3A</t>
  </si>
  <si>
    <t>R3B</t>
  </si>
  <si>
    <t>R3C</t>
  </si>
  <si>
    <t>R3D</t>
  </si>
  <si>
    <t>R3E</t>
  </si>
  <si>
    <t>R3F</t>
  </si>
  <si>
    <t>R3G</t>
  </si>
  <si>
    <t>R3H</t>
  </si>
  <si>
    <t>R3I</t>
  </si>
  <si>
    <t>R3J</t>
  </si>
  <si>
    <t>R3K</t>
  </si>
  <si>
    <t>R3L</t>
  </si>
  <si>
    <t>R3M</t>
  </si>
  <si>
    <t>R3N</t>
  </si>
  <si>
    <t>R3O</t>
  </si>
  <si>
    <t>R3P</t>
  </si>
  <si>
    <t>R3Q</t>
  </si>
  <si>
    <t>R3R</t>
  </si>
  <si>
    <t>R3S</t>
  </si>
  <si>
    <t>R3T</t>
  </si>
  <si>
    <t>R3U</t>
  </si>
  <si>
    <t>R3V</t>
  </si>
  <si>
    <t>R3W</t>
  </si>
  <si>
    <t>R3X</t>
  </si>
  <si>
    <t>R3Y</t>
  </si>
  <si>
    <t>R3Z</t>
  </si>
  <si>
    <t>R4A</t>
  </si>
  <si>
    <t>R4B</t>
  </si>
  <si>
    <t>R4C</t>
  </si>
  <si>
    <t>R4D</t>
  </si>
  <si>
    <t>R4E</t>
  </si>
  <si>
    <t>R4F</t>
  </si>
  <si>
    <t>R4G</t>
  </si>
  <si>
    <t>R4H</t>
  </si>
  <si>
    <t>R4I</t>
  </si>
  <si>
    <t>R4J</t>
  </si>
  <si>
    <t>R4K</t>
  </si>
  <si>
    <t>R4L</t>
  </si>
  <si>
    <t>R4M</t>
  </si>
  <si>
    <t>R4N</t>
  </si>
  <si>
    <t>R4O</t>
  </si>
  <si>
    <t>R4P</t>
  </si>
  <si>
    <t>R4Q</t>
  </si>
  <si>
    <t>R4R</t>
  </si>
  <si>
    <t>R4S</t>
  </si>
  <si>
    <t>R4T</t>
  </si>
  <si>
    <t>R4U</t>
  </si>
  <si>
    <t>R4V</t>
  </si>
  <si>
    <t>R4W</t>
  </si>
  <si>
    <t>R4X</t>
  </si>
  <si>
    <t>R4Y</t>
  </si>
  <si>
    <t>R4Z</t>
  </si>
  <si>
    <t>R5A</t>
  </si>
  <si>
    <t>R5B</t>
  </si>
  <si>
    <t>R5C</t>
  </si>
  <si>
    <t>R5D</t>
  </si>
  <si>
    <t>R5E</t>
  </si>
  <si>
    <t>R5F</t>
  </si>
  <si>
    <t>R5G</t>
  </si>
  <si>
    <t>R5H</t>
  </si>
  <si>
    <t>R5I</t>
  </si>
  <si>
    <t>R5J</t>
  </si>
  <si>
    <t>R5K</t>
  </si>
  <si>
    <t>R5L</t>
  </si>
  <si>
    <t>R5M</t>
  </si>
  <si>
    <t>R5N</t>
  </si>
  <si>
    <t>R5O</t>
  </si>
  <si>
    <t>R5P</t>
  </si>
  <si>
    <t>R5Q</t>
  </si>
  <si>
    <t>R5R</t>
  </si>
  <si>
    <t>R5S</t>
  </si>
  <si>
    <t>R5T</t>
  </si>
  <si>
    <t>R5U</t>
  </si>
  <si>
    <t>R5V</t>
  </si>
  <si>
    <t>R5W</t>
  </si>
  <si>
    <t>R5X</t>
  </si>
  <si>
    <t>R5Y</t>
  </si>
  <si>
    <t>R5Z</t>
  </si>
  <si>
    <t>WideA_A</t>
  </si>
  <si>
    <t>WideA_B</t>
  </si>
  <si>
    <t>WideA_C</t>
  </si>
  <si>
    <t>WideA_D</t>
  </si>
  <si>
    <t>WideA_E</t>
  </si>
  <si>
    <t>WideA_F</t>
  </si>
  <si>
    <t>WideA_G</t>
  </si>
  <si>
    <t>WideA_H</t>
  </si>
  <si>
    <t>WideA_I</t>
  </si>
  <si>
    <t>WideA_J</t>
  </si>
  <si>
    <t>WideA_K</t>
  </si>
  <si>
    <t>WideA_L</t>
  </si>
  <si>
    <t>WideA_M</t>
  </si>
  <si>
    <t>WideA_N</t>
  </si>
  <si>
    <t>WideA_O</t>
  </si>
  <si>
    <t>WideA_P</t>
  </si>
  <si>
    <t>WideA_Q</t>
  </si>
  <si>
    <t>WideA_R</t>
  </si>
  <si>
    <t>WideA_S</t>
  </si>
  <si>
    <t>WideA_T</t>
  </si>
  <si>
    <t>WideA_U</t>
  </si>
  <si>
    <t>WideA_V</t>
  </si>
  <si>
    <t>WideA_W</t>
  </si>
  <si>
    <t>WideA_X</t>
  </si>
  <si>
    <t>WideA_Y</t>
  </si>
  <si>
    <t>WideA_Z</t>
  </si>
  <si>
    <t>WideB_A</t>
  </si>
  <si>
    <t>WideB_B</t>
  </si>
  <si>
    <t>WideB_C</t>
  </si>
  <si>
    <t>WideB_D</t>
  </si>
  <si>
    <t>WideB_E</t>
  </si>
  <si>
    <t>WideB_F</t>
  </si>
  <si>
    <t>WideB_G</t>
  </si>
  <si>
    <t>WideB_H</t>
  </si>
  <si>
    <t>WideB_I</t>
  </si>
  <si>
    <t>WideB_J</t>
  </si>
  <si>
    <t>WideB_K</t>
  </si>
  <si>
    <t>WideB_L</t>
  </si>
  <si>
    <t>WideB_M</t>
  </si>
  <si>
    <t>WideB_N</t>
  </si>
  <si>
    <t>WideB_O</t>
  </si>
  <si>
    <t>WideB_P</t>
  </si>
  <si>
    <t>WideB_Q</t>
  </si>
  <si>
    <t>WideB_R</t>
  </si>
  <si>
    <t>WideB_S</t>
  </si>
  <si>
    <t>WideB_T</t>
  </si>
  <si>
    <t>WideB_U</t>
  </si>
  <si>
    <t>WideB_V</t>
  </si>
  <si>
    <t>WideB_W</t>
  </si>
  <si>
    <t>WideB_X</t>
  </si>
  <si>
    <t>WideB_Y</t>
  </si>
  <si>
    <t>WideB_Z</t>
  </si>
  <si>
    <t>WideC_A</t>
  </si>
  <si>
    <t>WideC_B</t>
  </si>
  <si>
    <t>WideC_C</t>
  </si>
  <si>
    <t>WideC_D</t>
  </si>
  <si>
    <t>WideC_E</t>
  </si>
  <si>
    <t>WideC_F</t>
  </si>
  <si>
    <t>WideC_G</t>
  </si>
  <si>
    <t>WideC_H</t>
  </si>
  <si>
    <t>WideC_I</t>
  </si>
  <si>
    <t>WideC_J</t>
  </si>
  <si>
    <t>WideC_K</t>
  </si>
  <si>
    <t>WideC_L</t>
  </si>
  <si>
    <t>WideC_M</t>
  </si>
  <si>
    <t>WideC_N</t>
  </si>
  <si>
    <t>WideC_O</t>
  </si>
  <si>
    <t>WideC_P</t>
  </si>
  <si>
    <t>WideC_Q</t>
  </si>
  <si>
    <t>WideC_R</t>
  </si>
  <si>
    <t>WideC_S</t>
  </si>
  <si>
    <t>WideC_T</t>
  </si>
  <si>
    <t>WideC_U</t>
  </si>
  <si>
    <t>WideC_V</t>
  </si>
  <si>
    <t>WideC_W</t>
  </si>
  <si>
    <t>WideC_X</t>
  </si>
  <si>
    <t>WideC_Y</t>
  </si>
  <si>
    <t>WideC_Z</t>
  </si>
  <si>
    <t>Char Offset</t>
  </si>
  <si>
    <t>RotorRight</t>
  </si>
  <si>
    <t>RotorMiddle</t>
  </si>
  <si>
    <t>RotorLeft</t>
  </si>
  <si>
    <t>RotorLeft_Reverse</t>
  </si>
  <si>
    <t>RotorMiddle_Reverse</t>
  </si>
  <si>
    <t>RotorRight_Reverse</t>
  </si>
  <si>
    <t>Signal_In</t>
  </si>
  <si>
    <t>Contact_In</t>
  </si>
  <si>
    <t>Contact_Out</t>
  </si>
  <si>
    <t>Signal_Out</t>
  </si>
  <si>
    <t>RingPositionRight</t>
  </si>
  <si>
    <t>RingPositionMiddle</t>
  </si>
  <si>
    <t>RingPositionLeft</t>
  </si>
  <si>
    <t>Num2Let</t>
  </si>
  <si>
    <t>NextLetter</t>
  </si>
  <si>
    <t>RingOffset</t>
  </si>
  <si>
    <t>Input</t>
  </si>
  <si>
    <t>Output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</si>
  <si>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</si>
  <si>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</si>
  <si>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</si>
  <si>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</si>
  <si>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</si>
  <si>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</si>
  <si>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</si>
  <si>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</si>
  <si>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</si>
  <si>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</si>
  <si>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</si>
  <si>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</si>
  <si>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</si>
  <si>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</si>
  <si>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</si>
  <si>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</si>
  <si>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</si>
  <si>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</si>
  <si>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</si>
  <si>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</si>
  <si>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</si>
  <si>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</si>
  <si>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</si>
  <si>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</si>
  <si>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</si>
  <si>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</si>
  <si>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ABCDEFGHIJKLMNOPQRSTUVWXYZ</t>
  </si>
  <si>
    <t>Enigma10</t>
  </si>
  <si>
    <t>Enigma11</t>
  </si>
  <si>
    <t>Enigma12</t>
  </si>
  <si>
    <t>6A</t>
  </si>
  <si>
    <t>6B</t>
  </si>
  <si>
    <t>6C</t>
  </si>
  <si>
    <t>6D</t>
  </si>
  <si>
    <t>6E</t>
  </si>
  <si>
    <t>6F</t>
  </si>
  <si>
    <t>6G</t>
  </si>
  <si>
    <t>6H</t>
  </si>
  <si>
    <t>6I</t>
  </si>
  <si>
    <t>6J</t>
  </si>
  <si>
    <t>6K</t>
  </si>
  <si>
    <t>6L</t>
  </si>
  <si>
    <t>6M</t>
  </si>
  <si>
    <t>6N</t>
  </si>
  <si>
    <t>6O</t>
  </si>
  <si>
    <t>6P</t>
  </si>
  <si>
    <t>6Q</t>
  </si>
  <si>
    <t>6R</t>
  </si>
  <si>
    <t>6S</t>
  </si>
  <si>
    <t>6T</t>
  </si>
  <si>
    <t>6U</t>
  </si>
  <si>
    <t>6V</t>
  </si>
  <si>
    <t>6W</t>
  </si>
  <si>
    <t>6X</t>
  </si>
  <si>
    <t>6Y</t>
  </si>
  <si>
    <t>6Z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</si>
  <si>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</si>
  <si>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</si>
  <si>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</si>
  <si>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</si>
  <si>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</si>
  <si>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</si>
  <si>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</si>
  <si>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</si>
  <si>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</si>
  <si>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7J</t>
  </si>
  <si>
    <t>7K</t>
  </si>
  <si>
    <t>7L</t>
  </si>
  <si>
    <t>7M</t>
  </si>
  <si>
    <t>7N</t>
  </si>
  <si>
    <t>7O</t>
  </si>
  <si>
    <t>7P</t>
  </si>
  <si>
    <t>7Q</t>
  </si>
  <si>
    <t>7R</t>
  </si>
  <si>
    <t>7S</t>
  </si>
  <si>
    <t>7T</t>
  </si>
  <si>
    <t>7U</t>
  </si>
  <si>
    <t>7V</t>
  </si>
  <si>
    <t>7W</t>
  </si>
  <si>
    <t>7X</t>
  </si>
  <si>
    <t>7Y</t>
  </si>
  <si>
    <t>7Z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</si>
  <si>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</si>
  <si>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</si>
  <si>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</si>
  <si>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</si>
  <si>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</si>
  <si>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</si>
  <si>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</si>
  <si>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</si>
  <si>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</si>
  <si>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8J</t>
  </si>
  <si>
    <t>8K</t>
  </si>
  <si>
    <t>8L</t>
  </si>
  <si>
    <t>8M</t>
  </si>
  <si>
    <t>8N</t>
  </si>
  <si>
    <t>8O</t>
  </si>
  <si>
    <t>8P</t>
  </si>
  <si>
    <t>8Q</t>
  </si>
  <si>
    <t>8R</t>
  </si>
  <si>
    <t>8S</t>
  </si>
  <si>
    <t>8T</t>
  </si>
  <si>
    <t>8U</t>
  </si>
  <si>
    <t>8V</t>
  </si>
  <si>
    <t>8W</t>
  </si>
  <si>
    <t>8X</t>
  </si>
  <si>
    <t>8Y</t>
  </si>
  <si>
    <t>8Z</t>
  </si>
  <si>
    <t>R6A</t>
  </si>
  <si>
    <t>R6</t>
  </si>
  <si>
    <t>R6B</t>
  </si>
  <si>
    <t>R6C</t>
  </si>
  <si>
    <t>R6D</t>
  </si>
  <si>
    <t>R6E</t>
  </si>
  <si>
    <t>R6F</t>
  </si>
  <si>
    <t>R6G</t>
  </si>
  <si>
    <t>R6H</t>
  </si>
  <si>
    <t>R6I</t>
  </si>
  <si>
    <t>R6J</t>
  </si>
  <si>
    <t>R6K</t>
  </si>
  <si>
    <t>R6L</t>
  </si>
  <si>
    <t>R6M</t>
  </si>
  <si>
    <t>R6N</t>
  </si>
  <si>
    <t>R6O</t>
  </si>
  <si>
    <t>R6P</t>
  </si>
  <si>
    <t>R6Q</t>
  </si>
  <si>
    <t>R6R</t>
  </si>
  <si>
    <t>R6S</t>
  </si>
  <si>
    <t>R6T</t>
  </si>
  <si>
    <t>R6U</t>
  </si>
  <si>
    <t>R6V</t>
  </si>
  <si>
    <t>R6W</t>
  </si>
  <si>
    <t>R6X</t>
  </si>
  <si>
    <t>R6Y</t>
  </si>
  <si>
    <t>R6Z</t>
  </si>
  <si>
    <t>R7A</t>
  </si>
  <si>
    <t>R7</t>
  </si>
  <si>
    <t>R7B</t>
  </si>
  <si>
    <t>R7C</t>
  </si>
  <si>
    <t>R7D</t>
  </si>
  <si>
    <t>R7E</t>
  </si>
  <si>
    <t>R7F</t>
  </si>
  <si>
    <t>R7G</t>
  </si>
  <si>
    <t>R7H</t>
  </si>
  <si>
    <t>R7I</t>
  </si>
  <si>
    <t>R7J</t>
  </si>
  <si>
    <t>R7K</t>
  </si>
  <si>
    <t>R7L</t>
  </si>
  <si>
    <t>R7M</t>
  </si>
  <si>
    <t>R7N</t>
  </si>
  <si>
    <t>R7O</t>
  </si>
  <si>
    <t>R7P</t>
  </si>
  <si>
    <t>R7Q</t>
  </si>
  <si>
    <t>R7R</t>
  </si>
  <si>
    <t>R7S</t>
  </si>
  <si>
    <t>R7T</t>
  </si>
  <si>
    <t>R7U</t>
  </si>
  <si>
    <t>R7V</t>
  </si>
  <si>
    <t>R7W</t>
  </si>
  <si>
    <t>R7X</t>
  </si>
  <si>
    <t>R7Y</t>
  </si>
  <si>
    <t>R7Z</t>
  </si>
  <si>
    <t>R8A</t>
  </si>
  <si>
    <t>R8</t>
  </si>
  <si>
    <t>R8B</t>
  </si>
  <si>
    <t>R8C</t>
  </si>
  <si>
    <t>R8D</t>
  </si>
  <si>
    <t>R8E</t>
  </si>
  <si>
    <t>R8F</t>
  </si>
  <si>
    <t>R8G</t>
  </si>
  <si>
    <t>R8H</t>
  </si>
  <si>
    <t>R8I</t>
  </si>
  <si>
    <t>R8J</t>
  </si>
  <si>
    <t>R8K</t>
  </si>
  <si>
    <t>R8L</t>
  </si>
  <si>
    <t>R8M</t>
  </si>
  <si>
    <t>R8N</t>
  </si>
  <si>
    <t>R8O</t>
  </si>
  <si>
    <t>R8P</t>
  </si>
  <si>
    <t>R8Q</t>
  </si>
  <si>
    <t>R8R</t>
  </si>
  <si>
    <t>R8S</t>
  </si>
  <si>
    <t>R8T</t>
  </si>
  <si>
    <t>R8U</t>
  </si>
  <si>
    <t>R8V</t>
  </si>
  <si>
    <t>R8W</t>
  </si>
  <si>
    <t>R8X</t>
  </si>
  <si>
    <t>R8Y</t>
  </si>
  <si>
    <t>R8Z</t>
  </si>
  <si>
    <t>Diagonal board</t>
  </si>
  <si>
    <t>Enigma01</t>
  </si>
  <si>
    <t>Enigma02</t>
  </si>
  <si>
    <t>Enigma03</t>
  </si>
  <si>
    <t>Enigma04</t>
  </si>
  <si>
    <t>Enigma05</t>
  </si>
  <si>
    <t>Enigma06</t>
  </si>
  <si>
    <t>Enigma07</t>
  </si>
  <si>
    <t>Enigma08</t>
  </si>
  <si>
    <t>Enigma09</t>
  </si>
  <si>
    <t>Letter</t>
  </si>
  <si>
    <t>Input letter:</t>
  </si>
  <si>
    <t>Output letter:</t>
  </si>
  <si>
    <t>Left</t>
  </si>
  <si>
    <t>Middle</t>
  </si>
  <si>
    <t>Right</t>
  </si>
  <si>
    <t>RingPosition</t>
  </si>
  <si>
    <t>Rotor offset:</t>
  </si>
  <si>
    <t>Input letter</t>
  </si>
  <si>
    <t>Current</t>
  </si>
  <si>
    <t>Wire</t>
  </si>
  <si>
    <t>In</t>
  </si>
  <si>
    <t>Out</t>
  </si>
  <si>
    <t>From</t>
  </si>
  <si>
    <t>Current Counter Positions</t>
  </si>
  <si>
    <t>Wires</t>
  </si>
  <si>
    <t>Enigma/DB</t>
  </si>
  <si>
    <t>In/Out</t>
  </si>
  <si>
    <t>WireLetter Pairs</t>
  </si>
  <si>
    <t>WireLetter Pairs Format Area</t>
  </si>
  <si>
    <t>To</t>
  </si>
  <si>
    <t>Display live wires</t>
  </si>
  <si>
    <t>YES</t>
  </si>
  <si>
    <t>NO</t>
  </si>
  <si>
    <t>Positions</t>
  </si>
  <si>
    <t>Range Counter</t>
  </si>
  <si>
    <t>Wires sheet zoom %</t>
  </si>
  <si>
    <t>LettersUpper</t>
  </si>
  <si>
    <t>LettersLower</t>
  </si>
  <si>
    <t>Rotors</t>
  </si>
  <si>
    <t>Reflectors</t>
  </si>
  <si>
    <t>YesNo</t>
  </si>
  <si>
    <t>Created by Alberto Bernasconi</t>
  </si>
  <si>
    <t>Version 1.0   November 2017</t>
  </si>
  <si>
    <t>Turing Welchman Bombe Simulator (Enigma M3)</t>
  </si>
  <si>
    <t>aberna.gmATgmail.com</t>
  </si>
  <si>
    <t>Version 1.1   June 2019</t>
  </si>
  <si>
    <t>Version 1.2   September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</si>
</sst>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0" borderId="0" xfId="0" applyAlignment="1">
      <alignment horizontal="center"/>
    </xf>
    <xf numFmtId="0" fontId="0" fillId="10" borderId="0" xfId="0" applyFill="1"/>
    <xf numFmtId="0" fontId="0" fillId="12" borderId="0" xfId="0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12" borderId="2" xfId="0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0" borderId="0" xfId="0" applyFont="1"/>
    <xf numFmtId="0" fontId="0" fillId="0" borderId="5" xfId="0" applyBorder="1"/>
    <xf numFmtId="0" fontId="0" fillId="3" borderId="0" xfId="0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9" borderId="7" xfId="0" applyFill="1" applyBorder="1" applyAlignment="1">
      <alignment horizontal="center"/>
    </xf>
    <xf numFmtId="0" fontId="0" fillId="8" borderId="8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13" borderId="7" xfId="0" applyFill="1" applyBorder="1" applyAlignment="1">
      <alignment horizontal="center"/>
    </xf>
    <xf numFmtId="0" fontId="0" fillId="6" borderId="8" xfId="0" applyFill="1" applyBorder="1" applyAlignment="1">
      <alignment horizontal="left"/>
    </xf>
    <xf numFmtId="0" fontId="0" fillId="3" borderId="4" xfId="0" applyFill="1" applyBorder="1"/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0" borderId="12" xfId="0" applyBorder="1"/>
    <xf numFmtId="0" fontId="0" fillId="0" borderId="12" xfId="0" applyBorder="1" applyAlignment="1">
      <alignment horizontal="right"/>
    </xf>
    <xf numFmtId="0" fontId="0" fillId="4" borderId="12" xfId="0" applyFill="1" applyBorder="1"/>
    <xf numFmtId="0" fontId="0" fillId="13" borderId="16" xfId="0" applyFill="1" applyBorder="1"/>
    <xf numFmtId="0" fontId="0" fillId="13" borderId="12" xfId="0" applyFill="1" applyBorder="1"/>
    <xf numFmtId="0" fontId="0" fillId="13" borderId="17" xfId="0" applyFill="1" applyBorder="1"/>
    <xf numFmtId="0" fontId="0" fillId="17" borderId="16" xfId="0" applyFill="1" applyBorder="1"/>
    <xf numFmtId="0" fontId="0" fillId="17" borderId="12" xfId="0" applyFill="1" applyBorder="1"/>
    <xf numFmtId="0" fontId="0" fillId="17" borderId="17" xfId="0" applyFill="1" applyBorder="1"/>
    <xf numFmtId="0" fontId="1" fillId="5" borderId="12" xfId="0" applyFont="1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9" borderId="1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21" borderId="0" xfId="0" applyFill="1" applyAlignment="1">
      <alignment horizontal="center"/>
    </xf>
    <xf numFmtId="0" fontId="0" fillId="3" borderId="12" xfId="0" applyFill="1" applyBorder="1"/>
    <xf numFmtId="0" fontId="1" fillId="20" borderId="12" xfId="0" applyFont="1" applyFill="1" applyBorder="1" applyAlignment="1">
      <alignment horizontal="center" vertical="center"/>
    </xf>
    <xf numFmtId="0" fontId="0" fillId="15" borderId="17" xfId="0" applyFill="1" applyBorder="1" applyAlignment="1">
      <alignment horizontal="center" vertical="center"/>
    </xf>
    <xf numFmtId="0" fontId="1" fillId="5" borderId="12" xfId="0" applyFont="1" applyFill="1" applyBorder="1" applyAlignment="1">
      <alignment horizontal="left" vertical="center"/>
    </xf>
    <xf numFmtId="0" fontId="0" fillId="3" borderId="12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16" borderId="18" xfId="0" applyFill="1" applyBorder="1" applyAlignment="1">
      <alignment horizontal="center"/>
    </xf>
    <xf numFmtId="0" fontId="0" fillId="16" borderId="19" xfId="0" applyFill="1" applyBorder="1" applyAlignment="1">
      <alignment horizontal="center"/>
    </xf>
    <xf numFmtId="0" fontId="0" fillId="14" borderId="20" xfId="0" applyFill="1" applyBorder="1" applyAlignment="1">
      <alignment horizontal="center"/>
    </xf>
    <xf numFmtId="0" fontId="0" fillId="16" borderId="21" xfId="0" applyFill="1" applyBorder="1" applyAlignment="1">
      <alignment horizontal="center"/>
    </xf>
    <xf numFmtId="0" fontId="0" fillId="16" borderId="22" xfId="0" applyFill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19" xfId="0" applyFill="1" applyBorder="1" applyAlignment="1">
      <alignment horizontal="center"/>
    </xf>
    <xf numFmtId="0" fontId="0" fillId="14" borderId="22" xfId="0" applyFill="1" applyBorder="1" applyAlignment="1">
      <alignment horizontal="center"/>
    </xf>
    <xf numFmtId="0" fontId="0" fillId="14" borderId="18" xfId="0" applyFill="1" applyBorder="1" applyAlignment="1">
      <alignment horizontal="center"/>
    </xf>
    <xf numFmtId="0" fontId="0" fillId="14" borderId="21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0" borderId="16" xfId="0" applyBorder="1"/>
    <xf numFmtId="0" fontId="0" fillId="17" borderId="17" xfId="0" applyFill="1" applyBorder="1" applyAlignment="1">
      <alignment horizontal="center"/>
    </xf>
    <xf numFmtId="0" fontId="0" fillId="2" borderId="12" xfId="0" applyFill="1" applyBorder="1" applyAlignment="1">
      <alignment horizontal="center" vertical="center"/>
    </xf>
    <xf numFmtId="0" fontId="0" fillId="14" borderId="12" xfId="0" applyFill="1" applyBorder="1" applyAlignment="1">
      <alignment horizontal="center"/>
    </xf>
    <xf numFmtId="0" fontId="0" fillId="14" borderId="12" xfId="0" applyFill="1" applyBorder="1"/>
    <xf numFmtId="0" fontId="0" fillId="14" borderId="12" xfId="0" applyFill="1" applyBorder="1" applyAlignment="1">
      <alignment horizontal="right"/>
    </xf>
    <xf numFmtId="0" fontId="0" fillId="7" borderId="12" xfId="0" applyFill="1" applyBorder="1" applyAlignment="1">
      <alignment horizontal="left"/>
    </xf>
    <xf numFmtId="0" fontId="0" fillId="5" borderId="12" xfId="0" applyFill="1" applyBorder="1" applyAlignment="1">
      <alignment horizontal="left" vertical="center"/>
    </xf>
    <xf numFmtId="0" fontId="1" fillId="0" borderId="12" xfId="0" applyFont="1" applyBorder="1"/>
    <xf numFmtId="0" fontId="0" fillId="3" borderId="12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0" fontId="0" fillId="5" borderId="12" xfId="0" applyFill="1" applyBorder="1"/>
    <xf numFmtId="0" fontId="0" fillId="20" borderId="12" xfId="0" applyFill="1" applyBorder="1" applyAlignment="1">
      <alignment horizontal="center"/>
    </xf>
    <xf numFmtId="0" fontId="0" fillId="18" borderId="12" xfId="0" applyFill="1" applyBorder="1"/>
    <xf numFmtId="0" fontId="0" fillId="2" borderId="12" xfId="0" applyFill="1" applyBorder="1" applyProtection="1">
      <protection locked="0"/>
    </xf>
    <xf numFmtId="0" fontId="0" fillId="2" borderId="12" xfId="0" applyFill="1" applyBorder="1" applyAlignment="1" applyProtection="1">
      <alignment horizontal="center"/>
      <protection locked="0"/>
    </xf>
    <xf numFmtId="0" fontId="0" fillId="2" borderId="17" xfId="0" applyFill="1" applyBorder="1" applyAlignment="1" applyProtection="1">
      <alignment horizontal="center"/>
      <protection locked="0"/>
    </xf>
    <xf numFmtId="0" fontId="3" fillId="0" borderId="0" xfId="0" applyFont="1"/>
    <xf numFmtId="0" fontId="4" fillId="0" borderId="0" xfId="0" applyFont="1"/>
    <xf numFmtId="0" fontId="0" fillId="16" borderId="23" xfId="0" applyFill="1" applyBorder="1" applyAlignment="1">
      <alignment horizontal="center"/>
    </xf>
    <xf numFmtId="0" fontId="0" fillId="16" borderId="20" xfId="0" applyFill="1" applyBorder="1" applyAlignment="1">
      <alignment horizontal="center"/>
    </xf>
    <xf numFmtId="0" fontId="0" fillId="21" borderId="13" xfId="0" applyFill="1" applyBorder="1" applyAlignment="1">
      <alignment horizontal="center"/>
    </xf>
    <xf numFmtId="0" fontId="0" fillId="21" borderId="14" xfId="0" applyFill="1" applyBorder="1" applyAlignment="1">
      <alignment horizontal="center"/>
    </xf>
    <xf numFmtId="0" fontId="0" fillId="21" borderId="15" xfId="0" applyFill="1" applyBorder="1" applyAlignment="1">
      <alignment horizont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3" fontId="0" fillId="18" borderId="13" xfId="0" applyNumberFormat="1" applyFill="1" applyBorder="1" applyAlignment="1" applyProtection="1">
      <alignment horizontal="center"/>
      <protection locked="0"/>
    </xf>
    <xf numFmtId="0" fontId="0" fillId="18" borderId="15" xfId="0" applyFill="1" applyBorder="1" applyAlignment="1" applyProtection="1">
      <alignment horizontal="center"/>
      <protection locked="0"/>
    </xf>
    <xf numFmtId="0" fontId="1" fillId="5" borderId="13" xfId="0" applyFont="1" applyFill="1" applyBorder="1" applyAlignment="1">
      <alignment horizontal="center"/>
    </xf>
    <xf numFmtId="0" fontId="1" fillId="5" borderId="14" xfId="0" applyFont="1" applyFill="1" applyBorder="1" applyAlignment="1">
      <alignment horizontal="center"/>
    </xf>
    <xf numFmtId="0" fontId="1" fillId="5" borderId="15" xfId="0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pin" dx="22" fmlaLink="$A$38" max="30000" page="10" val="3707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69850</xdr:rowOff>
        </xdr:from>
        <xdr:to>
          <xdr:col>7</xdr:col>
          <xdr:colOff>69850</xdr:colOff>
          <xdr:row>1</xdr:row>
          <xdr:rowOff>127000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D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0</xdr:row>
          <xdr:rowOff>69850</xdr:rowOff>
        </xdr:from>
        <xdr:to>
          <xdr:col>11</xdr:col>
          <xdr:colOff>57150</xdr:colOff>
          <xdr:row>1</xdr:row>
          <xdr:rowOff>127000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D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Zoom 60%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0</xdr:row>
          <xdr:rowOff>69850</xdr:rowOff>
        </xdr:from>
        <xdr:to>
          <xdr:col>15</xdr:col>
          <xdr:colOff>57150</xdr:colOff>
          <xdr:row>1</xdr:row>
          <xdr:rowOff>127000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D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Zoom 100%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241300</xdr:colOff>
          <xdr:row>0</xdr:row>
          <xdr:rowOff>69850</xdr:rowOff>
        </xdr:from>
        <xdr:to>
          <xdr:col>20</xdr:col>
          <xdr:colOff>76200</xdr:colOff>
          <xdr:row>1</xdr:row>
          <xdr:rowOff>127000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D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Goto Settings 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36</xdr:row>
          <xdr:rowOff>12700</xdr:rowOff>
        </xdr:from>
        <xdr:to>
          <xdr:col>2</xdr:col>
          <xdr:colOff>203200</xdr:colOff>
          <xdr:row>38</xdr:row>
          <xdr:rowOff>0</xdr:rowOff>
        </xdr:to>
        <xdr:sp macro="" textlink="">
          <xdr:nvSpPr>
            <xdr:cNvPr id="12289" name="Casella di selezione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E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603250</xdr:colOff>
          <xdr:row>24</xdr:row>
          <xdr:rowOff>12700</xdr:rowOff>
        </xdr:from>
        <xdr:to>
          <xdr:col>5</xdr:col>
          <xdr:colOff>31750</xdr:colOff>
          <xdr:row>25</xdr:row>
          <xdr:rowOff>69850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E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603250</xdr:colOff>
          <xdr:row>25</xdr:row>
          <xdr:rowOff>127000</xdr:rowOff>
        </xdr:from>
        <xdr:to>
          <xdr:col>5</xdr:col>
          <xdr:colOff>31750</xdr:colOff>
          <xdr:row>26</xdr:row>
          <xdr:rowOff>184150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E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Goto Wires 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B3:B11"/>
  <sheetViews>
    <sheetView showGridLines="0" showRowColHeaders="0" workbookViewId="0"/>
  </sheetViews>
  <sheetFormatPr defaultRowHeight="14.5" x14ac:dyDescent="0.35"/>
  <sheetData>
    <row r="3" spans="2:2" ht="18.5" x14ac:dyDescent="0.45">
      <c r="B3" s="91" t="s">
        <v>630</v>
      </c>
    </row>
    <row r="5" spans="2:2" ht="15.5" x14ac:dyDescent="0.35">
      <c r="B5" s="92" t="s">
        <v>628</v>
      </c>
    </row>
    <row r="7" spans="2:2" ht="15.5" x14ac:dyDescent="0.35">
      <c r="B7" s="92" t="s">
        <v>629</v>
      </c>
    </row>
    <row r="8" spans="2:2" ht="15.5" x14ac:dyDescent="0.35">
      <c r="B8" s="92" t="s">
        <v>632</v>
      </c>
    </row>
    <row r="9" spans="2:2" ht="15.5" x14ac:dyDescent="0.35">
      <c r="B9" s="92" t="s">
        <v>633</v>
      </c>
    </row>
    <row r="11" spans="2:2" x14ac:dyDescent="0.35">
      <c r="B11" t="s">
        <v>631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BG44"/>
  <sheetViews>
    <sheetView showGridLines="0" showRowColHeaders="0" zoomScale="80" zoomScaleNormal="80" workbookViewId="0"/>
  </sheetViews>
  <sheetFormatPr defaultRowHeight="14.5" x14ac:dyDescent="0.35"/>
  <cols>
    <col min="2" max="2" width="20.54296875" bestFit="1" customWidth="1"/>
    <col min="3" max="3" width="4.54296875" customWidth="1"/>
    <col min="4" max="4" width="8.1796875" bestFit="1" customWidth="1"/>
    <col min="5" max="5" width="15.54296875" bestFit="1" customWidth="1"/>
    <col min="6" max="6" width="3.453125" customWidth="1"/>
    <col min="7" max="7" width="4" customWidth="1"/>
    <col min="8" max="8" width="3.26953125" customWidth="1"/>
    <col min="9" max="9" width="4.1796875" customWidth="1"/>
    <col min="10" max="10" width="3.453125" customWidth="1"/>
    <col min="11" max="31" width="3.26953125" customWidth="1"/>
    <col min="32" max="32" width="32.26953125" bestFit="1" customWidth="1"/>
    <col min="34" max="59" width="3.453125" customWidth="1"/>
  </cols>
  <sheetData>
    <row r="1" spans="1:59" x14ac:dyDescent="0.35">
      <c r="B1" s="29" t="s">
        <v>378</v>
      </c>
      <c r="C1" s="75">
        <v>64</v>
      </c>
      <c r="D1" s="76" t="str">
        <f>nRotorL&amp;nRotorM&amp;nRotorR</f>
        <v>142</v>
      </c>
      <c r="E1" s="76" t="str">
        <f>F18&amp;F12&amp;F6</f>
        <v>ELP</v>
      </c>
      <c r="J1" s="44" t="s">
        <v>4</v>
      </c>
      <c r="K1" s="44" t="s">
        <v>13</v>
      </c>
      <c r="L1" s="44" t="s">
        <v>8</v>
      </c>
      <c r="M1" s="44" t="s">
        <v>6</v>
      </c>
      <c r="N1" s="44" t="s">
        <v>12</v>
      </c>
      <c r="O1" s="44" t="s">
        <v>0</v>
      </c>
      <c r="P1" s="44" t="s">
        <v>18</v>
      </c>
      <c r="Q1" s="44" t="s">
        <v>2</v>
      </c>
      <c r="R1" s="44" t="s">
        <v>17</v>
      </c>
      <c r="S1" s="44" t="s">
        <v>0</v>
      </c>
      <c r="T1" s="44" t="s">
        <v>12</v>
      </c>
      <c r="U1" s="44" t="s">
        <v>1</v>
      </c>
      <c r="V1" s="44" t="s">
        <v>11</v>
      </c>
      <c r="W1" s="44" t="s">
        <v>4</v>
      </c>
      <c r="X1" s="44" t="s">
        <v>17</v>
      </c>
      <c r="Y1" s="44">
        <v>0</v>
      </c>
      <c r="Z1" s="44">
        <v>1</v>
      </c>
    </row>
    <row r="2" spans="1:59" x14ac:dyDescent="0.35">
      <c r="D2" s="77">
        <f>nCounter</f>
        <v>3707</v>
      </c>
    </row>
    <row r="3" spans="1:59" ht="15" thickBot="1" x14ac:dyDescent="0.4">
      <c r="D3" s="78">
        <f>n_RO01</f>
        <v>1</v>
      </c>
      <c r="F3" s="1"/>
      <c r="AF3" s="79" t="s">
        <v>423</v>
      </c>
    </row>
    <row r="4" spans="1:59" x14ac:dyDescent="0.35">
      <c r="B4" s="21"/>
      <c r="C4" s="4"/>
      <c r="E4" s="5" t="s">
        <v>385</v>
      </c>
      <c r="F4" s="6" t="s">
        <v>0</v>
      </c>
      <c r="G4" s="6" t="s">
        <v>1</v>
      </c>
      <c r="H4" s="6" t="s">
        <v>2</v>
      </c>
      <c r="I4" s="6" t="s">
        <v>3</v>
      </c>
      <c r="J4" s="6" t="s">
        <v>4</v>
      </c>
      <c r="K4" s="6" t="s">
        <v>5</v>
      </c>
      <c r="L4" s="6" t="s">
        <v>6</v>
      </c>
      <c r="M4" s="6" t="s">
        <v>7</v>
      </c>
      <c r="N4" s="6" t="s">
        <v>8</v>
      </c>
      <c r="O4" s="6" t="s">
        <v>9</v>
      </c>
      <c r="P4" s="6" t="s">
        <v>10</v>
      </c>
      <c r="Q4" s="6" t="s">
        <v>11</v>
      </c>
      <c r="R4" s="6" t="s">
        <v>12</v>
      </c>
      <c r="S4" s="6" t="s">
        <v>13</v>
      </c>
      <c r="T4" s="6" t="s">
        <v>14</v>
      </c>
      <c r="U4" s="6" t="s">
        <v>15</v>
      </c>
      <c r="V4" s="6" t="s">
        <v>16</v>
      </c>
      <c r="W4" s="6" t="s">
        <v>17</v>
      </c>
      <c r="X4" s="6" t="s">
        <v>18</v>
      </c>
      <c r="Y4" s="6" t="s">
        <v>19</v>
      </c>
      <c r="Z4" s="6" t="s">
        <v>20</v>
      </c>
      <c r="AA4" s="6" t="s">
        <v>21</v>
      </c>
      <c r="AB4" s="6" t="s">
        <v>22</v>
      </c>
      <c r="AC4" s="6" t="s">
        <v>23</v>
      </c>
      <c r="AD4" s="6" t="s">
        <v>24</v>
      </c>
      <c r="AE4" s="6" t="s">
        <v>25</v>
      </c>
      <c r="AF4" s="10"/>
    </row>
    <row r="5" spans="1:59" x14ac:dyDescent="0.35">
      <c r="B5" s="22"/>
      <c r="C5" s="8"/>
      <c r="D5" s="9" t="s">
        <v>28</v>
      </c>
      <c r="E5" s="9" t="s">
        <v>27</v>
      </c>
      <c r="F5" s="1">
        <f t="shared" ref="F5:AE5" si="0">IF(ISERROR(FIND(F4,$AF3)),0,1)</f>
        <v>1</v>
      </c>
      <c r="G5" s="1">
        <f t="shared" si="0"/>
        <v>1</v>
      </c>
      <c r="H5" s="1">
        <f t="shared" si="0"/>
        <v>1</v>
      </c>
      <c r="I5" s="1">
        <f t="shared" si="0"/>
        <v>1</v>
      </c>
      <c r="J5" s="1">
        <f t="shared" si="0"/>
        <v>1</v>
      </c>
      <c r="K5" s="1">
        <f t="shared" si="0"/>
        <v>1</v>
      </c>
      <c r="L5" s="1">
        <f t="shared" si="0"/>
        <v>1</v>
      </c>
      <c r="M5" s="1">
        <f t="shared" si="0"/>
        <v>1</v>
      </c>
      <c r="N5" s="1">
        <f t="shared" si="0"/>
        <v>1</v>
      </c>
      <c r="O5" s="1">
        <f t="shared" si="0"/>
        <v>1</v>
      </c>
      <c r="P5" s="1">
        <f t="shared" si="0"/>
        <v>1</v>
      </c>
      <c r="Q5" s="1">
        <f t="shared" si="0"/>
        <v>1</v>
      </c>
      <c r="R5" s="1">
        <f t="shared" si="0"/>
        <v>1</v>
      </c>
      <c r="S5" s="1">
        <f t="shared" si="0"/>
        <v>1</v>
      </c>
      <c r="T5" s="1">
        <f t="shared" si="0"/>
        <v>1</v>
      </c>
      <c r="U5" s="1">
        <f t="shared" si="0"/>
        <v>1</v>
      </c>
      <c r="V5" s="1">
        <f t="shared" si="0"/>
        <v>1</v>
      </c>
      <c r="W5" s="1">
        <f t="shared" si="0"/>
        <v>1</v>
      </c>
      <c r="X5" s="1">
        <f t="shared" si="0"/>
        <v>1</v>
      </c>
      <c r="Y5" s="1">
        <f t="shared" si="0"/>
        <v>1</v>
      </c>
      <c r="Z5" s="1">
        <f t="shared" si="0"/>
        <v>1</v>
      </c>
      <c r="AA5" s="1">
        <f t="shared" si="0"/>
        <v>1</v>
      </c>
      <c r="AB5" s="1">
        <f t="shared" si="0"/>
        <v>1</v>
      </c>
      <c r="AC5" s="1">
        <f t="shared" si="0"/>
        <v>1</v>
      </c>
      <c r="AD5" s="1">
        <f t="shared" si="0"/>
        <v>1</v>
      </c>
      <c r="AE5" s="1">
        <f t="shared" si="0"/>
        <v>1</v>
      </c>
      <c r="AF5" s="10"/>
    </row>
    <row r="6" spans="1:59" x14ac:dyDescent="0.35">
      <c r="B6" s="22" t="s">
        <v>379</v>
      </c>
      <c r="C6" s="41">
        <f>n_RotorR</f>
        <v>2</v>
      </c>
      <c r="D6" s="11">
        <f>D3+D2</f>
        <v>3708</v>
      </c>
      <c r="E6" s="11">
        <f>IF(MOD(D6,26)=0,26,MOD(D6,26))</f>
        <v>16</v>
      </c>
      <c r="F6" s="12" t="str">
        <f>CHAR(E6+nCharOffset)</f>
        <v>P</v>
      </c>
      <c r="G6" s="13" t="str">
        <f t="shared" ref="G6:AE6" si="1">VLOOKUP(F6,nNextLetter,2,FALSE)</f>
        <v>Q</v>
      </c>
      <c r="H6" s="13" t="str">
        <f t="shared" si="1"/>
        <v>R</v>
      </c>
      <c r="I6" s="13" t="str">
        <f t="shared" si="1"/>
        <v>S</v>
      </c>
      <c r="J6" s="13" t="str">
        <f t="shared" si="1"/>
        <v>T</v>
      </c>
      <c r="K6" s="13" t="str">
        <f t="shared" si="1"/>
        <v>U</v>
      </c>
      <c r="L6" s="13" t="str">
        <f t="shared" si="1"/>
        <v>V</v>
      </c>
      <c r="M6" s="13" t="str">
        <f t="shared" si="1"/>
        <v>W</v>
      </c>
      <c r="N6" s="13" t="str">
        <f t="shared" si="1"/>
        <v>X</v>
      </c>
      <c r="O6" s="13" t="str">
        <f t="shared" si="1"/>
        <v>Y</v>
      </c>
      <c r="P6" s="13" t="str">
        <f t="shared" si="1"/>
        <v>Z</v>
      </c>
      <c r="Q6" s="13" t="str">
        <f t="shared" si="1"/>
        <v>A</v>
      </c>
      <c r="R6" s="13" t="str">
        <f t="shared" si="1"/>
        <v>B</v>
      </c>
      <c r="S6" s="13" t="str">
        <f t="shared" si="1"/>
        <v>C</v>
      </c>
      <c r="T6" s="13" t="str">
        <f t="shared" si="1"/>
        <v>D</v>
      </c>
      <c r="U6" s="13" t="str">
        <f t="shared" si="1"/>
        <v>E</v>
      </c>
      <c r="V6" s="13" t="str">
        <f t="shared" si="1"/>
        <v>F</v>
      </c>
      <c r="W6" s="13" t="str">
        <f t="shared" si="1"/>
        <v>G</v>
      </c>
      <c r="X6" s="13" t="str">
        <f t="shared" si="1"/>
        <v>H</v>
      </c>
      <c r="Y6" s="13" t="str">
        <f t="shared" si="1"/>
        <v>I</v>
      </c>
      <c r="Z6" s="13" t="str">
        <f t="shared" si="1"/>
        <v>J</v>
      </c>
      <c r="AA6" s="13" t="str">
        <f t="shared" si="1"/>
        <v>K</v>
      </c>
      <c r="AB6" s="13" t="str">
        <f t="shared" si="1"/>
        <v>L</v>
      </c>
      <c r="AC6" s="13" t="str">
        <f t="shared" si="1"/>
        <v>M</v>
      </c>
      <c r="AD6" s="13" t="str">
        <f t="shared" si="1"/>
        <v>N</v>
      </c>
      <c r="AE6" s="13" t="str">
        <f t="shared" si="1"/>
        <v>O</v>
      </c>
      <c r="AF6" s="10"/>
      <c r="AH6" s="95" t="s">
        <v>607</v>
      </c>
      <c r="AI6" s="96"/>
      <c r="AJ6" s="96"/>
      <c r="AK6" s="96"/>
      <c r="AL6" s="96"/>
      <c r="AM6" s="96"/>
      <c r="AN6" s="96"/>
      <c r="AO6" s="96"/>
      <c r="AP6" s="96"/>
      <c r="AQ6" s="96"/>
      <c r="AR6" s="96"/>
      <c r="AS6" s="96"/>
      <c r="AT6" s="96"/>
      <c r="AU6" s="96"/>
      <c r="AV6" s="96"/>
      <c r="AW6" s="96"/>
      <c r="AX6" s="96"/>
      <c r="AY6" s="96"/>
      <c r="AZ6" s="96"/>
      <c r="BA6" s="96"/>
      <c r="BB6" s="96"/>
      <c r="BC6" s="96"/>
      <c r="BD6" s="96"/>
      <c r="BE6" s="96"/>
      <c r="BF6" s="96"/>
      <c r="BG6" s="97"/>
    </row>
    <row r="7" spans="1:59" x14ac:dyDescent="0.35">
      <c r="B7" s="22" t="s">
        <v>389</v>
      </c>
      <c r="C7" s="41" t="str">
        <f>n_RingPosR</f>
        <v>A</v>
      </c>
      <c r="D7" s="11">
        <f>VLOOKUP(C7,nRingOffset,2,FALSE)</f>
        <v>0</v>
      </c>
      <c r="E7" t="s">
        <v>386</v>
      </c>
      <c r="F7" s="14" t="str">
        <f t="shared" ref="F7:AE7" si="2">IF(F5=1,VLOOKUP(nCurPosR+nRingOffsetR+(CODE(F4)-nCharOffset)-1,nNum2Let,2,FALSE),"")</f>
        <v>P</v>
      </c>
      <c r="G7" s="14" t="str">
        <f t="shared" si="2"/>
        <v>Q</v>
      </c>
      <c r="H7" s="14" t="str">
        <f t="shared" si="2"/>
        <v>R</v>
      </c>
      <c r="I7" s="14" t="str">
        <f t="shared" si="2"/>
        <v>S</v>
      </c>
      <c r="J7" s="14" t="str">
        <f t="shared" si="2"/>
        <v>T</v>
      </c>
      <c r="K7" s="14" t="str">
        <f t="shared" si="2"/>
        <v>U</v>
      </c>
      <c r="L7" s="14" t="str">
        <f t="shared" si="2"/>
        <v>V</v>
      </c>
      <c r="M7" s="14" t="str">
        <f t="shared" si="2"/>
        <v>W</v>
      </c>
      <c r="N7" s="14" t="str">
        <f t="shared" si="2"/>
        <v>X</v>
      </c>
      <c r="O7" s="14" t="str">
        <f t="shared" si="2"/>
        <v>Y</v>
      </c>
      <c r="P7" s="14" t="str">
        <f t="shared" si="2"/>
        <v>Z</v>
      </c>
      <c r="Q7" s="14" t="str">
        <f t="shared" si="2"/>
        <v>A</v>
      </c>
      <c r="R7" s="14" t="str">
        <f t="shared" si="2"/>
        <v>B</v>
      </c>
      <c r="S7" s="14" t="str">
        <f t="shared" si="2"/>
        <v>C</v>
      </c>
      <c r="T7" s="14" t="str">
        <f t="shared" si="2"/>
        <v>D</v>
      </c>
      <c r="U7" s="14" t="str">
        <f t="shared" si="2"/>
        <v>E</v>
      </c>
      <c r="V7" s="14" t="str">
        <f t="shared" si="2"/>
        <v>F</v>
      </c>
      <c r="W7" s="14" t="str">
        <f t="shared" si="2"/>
        <v>G</v>
      </c>
      <c r="X7" s="14" t="str">
        <f t="shared" si="2"/>
        <v>H</v>
      </c>
      <c r="Y7" s="14" t="str">
        <f t="shared" si="2"/>
        <v>I</v>
      </c>
      <c r="Z7" s="14" t="str">
        <f t="shared" si="2"/>
        <v>J</v>
      </c>
      <c r="AA7" s="14" t="str">
        <f t="shared" si="2"/>
        <v>K</v>
      </c>
      <c r="AB7" s="14" t="str">
        <f t="shared" si="2"/>
        <v>L</v>
      </c>
      <c r="AC7" s="14" t="str">
        <f t="shared" si="2"/>
        <v>M</v>
      </c>
      <c r="AD7" s="14" t="str">
        <f t="shared" si="2"/>
        <v>N</v>
      </c>
      <c r="AE7" s="14" t="str">
        <f t="shared" si="2"/>
        <v>O</v>
      </c>
      <c r="AF7" s="10"/>
      <c r="AH7" s="42" t="str">
        <f t="shared" ref="AH7:BG7" si="3">IF(LEN(AH9)=2,LEFT(AH9,1),"")</f>
        <v>A</v>
      </c>
      <c r="AI7" s="42" t="str">
        <f t="shared" si="3"/>
        <v>B</v>
      </c>
      <c r="AJ7" s="42" t="str">
        <f t="shared" si="3"/>
        <v>C</v>
      </c>
      <c r="AK7" s="42" t="str">
        <f t="shared" si="3"/>
        <v>D</v>
      </c>
      <c r="AL7" s="42" t="str">
        <f t="shared" si="3"/>
        <v>E</v>
      </c>
      <c r="AM7" s="42" t="str">
        <f t="shared" si="3"/>
        <v>F</v>
      </c>
      <c r="AN7" s="42" t="str">
        <f t="shared" si="3"/>
        <v>G</v>
      </c>
      <c r="AO7" s="42" t="str">
        <f t="shared" si="3"/>
        <v>H</v>
      </c>
      <c r="AP7" s="42" t="str">
        <f t="shared" si="3"/>
        <v>I</v>
      </c>
      <c r="AQ7" s="42" t="str">
        <f t="shared" si="3"/>
        <v>J</v>
      </c>
      <c r="AR7" s="42" t="str">
        <f t="shared" si="3"/>
        <v>K</v>
      </c>
      <c r="AS7" s="42" t="str">
        <f t="shared" si="3"/>
        <v>L</v>
      </c>
      <c r="AT7" s="42" t="str">
        <f t="shared" si="3"/>
        <v>M</v>
      </c>
      <c r="AU7" s="42" t="str">
        <f t="shared" si="3"/>
        <v>N</v>
      </c>
      <c r="AV7" s="42" t="str">
        <f t="shared" si="3"/>
        <v>O</v>
      </c>
      <c r="AW7" s="42" t="str">
        <f t="shared" si="3"/>
        <v>P</v>
      </c>
      <c r="AX7" s="42" t="str">
        <f t="shared" si="3"/>
        <v>Q</v>
      </c>
      <c r="AY7" s="42" t="str">
        <f t="shared" si="3"/>
        <v>R</v>
      </c>
      <c r="AZ7" s="42" t="str">
        <f t="shared" si="3"/>
        <v>S</v>
      </c>
      <c r="BA7" s="42" t="str">
        <f t="shared" si="3"/>
        <v>T</v>
      </c>
      <c r="BB7" s="42" t="str">
        <f t="shared" si="3"/>
        <v>U</v>
      </c>
      <c r="BC7" s="42" t="str">
        <f t="shared" si="3"/>
        <v>V</v>
      </c>
      <c r="BD7" s="42" t="str">
        <f t="shared" si="3"/>
        <v>W</v>
      </c>
      <c r="BE7" s="42" t="str">
        <f t="shared" si="3"/>
        <v>X</v>
      </c>
      <c r="BF7" s="42" t="str">
        <f t="shared" si="3"/>
        <v>Y</v>
      </c>
      <c r="BG7" s="42" t="str">
        <f t="shared" si="3"/>
        <v>Z</v>
      </c>
    </row>
    <row r="8" spans="1:59" x14ac:dyDescent="0.35">
      <c r="B8" s="22"/>
      <c r="C8" s="8"/>
      <c r="E8" t="s">
        <v>387</v>
      </c>
      <c r="F8" s="15" t="str">
        <f t="shared" ref="F8:AE8" si="4">IF(F5=1,VLOOKUP(nRotorR&amp;F7,nRotor,4,FALSE),"")</f>
        <v>C</v>
      </c>
      <c r="G8" s="15" t="str">
        <f t="shared" si="4"/>
        <v>Q</v>
      </c>
      <c r="H8" s="15" t="str">
        <f t="shared" si="4"/>
        <v>G</v>
      </c>
      <c r="I8" s="15" t="str">
        <f t="shared" si="4"/>
        <v>Z</v>
      </c>
      <c r="J8" s="15" t="str">
        <f t="shared" si="4"/>
        <v>N</v>
      </c>
      <c r="K8" s="15" t="str">
        <f t="shared" si="4"/>
        <v>P</v>
      </c>
      <c r="L8" s="15" t="str">
        <f t="shared" si="4"/>
        <v>Y</v>
      </c>
      <c r="M8" s="15" t="str">
        <f t="shared" si="4"/>
        <v>F</v>
      </c>
      <c r="N8" s="15" t="str">
        <f t="shared" si="4"/>
        <v>V</v>
      </c>
      <c r="O8" s="15" t="str">
        <f t="shared" si="4"/>
        <v>O</v>
      </c>
      <c r="P8" s="15" t="str">
        <f t="shared" si="4"/>
        <v>E</v>
      </c>
      <c r="Q8" s="15" t="str">
        <f t="shared" si="4"/>
        <v>A</v>
      </c>
      <c r="R8" s="15" t="str">
        <f t="shared" si="4"/>
        <v>J</v>
      </c>
      <c r="S8" s="15" t="str">
        <f t="shared" si="4"/>
        <v>D</v>
      </c>
      <c r="T8" s="15" t="str">
        <f t="shared" si="4"/>
        <v>K</v>
      </c>
      <c r="U8" s="15" t="str">
        <f t="shared" si="4"/>
        <v>S</v>
      </c>
      <c r="V8" s="15" t="str">
        <f t="shared" si="4"/>
        <v>I</v>
      </c>
      <c r="W8" s="15" t="str">
        <f t="shared" si="4"/>
        <v>R</v>
      </c>
      <c r="X8" s="15" t="str">
        <f t="shared" si="4"/>
        <v>U</v>
      </c>
      <c r="Y8" s="15" t="str">
        <f t="shared" si="4"/>
        <v>X</v>
      </c>
      <c r="Z8" s="15" t="str">
        <f t="shared" si="4"/>
        <v>B</v>
      </c>
      <c r="AA8" s="15" t="str">
        <f t="shared" si="4"/>
        <v>L</v>
      </c>
      <c r="AB8" s="15" t="str">
        <f t="shared" si="4"/>
        <v>H</v>
      </c>
      <c r="AC8" s="15" t="str">
        <f t="shared" si="4"/>
        <v>W</v>
      </c>
      <c r="AD8" s="15" t="str">
        <f t="shared" si="4"/>
        <v>T</v>
      </c>
      <c r="AE8" s="15" t="str">
        <f t="shared" si="4"/>
        <v>M</v>
      </c>
      <c r="AF8" s="10"/>
      <c r="AH8" s="28" t="str">
        <f t="shared" ref="AH8:BG8" si="5">IF(LEN(AH9)=2,RIGHT(AH9,1),"")</f>
        <v>N</v>
      </c>
      <c r="AI8" s="28" t="str">
        <f t="shared" si="5"/>
        <v>B</v>
      </c>
      <c r="AJ8" s="28" t="str">
        <f t="shared" si="5"/>
        <v>R</v>
      </c>
      <c r="AK8" s="28" t="str">
        <f t="shared" si="5"/>
        <v>K</v>
      </c>
      <c r="AL8" s="28" t="str">
        <f t="shared" si="5"/>
        <v>Y</v>
      </c>
      <c r="AM8" s="28" t="str">
        <f t="shared" si="5"/>
        <v>A</v>
      </c>
      <c r="AN8" s="28" t="str">
        <f t="shared" si="5"/>
        <v>J</v>
      </c>
      <c r="AO8" s="28" t="str">
        <f t="shared" si="5"/>
        <v>Q</v>
      </c>
      <c r="AP8" s="28" t="str">
        <f t="shared" si="5"/>
        <v>G</v>
      </c>
      <c r="AQ8" s="28" t="str">
        <f t="shared" si="5"/>
        <v>Z</v>
      </c>
      <c r="AR8" s="28" t="str">
        <f t="shared" si="5"/>
        <v>P</v>
      </c>
      <c r="AS8" s="28" t="str">
        <f t="shared" si="5"/>
        <v>L</v>
      </c>
      <c r="AT8" s="28" t="str">
        <f t="shared" si="5"/>
        <v>U</v>
      </c>
      <c r="AU8" s="28" t="str">
        <f t="shared" si="5"/>
        <v>O</v>
      </c>
      <c r="AV8" s="28" t="str">
        <f t="shared" si="5"/>
        <v>V</v>
      </c>
      <c r="AW8" s="28" t="str">
        <f t="shared" si="5"/>
        <v>D</v>
      </c>
      <c r="AX8" s="28" t="str">
        <f t="shared" si="5"/>
        <v>T</v>
      </c>
      <c r="AY8" s="28" t="str">
        <f t="shared" si="5"/>
        <v>C</v>
      </c>
      <c r="AZ8" s="28" t="str">
        <f t="shared" si="5"/>
        <v>F</v>
      </c>
      <c r="BA8" s="28" t="str">
        <f t="shared" si="5"/>
        <v>I</v>
      </c>
      <c r="BB8" s="28" t="str">
        <f t="shared" si="5"/>
        <v>M</v>
      </c>
      <c r="BC8" s="28" t="str">
        <f t="shared" si="5"/>
        <v>W</v>
      </c>
      <c r="BD8" s="28" t="str">
        <f t="shared" si="5"/>
        <v>S</v>
      </c>
      <c r="BE8" s="28" t="str">
        <f t="shared" si="5"/>
        <v>H</v>
      </c>
      <c r="BF8" s="28" t="str">
        <f t="shared" si="5"/>
        <v>E</v>
      </c>
      <c r="BG8" s="28" t="str">
        <f t="shared" si="5"/>
        <v>X</v>
      </c>
    </row>
    <row r="9" spans="1:59" ht="15" thickBot="1" x14ac:dyDescent="0.4">
      <c r="B9" s="23"/>
      <c r="C9" s="16"/>
      <c r="D9" s="17"/>
      <c r="E9" s="17" t="s">
        <v>388</v>
      </c>
      <c r="F9" s="18" t="str">
        <f t="shared" ref="F9:AE9" si="6">IF(F5=1,IF(CODE(F8)-CODE(F7)&lt;0,VLOOKUP((CODE(F8)-CODE(F7)+26)+(CODE(F4)-nCharOffset),nNum2Let,2,FALSE),VLOOKUP((CODE(F8)-CODE(F7))+(CODE(F4)-nCharOffset),nNum2Let,2,FALSE)),"")</f>
        <v>N</v>
      </c>
      <c r="G9" s="18" t="str">
        <f t="shared" si="6"/>
        <v>B</v>
      </c>
      <c r="H9" s="18" t="str">
        <f t="shared" si="6"/>
        <v>R</v>
      </c>
      <c r="I9" s="18" t="str">
        <f t="shared" si="6"/>
        <v>K</v>
      </c>
      <c r="J9" s="18" t="str">
        <f t="shared" si="6"/>
        <v>Y</v>
      </c>
      <c r="K9" s="18" t="str">
        <f t="shared" si="6"/>
        <v>A</v>
      </c>
      <c r="L9" s="18" t="str">
        <f t="shared" si="6"/>
        <v>J</v>
      </c>
      <c r="M9" s="18" t="str">
        <f t="shared" si="6"/>
        <v>Q</v>
      </c>
      <c r="N9" s="18" t="str">
        <f t="shared" si="6"/>
        <v>G</v>
      </c>
      <c r="O9" s="18" t="str">
        <f t="shared" si="6"/>
        <v>Z</v>
      </c>
      <c r="P9" s="18" t="str">
        <f t="shared" si="6"/>
        <v>P</v>
      </c>
      <c r="Q9" s="18" t="str">
        <f t="shared" si="6"/>
        <v>L</v>
      </c>
      <c r="R9" s="18" t="str">
        <f t="shared" si="6"/>
        <v>U</v>
      </c>
      <c r="S9" s="18" t="str">
        <f t="shared" si="6"/>
        <v>O</v>
      </c>
      <c r="T9" s="18" t="str">
        <f t="shared" si="6"/>
        <v>V</v>
      </c>
      <c r="U9" s="18" t="str">
        <f t="shared" si="6"/>
        <v>D</v>
      </c>
      <c r="V9" s="18" t="str">
        <f t="shared" si="6"/>
        <v>T</v>
      </c>
      <c r="W9" s="18" t="str">
        <f t="shared" si="6"/>
        <v>C</v>
      </c>
      <c r="X9" s="18" t="str">
        <f t="shared" si="6"/>
        <v>F</v>
      </c>
      <c r="Y9" s="18" t="str">
        <f t="shared" si="6"/>
        <v>I</v>
      </c>
      <c r="Z9" s="18" t="str">
        <f t="shared" si="6"/>
        <v>M</v>
      </c>
      <c r="AA9" s="18" t="str">
        <f t="shared" si="6"/>
        <v>W</v>
      </c>
      <c r="AB9" s="18" t="str">
        <f t="shared" si="6"/>
        <v>S</v>
      </c>
      <c r="AC9" s="18" t="str">
        <f t="shared" si="6"/>
        <v>H</v>
      </c>
      <c r="AD9" s="18" t="str">
        <f t="shared" si="6"/>
        <v>E</v>
      </c>
      <c r="AE9" s="18" t="str">
        <f t="shared" si="6"/>
        <v>X</v>
      </c>
      <c r="AF9" s="19" t="str">
        <f>CONCATENATE(F9,G9,H9,I9,J9,K9,L9,M9,N9,O9,P9,Q9,R9,S9,T9&amp;U9,V9,W9,X9,Y9,Z9,AA9,AB9,AC9,AD9,AE9)</f>
        <v>NBRKYAJQGZPLUOVDTCFIMWSHEX</v>
      </c>
      <c r="AH9" s="12" t="str">
        <f>F4&amp;F9</f>
        <v>AN</v>
      </c>
      <c r="AI9" s="12" t="str">
        <f t="shared" ref="AI9:BG9" si="7">G4&amp;G9</f>
        <v>BB</v>
      </c>
      <c r="AJ9" s="12" t="str">
        <f t="shared" si="7"/>
        <v>CR</v>
      </c>
      <c r="AK9" s="12" t="str">
        <f t="shared" si="7"/>
        <v>DK</v>
      </c>
      <c r="AL9" s="12" t="str">
        <f t="shared" si="7"/>
        <v>EY</v>
      </c>
      <c r="AM9" s="12" t="str">
        <f t="shared" si="7"/>
        <v>FA</v>
      </c>
      <c r="AN9" s="12" t="str">
        <f t="shared" si="7"/>
        <v>GJ</v>
      </c>
      <c r="AO9" s="12" t="str">
        <f t="shared" si="7"/>
        <v>HQ</v>
      </c>
      <c r="AP9" s="12" t="str">
        <f t="shared" si="7"/>
        <v>IG</v>
      </c>
      <c r="AQ9" s="12" t="str">
        <f t="shared" si="7"/>
        <v>JZ</v>
      </c>
      <c r="AR9" s="12" t="str">
        <f t="shared" si="7"/>
        <v>KP</v>
      </c>
      <c r="AS9" s="12" t="str">
        <f t="shared" si="7"/>
        <v>LL</v>
      </c>
      <c r="AT9" s="12" t="str">
        <f t="shared" si="7"/>
        <v>MU</v>
      </c>
      <c r="AU9" s="12" t="str">
        <f t="shared" si="7"/>
        <v>NO</v>
      </c>
      <c r="AV9" s="12" t="str">
        <f t="shared" si="7"/>
        <v>OV</v>
      </c>
      <c r="AW9" s="12" t="str">
        <f t="shared" si="7"/>
        <v>PD</v>
      </c>
      <c r="AX9" s="12" t="str">
        <f t="shared" si="7"/>
        <v>QT</v>
      </c>
      <c r="AY9" s="12" t="str">
        <f t="shared" si="7"/>
        <v>RC</v>
      </c>
      <c r="AZ9" s="12" t="str">
        <f t="shared" si="7"/>
        <v>SF</v>
      </c>
      <c r="BA9" s="12" t="str">
        <f t="shared" si="7"/>
        <v>TI</v>
      </c>
      <c r="BB9" s="12" t="str">
        <f t="shared" si="7"/>
        <v>UM</v>
      </c>
      <c r="BC9" s="12" t="str">
        <f t="shared" si="7"/>
        <v>VW</v>
      </c>
      <c r="BD9" s="12" t="str">
        <f t="shared" si="7"/>
        <v>WS</v>
      </c>
      <c r="BE9" s="12" t="str">
        <f t="shared" si="7"/>
        <v>XH</v>
      </c>
      <c r="BF9" s="12" t="str">
        <f t="shared" si="7"/>
        <v>YE</v>
      </c>
      <c r="BG9" s="12" t="str">
        <f t="shared" si="7"/>
        <v>ZX</v>
      </c>
    </row>
    <row r="10" spans="1:59" x14ac:dyDescent="0.35">
      <c r="B10" s="21"/>
      <c r="C10" s="4"/>
      <c r="D10" s="5"/>
      <c r="E10" s="5" t="s">
        <v>385</v>
      </c>
      <c r="F10" s="6" t="s">
        <v>0</v>
      </c>
      <c r="G10" s="6" t="s">
        <v>1</v>
      </c>
      <c r="H10" s="6" t="s">
        <v>2</v>
      </c>
      <c r="I10" s="6" t="s">
        <v>3</v>
      </c>
      <c r="J10" s="6" t="s">
        <v>4</v>
      </c>
      <c r="K10" s="6" t="s">
        <v>5</v>
      </c>
      <c r="L10" s="6" t="s">
        <v>6</v>
      </c>
      <c r="M10" s="6" t="s">
        <v>7</v>
      </c>
      <c r="N10" s="6" t="s">
        <v>8</v>
      </c>
      <c r="O10" s="6" t="s">
        <v>9</v>
      </c>
      <c r="P10" s="6" t="s">
        <v>10</v>
      </c>
      <c r="Q10" s="6" t="s">
        <v>11</v>
      </c>
      <c r="R10" s="6" t="s">
        <v>12</v>
      </c>
      <c r="S10" s="6" t="s">
        <v>13</v>
      </c>
      <c r="T10" s="6" t="s">
        <v>14</v>
      </c>
      <c r="U10" s="6" t="s">
        <v>15</v>
      </c>
      <c r="V10" s="6" t="s">
        <v>16</v>
      </c>
      <c r="W10" s="6" t="s">
        <v>17</v>
      </c>
      <c r="X10" s="6" t="s">
        <v>18</v>
      </c>
      <c r="Y10" s="6" t="s">
        <v>19</v>
      </c>
      <c r="Z10" s="6" t="s">
        <v>20</v>
      </c>
      <c r="AA10" s="6" t="s">
        <v>21</v>
      </c>
      <c r="AB10" s="6" t="s">
        <v>22</v>
      </c>
      <c r="AC10" s="6" t="s">
        <v>23</v>
      </c>
      <c r="AD10" s="6" t="s">
        <v>24</v>
      </c>
      <c r="AE10" s="6" t="s">
        <v>25</v>
      </c>
      <c r="AF10" s="20"/>
    </row>
    <row r="11" spans="1:59" x14ac:dyDescent="0.35">
      <c r="A11" s="43">
        <f>INT(D2/26)</f>
        <v>142</v>
      </c>
      <c r="B11" s="10"/>
      <c r="C11" s="8"/>
      <c r="F11" s="1">
        <f>IF(ISERROR(FIND(F10,$AF9)),0,1)</f>
        <v>1</v>
      </c>
      <c r="G11" s="1">
        <f t="shared" ref="G11:AE11" si="8">IF(ISERROR(FIND(G10,$AF9)),0,1)</f>
        <v>1</v>
      </c>
      <c r="H11" s="1">
        <f t="shared" si="8"/>
        <v>1</v>
      </c>
      <c r="I11" s="1">
        <f t="shared" si="8"/>
        <v>1</v>
      </c>
      <c r="J11" s="1">
        <f t="shared" si="8"/>
        <v>1</v>
      </c>
      <c r="K11" s="1">
        <f t="shared" si="8"/>
        <v>1</v>
      </c>
      <c r="L11" s="1">
        <f t="shared" si="8"/>
        <v>1</v>
      </c>
      <c r="M11" s="1">
        <f t="shared" si="8"/>
        <v>1</v>
      </c>
      <c r="N11" s="1">
        <f t="shared" si="8"/>
        <v>1</v>
      </c>
      <c r="O11" s="1">
        <f t="shared" si="8"/>
        <v>1</v>
      </c>
      <c r="P11" s="1">
        <f t="shared" si="8"/>
        <v>1</v>
      </c>
      <c r="Q11" s="1">
        <f t="shared" si="8"/>
        <v>1</v>
      </c>
      <c r="R11" s="1">
        <f t="shared" si="8"/>
        <v>1</v>
      </c>
      <c r="S11" s="1">
        <f t="shared" si="8"/>
        <v>1</v>
      </c>
      <c r="T11" s="1">
        <f t="shared" si="8"/>
        <v>1</v>
      </c>
      <c r="U11" s="1">
        <f t="shared" si="8"/>
        <v>1</v>
      </c>
      <c r="V11" s="1">
        <f t="shared" si="8"/>
        <v>1</v>
      </c>
      <c r="W11" s="1">
        <f t="shared" si="8"/>
        <v>1</v>
      </c>
      <c r="X11" s="1">
        <f t="shared" si="8"/>
        <v>1</v>
      </c>
      <c r="Y11" s="1">
        <f t="shared" si="8"/>
        <v>1</v>
      </c>
      <c r="Z11" s="1">
        <f t="shared" si="8"/>
        <v>1</v>
      </c>
      <c r="AA11" s="1">
        <f t="shared" si="8"/>
        <v>1</v>
      </c>
      <c r="AB11" s="1">
        <f t="shared" si="8"/>
        <v>1</v>
      </c>
      <c r="AC11" s="1">
        <f t="shared" si="8"/>
        <v>1</v>
      </c>
      <c r="AD11" s="1">
        <f t="shared" si="8"/>
        <v>1</v>
      </c>
      <c r="AE11" s="1">
        <f t="shared" si="8"/>
        <v>1</v>
      </c>
      <c r="AF11" s="10"/>
    </row>
    <row r="12" spans="1:59" x14ac:dyDescent="0.35">
      <c r="A12" s="43">
        <f>IF(A11=0,26,A11)</f>
        <v>142</v>
      </c>
      <c r="B12" s="10" t="s">
        <v>380</v>
      </c>
      <c r="C12" s="41">
        <f>n_RotorM</f>
        <v>4</v>
      </c>
      <c r="D12" s="11">
        <f>A12</f>
        <v>142</v>
      </c>
      <c r="E12" s="11">
        <f>IF(MOD(D12,26)=0,26,MOD(D12,26))</f>
        <v>12</v>
      </c>
      <c r="F12" s="12" t="str">
        <f>CHAR(E12+nCharOffset)</f>
        <v>L</v>
      </c>
      <c r="G12" s="13" t="str">
        <f t="shared" ref="G12:AE12" si="9">VLOOKUP(F12,nNextLetter,2,FALSE)</f>
        <v>M</v>
      </c>
      <c r="H12" s="13" t="str">
        <f t="shared" si="9"/>
        <v>N</v>
      </c>
      <c r="I12" s="13" t="str">
        <f t="shared" si="9"/>
        <v>O</v>
      </c>
      <c r="J12" s="13" t="str">
        <f t="shared" si="9"/>
        <v>P</v>
      </c>
      <c r="K12" s="13" t="str">
        <f t="shared" si="9"/>
        <v>Q</v>
      </c>
      <c r="L12" s="13" t="str">
        <f t="shared" si="9"/>
        <v>R</v>
      </c>
      <c r="M12" s="13" t="str">
        <f t="shared" si="9"/>
        <v>S</v>
      </c>
      <c r="N12" s="13" t="str">
        <f t="shared" si="9"/>
        <v>T</v>
      </c>
      <c r="O12" s="13" t="str">
        <f t="shared" si="9"/>
        <v>U</v>
      </c>
      <c r="P12" s="13" t="str">
        <f t="shared" si="9"/>
        <v>V</v>
      </c>
      <c r="Q12" s="13" t="str">
        <f t="shared" si="9"/>
        <v>W</v>
      </c>
      <c r="R12" s="13" t="str">
        <f t="shared" si="9"/>
        <v>X</v>
      </c>
      <c r="S12" s="13" t="str">
        <f t="shared" si="9"/>
        <v>Y</v>
      </c>
      <c r="T12" s="13" t="str">
        <f t="shared" si="9"/>
        <v>Z</v>
      </c>
      <c r="U12" s="13" t="str">
        <f t="shared" si="9"/>
        <v>A</v>
      </c>
      <c r="V12" s="13" t="str">
        <f t="shared" si="9"/>
        <v>B</v>
      </c>
      <c r="W12" s="13" t="str">
        <f t="shared" si="9"/>
        <v>C</v>
      </c>
      <c r="X12" s="13" t="str">
        <f t="shared" si="9"/>
        <v>D</v>
      </c>
      <c r="Y12" s="13" t="str">
        <f t="shared" si="9"/>
        <v>E</v>
      </c>
      <c r="Z12" s="13" t="str">
        <f t="shared" si="9"/>
        <v>F</v>
      </c>
      <c r="AA12" s="13" t="str">
        <f t="shared" si="9"/>
        <v>G</v>
      </c>
      <c r="AB12" s="13" t="str">
        <f t="shared" si="9"/>
        <v>H</v>
      </c>
      <c r="AC12" s="13" t="str">
        <f t="shared" si="9"/>
        <v>I</v>
      </c>
      <c r="AD12" s="13" t="str">
        <f t="shared" si="9"/>
        <v>J</v>
      </c>
      <c r="AE12" s="13" t="str">
        <f t="shared" si="9"/>
        <v>K</v>
      </c>
      <c r="AF12" s="10"/>
    </row>
    <row r="13" spans="1:59" x14ac:dyDescent="0.35">
      <c r="B13" s="22" t="s">
        <v>390</v>
      </c>
      <c r="C13" s="41" t="str">
        <f>n_RingPosM</f>
        <v>A</v>
      </c>
      <c r="D13" s="11">
        <f>VLOOKUP(C13,nRingOffset,2,FALSE)</f>
        <v>0</v>
      </c>
      <c r="E13" t="s">
        <v>386</v>
      </c>
      <c r="F13" s="14" t="str">
        <f t="shared" ref="F13:AE13" si="10">IF(F11=1,VLOOKUP(nCurPosM+nRingOffsetM+(CODE(F10)-nCharOffset)-1,nNum2Let,2,FALSE),"")</f>
        <v>L</v>
      </c>
      <c r="G13" s="14" t="str">
        <f t="shared" si="10"/>
        <v>M</v>
      </c>
      <c r="H13" s="14" t="str">
        <f t="shared" si="10"/>
        <v>N</v>
      </c>
      <c r="I13" s="14" t="str">
        <f t="shared" si="10"/>
        <v>O</v>
      </c>
      <c r="J13" s="14" t="str">
        <f t="shared" si="10"/>
        <v>P</v>
      </c>
      <c r="K13" s="14" t="str">
        <f t="shared" si="10"/>
        <v>Q</v>
      </c>
      <c r="L13" s="14" t="str">
        <f t="shared" si="10"/>
        <v>R</v>
      </c>
      <c r="M13" s="14" t="str">
        <f t="shared" si="10"/>
        <v>S</v>
      </c>
      <c r="N13" s="14" t="str">
        <f t="shared" si="10"/>
        <v>T</v>
      </c>
      <c r="O13" s="14" t="str">
        <f t="shared" si="10"/>
        <v>U</v>
      </c>
      <c r="P13" s="14" t="str">
        <f t="shared" si="10"/>
        <v>V</v>
      </c>
      <c r="Q13" s="14" t="str">
        <f t="shared" si="10"/>
        <v>W</v>
      </c>
      <c r="R13" s="14" t="str">
        <f t="shared" si="10"/>
        <v>X</v>
      </c>
      <c r="S13" s="14" t="str">
        <f t="shared" si="10"/>
        <v>Y</v>
      </c>
      <c r="T13" s="14" t="str">
        <f t="shared" si="10"/>
        <v>Z</v>
      </c>
      <c r="U13" s="14" t="str">
        <f t="shared" si="10"/>
        <v>A</v>
      </c>
      <c r="V13" s="14" t="str">
        <f t="shared" si="10"/>
        <v>B</v>
      </c>
      <c r="W13" s="14" t="str">
        <f t="shared" si="10"/>
        <v>C</v>
      </c>
      <c r="X13" s="14" t="str">
        <f t="shared" si="10"/>
        <v>D</v>
      </c>
      <c r="Y13" s="14" t="str">
        <f t="shared" si="10"/>
        <v>E</v>
      </c>
      <c r="Z13" s="14" t="str">
        <f t="shared" si="10"/>
        <v>F</v>
      </c>
      <c r="AA13" s="14" t="str">
        <f t="shared" si="10"/>
        <v>G</v>
      </c>
      <c r="AB13" s="14" t="str">
        <f t="shared" si="10"/>
        <v>H</v>
      </c>
      <c r="AC13" s="14" t="str">
        <f t="shared" si="10"/>
        <v>I</v>
      </c>
      <c r="AD13" s="14" t="str">
        <f t="shared" si="10"/>
        <v>J</v>
      </c>
      <c r="AE13" s="14" t="str">
        <f t="shared" si="10"/>
        <v>K</v>
      </c>
      <c r="AF13" s="10"/>
      <c r="AH13" s="28" t="str">
        <f t="shared" ref="AH13:BG13" si="11">IF(LEN(AH15)=2,LEFT(AH15,1),"")</f>
        <v>A</v>
      </c>
      <c r="AI13" s="28" t="str">
        <f t="shared" si="11"/>
        <v>B</v>
      </c>
      <c r="AJ13" s="28" t="str">
        <f t="shared" si="11"/>
        <v>C</v>
      </c>
      <c r="AK13" s="28" t="str">
        <f t="shared" si="11"/>
        <v>D</v>
      </c>
      <c r="AL13" s="28" t="str">
        <f t="shared" si="11"/>
        <v>E</v>
      </c>
      <c r="AM13" s="28" t="str">
        <f t="shared" si="11"/>
        <v>F</v>
      </c>
      <c r="AN13" s="28" t="str">
        <f t="shared" si="11"/>
        <v>G</v>
      </c>
      <c r="AO13" s="28" t="str">
        <f t="shared" si="11"/>
        <v>H</v>
      </c>
      <c r="AP13" s="28" t="str">
        <f t="shared" si="11"/>
        <v>I</v>
      </c>
      <c r="AQ13" s="28" t="str">
        <f t="shared" si="11"/>
        <v>J</v>
      </c>
      <c r="AR13" s="28" t="str">
        <f t="shared" si="11"/>
        <v>K</v>
      </c>
      <c r="AS13" s="28" t="str">
        <f t="shared" si="11"/>
        <v>L</v>
      </c>
      <c r="AT13" s="28" t="str">
        <f t="shared" si="11"/>
        <v>M</v>
      </c>
      <c r="AU13" s="28" t="str">
        <f t="shared" si="11"/>
        <v>N</v>
      </c>
      <c r="AV13" s="28" t="str">
        <f t="shared" si="11"/>
        <v>O</v>
      </c>
      <c r="AW13" s="28" t="str">
        <f t="shared" si="11"/>
        <v>P</v>
      </c>
      <c r="AX13" s="28" t="str">
        <f t="shared" si="11"/>
        <v>Q</v>
      </c>
      <c r="AY13" s="28" t="str">
        <f t="shared" si="11"/>
        <v>R</v>
      </c>
      <c r="AZ13" s="28" t="str">
        <f t="shared" si="11"/>
        <v>S</v>
      </c>
      <c r="BA13" s="28" t="str">
        <f t="shared" si="11"/>
        <v>T</v>
      </c>
      <c r="BB13" s="28" t="str">
        <f t="shared" si="11"/>
        <v>U</v>
      </c>
      <c r="BC13" s="28" t="str">
        <f t="shared" si="11"/>
        <v>V</v>
      </c>
      <c r="BD13" s="28" t="str">
        <f t="shared" si="11"/>
        <v>W</v>
      </c>
      <c r="BE13" s="28" t="str">
        <f t="shared" si="11"/>
        <v>X</v>
      </c>
      <c r="BF13" s="28" t="str">
        <f t="shared" si="11"/>
        <v>Y</v>
      </c>
      <c r="BG13" s="28" t="str">
        <f t="shared" si="11"/>
        <v>Z</v>
      </c>
    </row>
    <row r="14" spans="1:59" x14ac:dyDescent="0.35">
      <c r="B14" s="22"/>
      <c r="C14" s="8"/>
      <c r="E14" t="s">
        <v>387</v>
      </c>
      <c r="F14" s="15" t="str">
        <f t="shared" ref="F14:AE14" si="12">IF(F11=1,VLOOKUP(nRotorM&amp;F13,nRotor,4,FALSE),"")</f>
        <v>I</v>
      </c>
      <c r="G14" s="15" t="str">
        <f t="shared" si="12"/>
        <v>R</v>
      </c>
      <c r="H14" s="15" t="str">
        <f t="shared" si="12"/>
        <v>H</v>
      </c>
      <c r="I14" s="15" t="str">
        <f t="shared" si="12"/>
        <v>X</v>
      </c>
      <c r="J14" s="15" t="str">
        <f t="shared" si="12"/>
        <v>L</v>
      </c>
      <c r="K14" s="15" t="str">
        <f t="shared" si="12"/>
        <v>N</v>
      </c>
      <c r="L14" s="15" t="str">
        <f t="shared" si="12"/>
        <v>F</v>
      </c>
      <c r="M14" s="15" t="str">
        <f t="shared" si="12"/>
        <v>T</v>
      </c>
      <c r="N14" s="15" t="str">
        <f t="shared" si="12"/>
        <v>G</v>
      </c>
      <c r="O14" s="15" t="str">
        <f t="shared" si="12"/>
        <v>K</v>
      </c>
      <c r="P14" s="15" t="str">
        <f t="shared" si="12"/>
        <v>D</v>
      </c>
      <c r="Q14" s="15" t="str">
        <f t="shared" si="12"/>
        <v>C</v>
      </c>
      <c r="R14" s="15" t="str">
        <f t="shared" si="12"/>
        <v>M</v>
      </c>
      <c r="S14" s="15" t="str">
        <f t="shared" si="12"/>
        <v>W</v>
      </c>
      <c r="T14" s="15" t="str">
        <f t="shared" si="12"/>
        <v>B</v>
      </c>
      <c r="U14" s="15" t="str">
        <f t="shared" si="12"/>
        <v>E</v>
      </c>
      <c r="V14" s="15" t="str">
        <f t="shared" si="12"/>
        <v>S</v>
      </c>
      <c r="W14" s="15" t="str">
        <f t="shared" si="12"/>
        <v>O</v>
      </c>
      <c r="X14" s="15" t="str">
        <f t="shared" si="12"/>
        <v>V</v>
      </c>
      <c r="Y14" s="15" t="str">
        <f t="shared" si="12"/>
        <v>P</v>
      </c>
      <c r="Z14" s="15" t="str">
        <f t="shared" si="12"/>
        <v>Z</v>
      </c>
      <c r="AA14" s="15" t="str">
        <f t="shared" si="12"/>
        <v>J</v>
      </c>
      <c r="AB14" s="15" t="str">
        <f t="shared" si="12"/>
        <v>A</v>
      </c>
      <c r="AC14" s="15" t="str">
        <f t="shared" si="12"/>
        <v>Y</v>
      </c>
      <c r="AD14" s="15" t="str">
        <f t="shared" si="12"/>
        <v>Q</v>
      </c>
      <c r="AE14" s="15" t="str">
        <f t="shared" si="12"/>
        <v>U</v>
      </c>
      <c r="AF14" s="10"/>
      <c r="AH14" s="28" t="str">
        <f t="shared" ref="AH14:BG14" si="13">IF(LEN(AH15)=2,RIGHT(AH15,1),"")</f>
        <v>X</v>
      </c>
      <c r="AI14" s="28" t="str">
        <f t="shared" si="13"/>
        <v>G</v>
      </c>
      <c r="AJ14" s="28" t="str">
        <f t="shared" si="13"/>
        <v>W</v>
      </c>
      <c r="AK14" s="28" t="str">
        <f t="shared" si="13"/>
        <v>M</v>
      </c>
      <c r="AL14" s="28" t="str">
        <f t="shared" si="13"/>
        <v>A</v>
      </c>
      <c r="AM14" s="28" t="str">
        <f t="shared" si="13"/>
        <v>C</v>
      </c>
      <c r="AN14" s="28" t="str">
        <f t="shared" si="13"/>
        <v>U</v>
      </c>
      <c r="AO14" s="28" t="str">
        <f t="shared" si="13"/>
        <v>I</v>
      </c>
      <c r="AP14" s="28" t="str">
        <f t="shared" si="13"/>
        <v>V</v>
      </c>
      <c r="AQ14" s="28" t="str">
        <f t="shared" si="13"/>
        <v>Z</v>
      </c>
      <c r="AR14" s="28" t="str">
        <f t="shared" si="13"/>
        <v>S</v>
      </c>
      <c r="AS14" s="28" t="str">
        <f t="shared" si="13"/>
        <v>R</v>
      </c>
      <c r="AT14" s="28" t="str">
        <f t="shared" si="13"/>
        <v>B</v>
      </c>
      <c r="AU14" s="28" t="str">
        <f t="shared" si="13"/>
        <v>L</v>
      </c>
      <c r="AV14" s="28" t="str">
        <f t="shared" si="13"/>
        <v>Q</v>
      </c>
      <c r="AW14" s="28" t="str">
        <f t="shared" si="13"/>
        <v>T</v>
      </c>
      <c r="AX14" s="28" t="str">
        <f t="shared" si="13"/>
        <v>H</v>
      </c>
      <c r="AY14" s="28" t="str">
        <f t="shared" si="13"/>
        <v>D</v>
      </c>
      <c r="AZ14" s="28" t="str">
        <f t="shared" si="13"/>
        <v>K</v>
      </c>
      <c r="BA14" s="28" t="str">
        <f t="shared" si="13"/>
        <v>E</v>
      </c>
      <c r="BB14" s="28" t="str">
        <f t="shared" si="13"/>
        <v>O</v>
      </c>
      <c r="BC14" s="28" t="str">
        <f t="shared" si="13"/>
        <v>Y</v>
      </c>
      <c r="BD14" s="28" t="str">
        <f t="shared" si="13"/>
        <v>P</v>
      </c>
      <c r="BE14" s="28" t="str">
        <f t="shared" si="13"/>
        <v>N</v>
      </c>
      <c r="BF14" s="28" t="str">
        <f t="shared" si="13"/>
        <v>F</v>
      </c>
      <c r="BG14" s="28" t="str">
        <f t="shared" si="13"/>
        <v>J</v>
      </c>
    </row>
    <row r="15" spans="1:59" ht="15" thickBot="1" x14ac:dyDescent="0.4">
      <c r="B15" s="23"/>
      <c r="C15" s="16"/>
      <c r="D15" s="17"/>
      <c r="E15" s="17" t="s">
        <v>388</v>
      </c>
      <c r="F15" s="18" t="str">
        <f t="shared" ref="F15:AE15" si="14">IF(F11=1,IF(CODE(F14)-CODE(F13)&lt;0,VLOOKUP((CODE(F14)-CODE(F13)+26)+(CODE(F10)-nCharOffset),nNum2Let,2,FALSE),VLOOKUP((CODE(F14)-CODE(F13))+(CODE(F10)-nCharOffset),nNum2Let,2,FALSE)),"")</f>
        <v>X</v>
      </c>
      <c r="G15" s="18" t="str">
        <f t="shared" si="14"/>
        <v>G</v>
      </c>
      <c r="H15" s="18" t="str">
        <f t="shared" si="14"/>
        <v>W</v>
      </c>
      <c r="I15" s="18" t="str">
        <f t="shared" si="14"/>
        <v>M</v>
      </c>
      <c r="J15" s="18" t="str">
        <f t="shared" si="14"/>
        <v>A</v>
      </c>
      <c r="K15" s="18" t="str">
        <f t="shared" si="14"/>
        <v>C</v>
      </c>
      <c r="L15" s="18" t="str">
        <f t="shared" si="14"/>
        <v>U</v>
      </c>
      <c r="M15" s="18" t="str">
        <f t="shared" si="14"/>
        <v>I</v>
      </c>
      <c r="N15" s="18" t="str">
        <f t="shared" si="14"/>
        <v>V</v>
      </c>
      <c r="O15" s="18" t="str">
        <f t="shared" si="14"/>
        <v>Z</v>
      </c>
      <c r="P15" s="18" t="str">
        <f t="shared" si="14"/>
        <v>S</v>
      </c>
      <c r="Q15" s="18" t="str">
        <f t="shared" si="14"/>
        <v>R</v>
      </c>
      <c r="R15" s="18" t="str">
        <f t="shared" si="14"/>
        <v>B</v>
      </c>
      <c r="S15" s="18" t="str">
        <f t="shared" si="14"/>
        <v>L</v>
      </c>
      <c r="T15" s="18" t="str">
        <f t="shared" si="14"/>
        <v>Q</v>
      </c>
      <c r="U15" s="18" t="str">
        <f t="shared" si="14"/>
        <v>T</v>
      </c>
      <c r="V15" s="18" t="str">
        <f t="shared" si="14"/>
        <v>H</v>
      </c>
      <c r="W15" s="18" t="str">
        <f t="shared" si="14"/>
        <v>D</v>
      </c>
      <c r="X15" s="18" t="str">
        <f t="shared" si="14"/>
        <v>K</v>
      </c>
      <c r="Y15" s="18" t="str">
        <f t="shared" si="14"/>
        <v>E</v>
      </c>
      <c r="Z15" s="18" t="str">
        <f t="shared" si="14"/>
        <v>O</v>
      </c>
      <c r="AA15" s="18" t="str">
        <f t="shared" si="14"/>
        <v>Y</v>
      </c>
      <c r="AB15" s="18" t="str">
        <f t="shared" si="14"/>
        <v>P</v>
      </c>
      <c r="AC15" s="18" t="str">
        <f t="shared" si="14"/>
        <v>N</v>
      </c>
      <c r="AD15" s="18" t="str">
        <f t="shared" si="14"/>
        <v>F</v>
      </c>
      <c r="AE15" s="18" t="str">
        <f t="shared" si="14"/>
        <v>J</v>
      </c>
      <c r="AF15" s="19" t="str">
        <f>CONCATENATE(F15,G15,H15,I15,J15,K15,L15,M15,N15,O15,P15,Q15,R15,S15,T15&amp;U15,V15,W15,X15,Y15,Z15,AA15,AB15,AC15,AD15,AE15)</f>
        <v>XGWMACUIVZSRBLQTHDKEOYPNFJ</v>
      </c>
      <c r="AH15" s="12" t="str">
        <f>F10&amp;F15</f>
        <v>AX</v>
      </c>
      <c r="AI15" s="12" t="str">
        <f t="shared" ref="AI15" si="15">G10&amp;G15</f>
        <v>BG</v>
      </c>
      <c r="AJ15" s="12" t="str">
        <f t="shared" ref="AJ15" si="16">H10&amp;H15</f>
        <v>CW</v>
      </c>
      <c r="AK15" s="12" t="str">
        <f t="shared" ref="AK15" si="17">I10&amp;I15</f>
        <v>DM</v>
      </c>
      <c r="AL15" s="12" t="str">
        <f t="shared" ref="AL15" si="18">J10&amp;J15</f>
        <v>EA</v>
      </c>
      <c r="AM15" s="12" t="str">
        <f t="shared" ref="AM15" si="19">K10&amp;K15</f>
        <v>FC</v>
      </c>
      <c r="AN15" s="12" t="str">
        <f t="shared" ref="AN15" si="20">L10&amp;L15</f>
        <v>GU</v>
      </c>
      <c r="AO15" s="12" t="str">
        <f t="shared" ref="AO15" si="21">M10&amp;M15</f>
        <v>HI</v>
      </c>
      <c r="AP15" s="12" t="str">
        <f t="shared" ref="AP15" si="22">N10&amp;N15</f>
        <v>IV</v>
      </c>
      <c r="AQ15" s="12" t="str">
        <f t="shared" ref="AQ15" si="23">O10&amp;O15</f>
        <v>JZ</v>
      </c>
      <c r="AR15" s="12" t="str">
        <f t="shared" ref="AR15" si="24">P10&amp;P15</f>
        <v>KS</v>
      </c>
      <c r="AS15" s="12" t="str">
        <f t="shared" ref="AS15" si="25">Q10&amp;Q15</f>
        <v>LR</v>
      </c>
      <c r="AT15" s="12" t="str">
        <f t="shared" ref="AT15" si="26">R10&amp;R15</f>
        <v>MB</v>
      </c>
      <c r="AU15" s="12" t="str">
        <f t="shared" ref="AU15" si="27">S10&amp;S15</f>
        <v>NL</v>
      </c>
      <c r="AV15" s="12" t="str">
        <f t="shared" ref="AV15" si="28">T10&amp;T15</f>
        <v>OQ</v>
      </c>
      <c r="AW15" s="12" t="str">
        <f t="shared" ref="AW15" si="29">U10&amp;U15</f>
        <v>PT</v>
      </c>
      <c r="AX15" s="12" t="str">
        <f t="shared" ref="AX15" si="30">V10&amp;V15</f>
        <v>QH</v>
      </c>
      <c r="AY15" s="12" t="str">
        <f t="shared" ref="AY15" si="31">W10&amp;W15</f>
        <v>RD</v>
      </c>
      <c r="AZ15" s="12" t="str">
        <f t="shared" ref="AZ15" si="32">X10&amp;X15</f>
        <v>SK</v>
      </c>
      <c r="BA15" s="12" t="str">
        <f t="shared" ref="BA15" si="33">Y10&amp;Y15</f>
        <v>TE</v>
      </c>
      <c r="BB15" s="12" t="str">
        <f t="shared" ref="BB15" si="34">Z10&amp;Z15</f>
        <v>UO</v>
      </c>
      <c r="BC15" s="12" t="str">
        <f t="shared" ref="BC15" si="35">AA10&amp;AA15</f>
        <v>VY</v>
      </c>
      <c r="BD15" s="12" t="str">
        <f t="shared" ref="BD15" si="36">AB10&amp;AB15</f>
        <v>WP</v>
      </c>
      <c r="BE15" s="12" t="str">
        <f t="shared" ref="BE15" si="37">AC10&amp;AC15</f>
        <v>XN</v>
      </c>
      <c r="BF15" s="12" t="str">
        <f t="shared" ref="BF15" si="38">AD10&amp;AD15</f>
        <v>YF</v>
      </c>
      <c r="BG15" s="12" t="str">
        <f t="shared" ref="BG15" si="39">AE10&amp;AE15</f>
        <v>ZJ</v>
      </c>
    </row>
    <row r="16" spans="1:59" x14ac:dyDescent="0.35">
      <c r="B16" s="21"/>
      <c r="C16" s="4"/>
      <c r="D16" s="5"/>
      <c r="E16" s="5" t="s">
        <v>385</v>
      </c>
      <c r="F16" s="6" t="s">
        <v>0</v>
      </c>
      <c r="G16" s="6" t="s">
        <v>1</v>
      </c>
      <c r="H16" s="6" t="s">
        <v>2</v>
      </c>
      <c r="I16" s="6" t="s">
        <v>3</v>
      </c>
      <c r="J16" s="6" t="s">
        <v>4</v>
      </c>
      <c r="K16" s="6" t="s">
        <v>5</v>
      </c>
      <c r="L16" s="6" t="s">
        <v>6</v>
      </c>
      <c r="M16" s="6" t="s">
        <v>7</v>
      </c>
      <c r="N16" s="6" t="s">
        <v>8</v>
      </c>
      <c r="O16" s="6" t="s">
        <v>9</v>
      </c>
      <c r="P16" s="6" t="s">
        <v>10</v>
      </c>
      <c r="Q16" s="6" t="s">
        <v>11</v>
      </c>
      <c r="R16" s="6" t="s">
        <v>12</v>
      </c>
      <c r="S16" s="6" t="s">
        <v>13</v>
      </c>
      <c r="T16" s="6" t="s">
        <v>14</v>
      </c>
      <c r="U16" s="6" t="s">
        <v>15</v>
      </c>
      <c r="V16" s="6" t="s">
        <v>16</v>
      </c>
      <c r="W16" s="6" t="s">
        <v>17</v>
      </c>
      <c r="X16" s="6" t="s">
        <v>18</v>
      </c>
      <c r="Y16" s="6" t="s">
        <v>19</v>
      </c>
      <c r="Z16" s="6" t="s">
        <v>20</v>
      </c>
      <c r="AA16" s="6" t="s">
        <v>21</v>
      </c>
      <c r="AB16" s="6" t="s">
        <v>22</v>
      </c>
      <c r="AC16" s="6" t="s">
        <v>23</v>
      </c>
      <c r="AD16" s="6" t="s">
        <v>24</v>
      </c>
      <c r="AE16" s="6" t="s">
        <v>25</v>
      </c>
      <c r="AF16" s="7"/>
      <c r="AH16" s="28" t="str">
        <f>HLOOKUP(AH8,$AH13:$BG14,2,FALSE)</f>
        <v>L</v>
      </c>
      <c r="AI16" s="28" t="str">
        <f>HLOOKUP(AI8,$AH13:$BG14,2,FALSE)</f>
        <v>G</v>
      </c>
      <c r="AJ16" s="28" t="str">
        <f>HLOOKUP(AJ8,$AH13:$BG14,2,FALSE)</f>
        <v>D</v>
      </c>
      <c r="AK16" s="28" t="str">
        <f t="shared" ref="AK16:BG16" si="40">HLOOKUP(AK8,$AH13:$BG14,2,FALSE)</f>
        <v>S</v>
      </c>
      <c r="AL16" s="28" t="str">
        <f t="shared" si="40"/>
        <v>F</v>
      </c>
      <c r="AM16" s="28" t="str">
        <f t="shared" si="40"/>
        <v>X</v>
      </c>
      <c r="AN16" s="28" t="str">
        <f t="shared" si="40"/>
        <v>Z</v>
      </c>
      <c r="AO16" s="28" t="str">
        <f t="shared" si="40"/>
        <v>H</v>
      </c>
      <c r="AP16" s="28" t="str">
        <f t="shared" si="40"/>
        <v>U</v>
      </c>
      <c r="AQ16" s="28" t="str">
        <f t="shared" si="40"/>
        <v>J</v>
      </c>
      <c r="AR16" s="28" t="str">
        <f t="shared" si="40"/>
        <v>T</v>
      </c>
      <c r="AS16" s="28" t="str">
        <f t="shared" si="40"/>
        <v>R</v>
      </c>
      <c r="AT16" s="28" t="str">
        <f t="shared" si="40"/>
        <v>O</v>
      </c>
      <c r="AU16" s="28" t="str">
        <f t="shared" si="40"/>
        <v>Q</v>
      </c>
      <c r="AV16" s="28" t="str">
        <f t="shared" si="40"/>
        <v>Y</v>
      </c>
      <c r="AW16" s="28" t="str">
        <f t="shared" si="40"/>
        <v>M</v>
      </c>
      <c r="AX16" s="28" t="str">
        <f t="shared" si="40"/>
        <v>E</v>
      </c>
      <c r="AY16" s="28" t="str">
        <f t="shared" si="40"/>
        <v>W</v>
      </c>
      <c r="AZ16" s="28" t="str">
        <f t="shared" si="40"/>
        <v>C</v>
      </c>
      <c r="BA16" s="28" t="str">
        <f t="shared" si="40"/>
        <v>V</v>
      </c>
      <c r="BB16" s="28" t="str">
        <f t="shared" si="40"/>
        <v>B</v>
      </c>
      <c r="BC16" s="28" t="str">
        <f t="shared" si="40"/>
        <v>P</v>
      </c>
      <c r="BD16" s="28" t="str">
        <f t="shared" si="40"/>
        <v>K</v>
      </c>
      <c r="BE16" s="28" t="str">
        <f t="shared" si="40"/>
        <v>I</v>
      </c>
      <c r="BF16" s="28" t="str">
        <f t="shared" si="40"/>
        <v>A</v>
      </c>
      <c r="BG16" s="28" t="str">
        <f t="shared" si="40"/>
        <v>N</v>
      </c>
    </row>
    <row r="17" spans="1:59" x14ac:dyDescent="0.35">
      <c r="A17" s="43">
        <f>INT(D2/676)</f>
        <v>5</v>
      </c>
      <c r="B17" s="10"/>
      <c r="C17" s="8"/>
      <c r="F17" s="1">
        <f>IF(ISERROR(FIND(F16,$AF15)),0,1)</f>
        <v>1</v>
      </c>
      <c r="G17" s="1">
        <f t="shared" ref="G17" si="41">IF(ISERROR(FIND(G16,$AF15)),0,1)</f>
        <v>1</v>
      </c>
      <c r="H17" s="1">
        <f t="shared" ref="H17" si="42">IF(ISERROR(FIND(H16,$AF15)),0,1)</f>
        <v>1</v>
      </c>
      <c r="I17" s="1">
        <f t="shared" ref="I17" si="43">IF(ISERROR(FIND(I16,$AF15)),0,1)</f>
        <v>1</v>
      </c>
      <c r="J17" s="1">
        <f t="shared" ref="J17" si="44">IF(ISERROR(FIND(J16,$AF15)),0,1)</f>
        <v>1</v>
      </c>
      <c r="K17" s="1">
        <f t="shared" ref="K17" si="45">IF(ISERROR(FIND(K16,$AF15)),0,1)</f>
        <v>1</v>
      </c>
      <c r="L17" s="1">
        <f t="shared" ref="L17" si="46">IF(ISERROR(FIND(L16,$AF15)),0,1)</f>
        <v>1</v>
      </c>
      <c r="M17" s="1">
        <f t="shared" ref="M17" si="47">IF(ISERROR(FIND(M16,$AF15)),0,1)</f>
        <v>1</v>
      </c>
      <c r="N17" s="1">
        <f t="shared" ref="N17" si="48">IF(ISERROR(FIND(N16,$AF15)),0,1)</f>
        <v>1</v>
      </c>
      <c r="O17" s="1">
        <f t="shared" ref="O17" si="49">IF(ISERROR(FIND(O16,$AF15)),0,1)</f>
        <v>1</v>
      </c>
      <c r="P17" s="1">
        <f t="shared" ref="P17" si="50">IF(ISERROR(FIND(P16,$AF15)),0,1)</f>
        <v>1</v>
      </c>
      <c r="Q17" s="1">
        <f t="shared" ref="Q17" si="51">IF(ISERROR(FIND(Q16,$AF15)),0,1)</f>
        <v>1</v>
      </c>
      <c r="R17" s="1">
        <f t="shared" ref="R17" si="52">IF(ISERROR(FIND(R16,$AF15)),0,1)</f>
        <v>1</v>
      </c>
      <c r="S17" s="1">
        <f t="shared" ref="S17" si="53">IF(ISERROR(FIND(S16,$AF15)),0,1)</f>
        <v>1</v>
      </c>
      <c r="T17" s="1">
        <f t="shared" ref="T17" si="54">IF(ISERROR(FIND(T16,$AF15)),0,1)</f>
        <v>1</v>
      </c>
      <c r="U17" s="1">
        <f t="shared" ref="U17" si="55">IF(ISERROR(FIND(U16,$AF15)),0,1)</f>
        <v>1</v>
      </c>
      <c r="V17" s="1">
        <f t="shared" ref="V17" si="56">IF(ISERROR(FIND(V16,$AF15)),0,1)</f>
        <v>1</v>
      </c>
      <c r="W17" s="1">
        <f t="shared" ref="W17" si="57">IF(ISERROR(FIND(W16,$AF15)),0,1)</f>
        <v>1</v>
      </c>
      <c r="X17" s="1">
        <f t="shared" ref="X17" si="58">IF(ISERROR(FIND(X16,$AF15)),0,1)</f>
        <v>1</v>
      </c>
      <c r="Y17" s="1">
        <f t="shared" ref="Y17" si="59">IF(ISERROR(FIND(Y16,$AF15)),0,1)</f>
        <v>1</v>
      </c>
      <c r="Z17" s="1">
        <f t="shared" ref="Z17" si="60">IF(ISERROR(FIND(Z16,$AF15)),0,1)</f>
        <v>1</v>
      </c>
      <c r="AA17" s="1">
        <f t="shared" ref="AA17" si="61">IF(ISERROR(FIND(AA16,$AF15)),0,1)</f>
        <v>1</v>
      </c>
      <c r="AB17" s="1">
        <f t="shared" ref="AB17" si="62">IF(ISERROR(FIND(AB16,$AF15)),0,1)</f>
        <v>1</v>
      </c>
      <c r="AC17" s="1">
        <f t="shared" ref="AC17" si="63">IF(ISERROR(FIND(AC16,$AF15)),0,1)</f>
        <v>1</v>
      </c>
      <c r="AD17" s="1">
        <f t="shared" ref="AD17" si="64">IF(ISERROR(FIND(AD16,$AF15)),0,1)</f>
        <v>1</v>
      </c>
      <c r="AE17" s="1">
        <f t="shared" ref="AE17" si="65">IF(ISERROR(FIND(AE16,$AF15)),0,1)</f>
        <v>1</v>
      </c>
      <c r="AF17" s="10"/>
    </row>
    <row r="18" spans="1:59" x14ac:dyDescent="0.35">
      <c r="A18" s="43">
        <f>IF(A17=0,26,A17)</f>
        <v>5</v>
      </c>
      <c r="B18" s="10" t="s">
        <v>381</v>
      </c>
      <c r="C18" s="41">
        <f>n_RotorL</f>
        <v>1</v>
      </c>
      <c r="D18" s="11">
        <f>A18</f>
        <v>5</v>
      </c>
      <c r="E18" s="11">
        <f>IF(MOD(D18,26)=0,26,MOD(D18,26))</f>
        <v>5</v>
      </c>
      <c r="F18" s="12" t="str">
        <f>CHAR(E18+nCharOffset)</f>
        <v>E</v>
      </c>
      <c r="G18" s="13" t="str">
        <f t="shared" ref="G18:AE18" si="66">VLOOKUP(F18,nNextLetter,2,FALSE)</f>
        <v>F</v>
      </c>
      <c r="H18" s="13" t="str">
        <f t="shared" si="66"/>
        <v>G</v>
      </c>
      <c r="I18" s="13" t="str">
        <f t="shared" si="66"/>
        <v>H</v>
      </c>
      <c r="J18" s="13" t="str">
        <f t="shared" si="66"/>
        <v>I</v>
      </c>
      <c r="K18" s="13" t="str">
        <f t="shared" si="66"/>
        <v>J</v>
      </c>
      <c r="L18" s="13" t="str">
        <f t="shared" si="66"/>
        <v>K</v>
      </c>
      <c r="M18" s="13" t="str">
        <f t="shared" si="66"/>
        <v>L</v>
      </c>
      <c r="N18" s="13" t="str">
        <f t="shared" si="66"/>
        <v>M</v>
      </c>
      <c r="O18" s="13" t="str">
        <f t="shared" si="66"/>
        <v>N</v>
      </c>
      <c r="P18" s="13" t="str">
        <f t="shared" si="66"/>
        <v>O</v>
      </c>
      <c r="Q18" s="13" t="str">
        <f t="shared" si="66"/>
        <v>P</v>
      </c>
      <c r="R18" s="13" t="str">
        <f t="shared" si="66"/>
        <v>Q</v>
      </c>
      <c r="S18" s="13" t="str">
        <f t="shared" si="66"/>
        <v>R</v>
      </c>
      <c r="T18" s="13" t="str">
        <f t="shared" si="66"/>
        <v>S</v>
      </c>
      <c r="U18" s="13" t="str">
        <f t="shared" si="66"/>
        <v>T</v>
      </c>
      <c r="V18" s="13" t="str">
        <f t="shared" si="66"/>
        <v>U</v>
      </c>
      <c r="W18" s="13" t="str">
        <f t="shared" si="66"/>
        <v>V</v>
      </c>
      <c r="X18" s="13" t="str">
        <f t="shared" si="66"/>
        <v>W</v>
      </c>
      <c r="Y18" s="13" t="str">
        <f t="shared" si="66"/>
        <v>X</v>
      </c>
      <c r="Z18" s="13" t="str">
        <f t="shared" si="66"/>
        <v>Y</v>
      </c>
      <c r="AA18" s="13" t="str">
        <f t="shared" si="66"/>
        <v>Z</v>
      </c>
      <c r="AB18" s="13" t="str">
        <f t="shared" si="66"/>
        <v>A</v>
      </c>
      <c r="AC18" s="13" t="str">
        <f t="shared" si="66"/>
        <v>B</v>
      </c>
      <c r="AD18" s="13" t="str">
        <f t="shared" si="66"/>
        <v>C</v>
      </c>
      <c r="AE18" s="13" t="str">
        <f t="shared" si="66"/>
        <v>D</v>
      </c>
      <c r="AF18" s="10"/>
    </row>
    <row r="19" spans="1:59" x14ac:dyDescent="0.35">
      <c r="B19" s="22" t="s">
        <v>391</v>
      </c>
      <c r="C19" s="41" t="str">
        <f>n_RingPosL</f>
        <v>A</v>
      </c>
      <c r="D19" s="11">
        <f>VLOOKUP(C19,nRingOffset,2,FALSE)</f>
        <v>0</v>
      </c>
      <c r="E19" t="s">
        <v>386</v>
      </c>
      <c r="F19" s="14" t="str">
        <f t="shared" ref="F19:AE19" si="67">IF(F17=1,VLOOKUP(nCurPosL+nRingOffsetL+(CODE(F16)-nCharOffset)-1,nNum2Let,2,FALSE),"")</f>
        <v>E</v>
      </c>
      <c r="G19" s="14" t="str">
        <f t="shared" si="67"/>
        <v>F</v>
      </c>
      <c r="H19" s="14" t="str">
        <f t="shared" si="67"/>
        <v>G</v>
      </c>
      <c r="I19" s="14" t="str">
        <f t="shared" si="67"/>
        <v>H</v>
      </c>
      <c r="J19" s="14" t="str">
        <f t="shared" si="67"/>
        <v>I</v>
      </c>
      <c r="K19" s="14" t="str">
        <f t="shared" si="67"/>
        <v>J</v>
      </c>
      <c r="L19" s="14" t="str">
        <f t="shared" si="67"/>
        <v>K</v>
      </c>
      <c r="M19" s="14" t="str">
        <f t="shared" si="67"/>
        <v>L</v>
      </c>
      <c r="N19" s="14" t="str">
        <f t="shared" si="67"/>
        <v>M</v>
      </c>
      <c r="O19" s="14" t="str">
        <f t="shared" si="67"/>
        <v>N</v>
      </c>
      <c r="P19" s="14" t="str">
        <f t="shared" si="67"/>
        <v>O</v>
      </c>
      <c r="Q19" s="14" t="str">
        <f t="shared" si="67"/>
        <v>P</v>
      </c>
      <c r="R19" s="14" t="str">
        <f t="shared" si="67"/>
        <v>Q</v>
      </c>
      <c r="S19" s="14" t="str">
        <f t="shared" si="67"/>
        <v>R</v>
      </c>
      <c r="T19" s="14" t="str">
        <f t="shared" si="67"/>
        <v>S</v>
      </c>
      <c r="U19" s="14" t="str">
        <f t="shared" si="67"/>
        <v>T</v>
      </c>
      <c r="V19" s="14" t="str">
        <f t="shared" si="67"/>
        <v>U</v>
      </c>
      <c r="W19" s="14" t="str">
        <f t="shared" si="67"/>
        <v>V</v>
      </c>
      <c r="X19" s="14" t="str">
        <f t="shared" si="67"/>
        <v>W</v>
      </c>
      <c r="Y19" s="14" t="str">
        <f t="shared" si="67"/>
        <v>X</v>
      </c>
      <c r="Z19" s="14" t="str">
        <f t="shared" si="67"/>
        <v>Y</v>
      </c>
      <c r="AA19" s="14" t="str">
        <f t="shared" si="67"/>
        <v>Z</v>
      </c>
      <c r="AB19" s="14" t="str">
        <f t="shared" si="67"/>
        <v>A</v>
      </c>
      <c r="AC19" s="14" t="str">
        <f t="shared" si="67"/>
        <v>B</v>
      </c>
      <c r="AD19" s="14" t="str">
        <f t="shared" si="67"/>
        <v>C</v>
      </c>
      <c r="AE19" s="14" t="str">
        <f t="shared" si="67"/>
        <v>D</v>
      </c>
      <c r="AF19" s="10"/>
      <c r="AH19" s="28" t="str">
        <f t="shared" ref="AH19:BG19" si="68">IF(LEN(AH21)=2,LEFT(AH21,1),"")</f>
        <v>A</v>
      </c>
      <c r="AI19" s="28" t="str">
        <f t="shared" si="68"/>
        <v>B</v>
      </c>
      <c r="AJ19" s="28" t="str">
        <f t="shared" si="68"/>
        <v>C</v>
      </c>
      <c r="AK19" s="28" t="str">
        <f t="shared" si="68"/>
        <v>D</v>
      </c>
      <c r="AL19" s="28" t="str">
        <f t="shared" si="68"/>
        <v>E</v>
      </c>
      <c r="AM19" s="28" t="str">
        <f t="shared" si="68"/>
        <v>F</v>
      </c>
      <c r="AN19" s="28" t="str">
        <f t="shared" si="68"/>
        <v>G</v>
      </c>
      <c r="AO19" s="28" t="str">
        <f t="shared" si="68"/>
        <v>H</v>
      </c>
      <c r="AP19" s="28" t="str">
        <f t="shared" si="68"/>
        <v>I</v>
      </c>
      <c r="AQ19" s="28" t="str">
        <f t="shared" si="68"/>
        <v>J</v>
      </c>
      <c r="AR19" s="28" t="str">
        <f t="shared" si="68"/>
        <v>K</v>
      </c>
      <c r="AS19" s="28" t="str">
        <f t="shared" si="68"/>
        <v>L</v>
      </c>
      <c r="AT19" s="28" t="str">
        <f t="shared" si="68"/>
        <v>M</v>
      </c>
      <c r="AU19" s="28" t="str">
        <f t="shared" si="68"/>
        <v>N</v>
      </c>
      <c r="AV19" s="28" t="str">
        <f t="shared" si="68"/>
        <v>O</v>
      </c>
      <c r="AW19" s="28" t="str">
        <f t="shared" si="68"/>
        <v>P</v>
      </c>
      <c r="AX19" s="28" t="str">
        <f t="shared" si="68"/>
        <v>Q</v>
      </c>
      <c r="AY19" s="28" t="str">
        <f t="shared" si="68"/>
        <v>R</v>
      </c>
      <c r="AZ19" s="28" t="str">
        <f t="shared" si="68"/>
        <v>S</v>
      </c>
      <c r="BA19" s="28" t="str">
        <f t="shared" si="68"/>
        <v>T</v>
      </c>
      <c r="BB19" s="28" t="str">
        <f t="shared" si="68"/>
        <v>U</v>
      </c>
      <c r="BC19" s="28" t="str">
        <f t="shared" si="68"/>
        <v>V</v>
      </c>
      <c r="BD19" s="28" t="str">
        <f t="shared" si="68"/>
        <v>W</v>
      </c>
      <c r="BE19" s="28" t="str">
        <f t="shared" si="68"/>
        <v>X</v>
      </c>
      <c r="BF19" s="28" t="str">
        <f t="shared" si="68"/>
        <v>Y</v>
      </c>
      <c r="BG19" s="28" t="str">
        <f t="shared" si="68"/>
        <v>Z</v>
      </c>
    </row>
    <row r="20" spans="1:59" x14ac:dyDescent="0.35">
      <c r="B20" s="22"/>
      <c r="C20" s="8"/>
      <c r="E20" t="s">
        <v>387</v>
      </c>
      <c r="F20" s="15" t="str">
        <f t="shared" ref="F20:AE20" si="69">IF(F17=1,VLOOKUP(nRotorL&amp;F19,nRotor,4,FALSE),"")</f>
        <v>L</v>
      </c>
      <c r="G20" s="15" t="str">
        <f t="shared" si="69"/>
        <v>G</v>
      </c>
      <c r="H20" s="15" t="str">
        <f t="shared" si="69"/>
        <v>D</v>
      </c>
      <c r="I20" s="15" t="str">
        <f t="shared" si="69"/>
        <v>Q</v>
      </c>
      <c r="J20" s="15" t="str">
        <f t="shared" si="69"/>
        <v>V</v>
      </c>
      <c r="K20" s="15" t="str">
        <f t="shared" si="69"/>
        <v>Z</v>
      </c>
      <c r="L20" s="15" t="str">
        <f t="shared" si="69"/>
        <v>N</v>
      </c>
      <c r="M20" s="15" t="str">
        <f t="shared" si="69"/>
        <v>T</v>
      </c>
      <c r="N20" s="15" t="str">
        <f t="shared" si="69"/>
        <v>O</v>
      </c>
      <c r="O20" s="15" t="str">
        <f t="shared" si="69"/>
        <v>W</v>
      </c>
      <c r="P20" s="15" t="str">
        <f t="shared" si="69"/>
        <v>Y</v>
      </c>
      <c r="Q20" s="15" t="str">
        <f t="shared" si="69"/>
        <v>H</v>
      </c>
      <c r="R20" s="15" t="str">
        <f t="shared" si="69"/>
        <v>X</v>
      </c>
      <c r="S20" s="15" t="str">
        <f t="shared" si="69"/>
        <v>U</v>
      </c>
      <c r="T20" s="15" t="str">
        <f t="shared" si="69"/>
        <v>S</v>
      </c>
      <c r="U20" s="15" t="str">
        <f t="shared" si="69"/>
        <v>P</v>
      </c>
      <c r="V20" s="15" t="str">
        <f t="shared" si="69"/>
        <v>A</v>
      </c>
      <c r="W20" s="15" t="str">
        <f t="shared" si="69"/>
        <v>I</v>
      </c>
      <c r="X20" s="15" t="str">
        <f t="shared" si="69"/>
        <v>B</v>
      </c>
      <c r="Y20" s="15" t="str">
        <f t="shared" si="69"/>
        <v>R</v>
      </c>
      <c r="Z20" s="15" t="str">
        <f t="shared" si="69"/>
        <v>C</v>
      </c>
      <c r="AA20" s="15" t="str">
        <f t="shared" si="69"/>
        <v>J</v>
      </c>
      <c r="AB20" s="15" t="str">
        <f t="shared" si="69"/>
        <v>E</v>
      </c>
      <c r="AC20" s="15" t="str">
        <f t="shared" si="69"/>
        <v>K</v>
      </c>
      <c r="AD20" s="15" t="str">
        <f t="shared" si="69"/>
        <v>M</v>
      </c>
      <c r="AE20" s="15" t="str">
        <f t="shared" si="69"/>
        <v>F</v>
      </c>
      <c r="AF20" s="10"/>
      <c r="AH20" s="28" t="str">
        <f t="shared" ref="AH20:BG20" si="70">IF(LEN(AH21)=2,RIGHT(AH21,1),"")</f>
        <v>H</v>
      </c>
      <c r="AI20" s="28" t="str">
        <f t="shared" si="70"/>
        <v>C</v>
      </c>
      <c r="AJ20" s="28" t="str">
        <f t="shared" si="70"/>
        <v>Z</v>
      </c>
      <c r="AK20" s="28" t="str">
        <f t="shared" si="70"/>
        <v>M</v>
      </c>
      <c r="AL20" s="28" t="str">
        <f t="shared" si="70"/>
        <v>R</v>
      </c>
      <c r="AM20" s="28" t="str">
        <f t="shared" si="70"/>
        <v>V</v>
      </c>
      <c r="AN20" s="28" t="str">
        <f t="shared" si="70"/>
        <v>J</v>
      </c>
      <c r="AO20" s="28" t="str">
        <f t="shared" si="70"/>
        <v>P</v>
      </c>
      <c r="AP20" s="28" t="str">
        <f t="shared" si="70"/>
        <v>K</v>
      </c>
      <c r="AQ20" s="28" t="str">
        <f t="shared" si="70"/>
        <v>S</v>
      </c>
      <c r="AR20" s="28" t="str">
        <f t="shared" si="70"/>
        <v>U</v>
      </c>
      <c r="AS20" s="28" t="str">
        <f t="shared" si="70"/>
        <v>D</v>
      </c>
      <c r="AT20" s="28" t="str">
        <f t="shared" si="70"/>
        <v>T</v>
      </c>
      <c r="AU20" s="28" t="str">
        <f t="shared" si="70"/>
        <v>Q</v>
      </c>
      <c r="AV20" s="28" t="str">
        <f t="shared" si="70"/>
        <v>O</v>
      </c>
      <c r="AW20" s="28" t="str">
        <f t="shared" si="70"/>
        <v>L</v>
      </c>
      <c r="AX20" s="28" t="str">
        <f t="shared" si="70"/>
        <v>W</v>
      </c>
      <c r="AY20" s="28" t="str">
        <f t="shared" si="70"/>
        <v>E</v>
      </c>
      <c r="AZ20" s="28" t="str">
        <f t="shared" si="70"/>
        <v>X</v>
      </c>
      <c r="BA20" s="28" t="str">
        <f t="shared" si="70"/>
        <v>N</v>
      </c>
      <c r="BB20" s="28" t="str">
        <f t="shared" si="70"/>
        <v>Y</v>
      </c>
      <c r="BC20" s="28" t="str">
        <f t="shared" si="70"/>
        <v>F</v>
      </c>
      <c r="BD20" s="28" t="str">
        <f t="shared" si="70"/>
        <v>A</v>
      </c>
      <c r="BE20" s="28" t="str">
        <f t="shared" si="70"/>
        <v>G</v>
      </c>
      <c r="BF20" s="28" t="str">
        <f t="shared" si="70"/>
        <v>I</v>
      </c>
      <c r="BG20" s="28" t="str">
        <f t="shared" si="70"/>
        <v>B</v>
      </c>
    </row>
    <row r="21" spans="1:59" ht="15" thickBot="1" x14ac:dyDescent="0.4">
      <c r="B21" s="23"/>
      <c r="C21" s="16"/>
      <c r="D21" s="17"/>
      <c r="E21" s="17" t="s">
        <v>388</v>
      </c>
      <c r="F21" s="18" t="str">
        <f t="shared" ref="F21:AE21" si="71">IF(F17=1,IF(CODE(F20)-CODE(F19)&lt;0,VLOOKUP((CODE(F20)-CODE(F19)+26)+(CODE(F16)-nCharOffset),nNum2Let,2,FALSE),VLOOKUP((CODE(F20)-CODE(F19))+(CODE(F16)-nCharOffset),nNum2Let,2,FALSE)),"")</f>
        <v>H</v>
      </c>
      <c r="G21" s="18" t="str">
        <f t="shared" si="71"/>
        <v>C</v>
      </c>
      <c r="H21" s="18" t="str">
        <f t="shared" si="71"/>
        <v>Z</v>
      </c>
      <c r="I21" s="18" t="str">
        <f t="shared" si="71"/>
        <v>M</v>
      </c>
      <c r="J21" s="18" t="str">
        <f t="shared" si="71"/>
        <v>R</v>
      </c>
      <c r="K21" s="18" t="str">
        <f t="shared" si="71"/>
        <v>V</v>
      </c>
      <c r="L21" s="18" t="str">
        <f t="shared" si="71"/>
        <v>J</v>
      </c>
      <c r="M21" s="18" t="str">
        <f t="shared" si="71"/>
        <v>P</v>
      </c>
      <c r="N21" s="18" t="str">
        <f t="shared" si="71"/>
        <v>K</v>
      </c>
      <c r="O21" s="18" t="str">
        <f t="shared" si="71"/>
        <v>S</v>
      </c>
      <c r="P21" s="18" t="str">
        <f t="shared" si="71"/>
        <v>U</v>
      </c>
      <c r="Q21" s="18" t="str">
        <f t="shared" si="71"/>
        <v>D</v>
      </c>
      <c r="R21" s="18" t="str">
        <f t="shared" si="71"/>
        <v>T</v>
      </c>
      <c r="S21" s="18" t="str">
        <f t="shared" si="71"/>
        <v>Q</v>
      </c>
      <c r="T21" s="18" t="str">
        <f t="shared" si="71"/>
        <v>O</v>
      </c>
      <c r="U21" s="18" t="str">
        <f t="shared" si="71"/>
        <v>L</v>
      </c>
      <c r="V21" s="18" t="str">
        <f t="shared" si="71"/>
        <v>W</v>
      </c>
      <c r="W21" s="18" t="str">
        <f t="shared" si="71"/>
        <v>E</v>
      </c>
      <c r="X21" s="18" t="str">
        <f t="shared" si="71"/>
        <v>X</v>
      </c>
      <c r="Y21" s="18" t="str">
        <f t="shared" si="71"/>
        <v>N</v>
      </c>
      <c r="Z21" s="18" t="str">
        <f t="shared" si="71"/>
        <v>Y</v>
      </c>
      <c r="AA21" s="18" t="str">
        <f t="shared" si="71"/>
        <v>F</v>
      </c>
      <c r="AB21" s="18" t="str">
        <f t="shared" si="71"/>
        <v>A</v>
      </c>
      <c r="AC21" s="18" t="str">
        <f t="shared" si="71"/>
        <v>G</v>
      </c>
      <c r="AD21" s="18" t="str">
        <f t="shared" si="71"/>
        <v>I</v>
      </c>
      <c r="AE21" s="18" t="str">
        <f t="shared" si="71"/>
        <v>B</v>
      </c>
      <c r="AF21" s="19" t="str">
        <f>CONCATENATE(F21,G21,H21,I21,J21,K21,L21,M21,N21,O21,P21,Q21,R21,S21,T21&amp;U21,V21,W21,X21,Y21,Z21,AA21,AB21,AC21,AD21,AE21)</f>
        <v>HCZMRVJPKSUDTQOLWEXNYFAGIB</v>
      </c>
      <c r="AH21" s="12" t="str">
        <f>F16&amp;F21</f>
        <v>AH</v>
      </c>
      <c r="AI21" s="12" t="str">
        <f t="shared" ref="AI21" si="72">G16&amp;G21</f>
        <v>BC</v>
      </c>
      <c r="AJ21" s="12" t="str">
        <f t="shared" ref="AJ21" si="73">H16&amp;H21</f>
        <v>CZ</v>
      </c>
      <c r="AK21" s="12" t="str">
        <f t="shared" ref="AK21" si="74">I16&amp;I21</f>
        <v>DM</v>
      </c>
      <c r="AL21" s="12" t="str">
        <f t="shared" ref="AL21" si="75">J16&amp;J21</f>
        <v>ER</v>
      </c>
      <c r="AM21" s="12" t="str">
        <f t="shared" ref="AM21" si="76">K16&amp;K21</f>
        <v>FV</v>
      </c>
      <c r="AN21" s="12" t="str">
        <f t="shared" ref="AN21" si="77">L16&amp;L21</f>
        <v>GJ</v>
      </c>
      <c r="AO21" s="12" t="str">
        <f t="shared" ref="AO21" si="78">M16&amp;M21</f>
        <v>HP</v>
      </c>
      <c r="AP21" s="12" t="str">
        <f t="shared" ref="AP21" si="79">N16&amp;N21</f>
        <v>IK</v>
      </c>
      <c r="AQ21" s="12" t="str">
        <f t="shared" ref="AQ21" si="80">O16&amp;O21</f>
        <v>JS</v>
      </c>
      <c r="AR21" s="12" t="str">
        <f t="shared" ref="AR21" si="81">P16&amp;P21</f>
        <v>KU</v>
      </c>
      <c r="AS21" s="12" t="str">
        <f t="shared" ref="AS21" si="82">Q16&amp;Q21</f>
        <v>LD</v>
      </c>
      <c r="AT21" s="12" t="str">
        <f t="shared" ref="AT21" si="83">R16&amp;R21</f>
        <v>MT</v>
      </c>
      <c r="AU21" s="12" t="str">
        <f t="shared" ref="AU21" si="84">S16&amp;S21</f>
        <v>NQ</v>
      </c>
      <c r="AV21" s="12" t="str">
        <f t="shared" ref="AV21" si="85">T16&amp;T21</f>
        <v>OO</v>
      </c>
      <c r="AW21" s="12" t="str">
        <f t="shared" ref="AW21" si="86">U16&amp;U21</f>
        <v>PL</v>
      </c>
      <c r="AX21" s="12" t="str">
        <f t="shared" ref="AX21" si="87">V16&amp;V21</f>
        <v>QW</v>
      </c>
      <c r="AY21" s="12" t="str">
        <f t="shared" ref="AY21" si="88">W16&amp;W21</f>
        <v>RE</v>
      </c>
      <c r="AZ21" s="12" t="str">
        <f t="shared" ref="AZ21" si="89">X16&amp;X21</f>
        <v>SX</v>
      </c>
      <c r="BA21" s="12" t="str">
        <f t="shared" ref="BA21" si="90">Y16&amp;Y21</f>
        <v>TN</v>
      </c>
      <c r="BB21" s="12" t="str">
        <f t="shared" ref="BB21" si="91">Z16&amp;Z21</f>
        <v>UY</v>
      </c>
      <c r="BC21" s="12" t="str">
        <f t="shared" ref="BC21" si="92">AA16&amp;AA21</f>
        <v>VF</v>
      </c>
      <c r="BD21" s="12" t="str">
        <f t="shared" ref="BD21" si="93">AB16&amp;AB21</f>
        <v>WA</v>
      </c>
      <c r="BE21" s="12" t="str">
        <f t="shared" ref="BE21" si="94">AC16&amp;AC21</f>
        <v>XG</v>
      </c>
      <c r="BF21" s="12" t="str">
        <f t="shared" ref="BF21" si="95">AD16&amp;AD21</f>
        <v>YI</v>
      </c>
      <c r="BG21" s="12" t="str">
        <f t="shared" ref="BG21" si="96">AE16&amp;AE21</f>
        <v>ZB</v>
      </c>
    </row>
    <row r="22" spans="1:59" x14ac:dyDescent="0.35">
      <c r="B22" s="21"/>
      <c r="C22" s="5"/>
      <c r="D22" s="5"/>
      <c r="E22" s="5" t="s">
        <v>385</v>
      </c>
      <c r="F22" s="6" t="s">
        <v>0</v>
      </c>
      <c r="G22" s="6" t="s">
        <v>1</v>
      </c>
      <c r="H22" s="6" t="s">
        <v>2</v>
      </c>
      <c r="I22" s="6" t="s">
        <v>3</v>
      </c>
      <c r="J22" s="6" t="s">
        <v>4</v>
      </c>
      <c r="K22" s="6" t="s">
        <v>5</v>
      </c>
      <c r="L22" s="6" t="s">
        <v>6</v>
      </c>
      <c r="M22" s="6" t="s">
        <v>7</v>
      </c>
      <c r="N22" s="6" t="s">
        <v>8</v>
      </c>
      <c r="O22" s="6" t="s">
        <v>9</v>
      </c>
      <c r="P22" s="6" t="s">
        <v>10</v>
      </c>
      <c r="Q22" s="6" t="s">
        <v>11</v>
      </c>
      <c r="R22" s="6" t="s">
        <v>12</v>
      </c>
      <c r="S22" s="6" t="s">
        <v>13</v>
      </c>
      <c r="T22" s="6" t="s">
        <v>14</v>
      </c>
      <c r="U22" s="6" t="s">
        <v>15</v>
      </c>
      <c r="V22" s="6" t="s">
        <v>16</v>
      </c>
      <c r="W22" s="6" t="s">
        <v>17</v>
      </c>
      <c r="X22" s="6" t="s">
        <v>18</v>
      </c>
      <c r="Y22" s="6" t="s">
        <v>19</v>
      </c>
      <c r="Z22" s="6" t="s">
        <v>20</v>
      </c>
      <c r="AA22" s="6" t="s">
        <v>21</v>
      </c>
      <c r="AB22" s="6" t="s">
        <v>22</v>
      </c>
      <c r="AC22" s="6" t="s">
        <v>23</v>
      </c>
      <c r="AD22" s="6" t="s">
        <v>24</v>
      </c>
      <c r="AE22" s="6" t="s">
        <v>25</v>
      </c>
      <c r="AF22" s="7"/>
      <c r="AH22" s="28" t="str">
        <f>HLOOKUP(AH16,$AH19:$BG20,2,FALSE)</f>
        <v>D</v>
      </c>
      <c r="AI22" s="28" t="str">
        <f>HLOOKUP(AI16,$AH19:$BG20,2,FALSE)</f>
        <v>J</v>
      </c>
      <c r="AJ22" s="28" t="str">
        <f t="shared" ref="AJ22:BG22" si="97">HLOOKUP(AJ16,$AH19:$BG20,2,FALSE)</f>
        <v>M</v>
      </c>
      <c r="AK22" s="28" t="str">
        <f t="shared" si="97"/>
        <v>X</v>
      </c>
      <c r="AL22" s="28" t="str">
        <f t="shared" si="97"/>
        <v>V</v>
      </c>
      <c r="AM22" s="28" t="str">
        <f t="shared" si="97"/>
        <v>G</v>
      </c>
      <c r="AN22" s="28" t="str">
        <f t="shared" si="97"/>
        <v>B</v>
      </c>
      <c r="AO22" s="28" t="str">
        <f t="shared" si="97"/>
        <v>P</v>
      </c>
      <c r="AP22" s="28" t="str">
        <f t="shared" si="97"/>
        <v>Y</v>
      </c>
      <c r="AQ22" s="28" t="str">
        <f t="shared" si="97"/>
        <v>S</v>
      </c>
      <c r="AR22" s="28" t="str">
        <f t="shared" si="97"/>
        <v>N</v>
      </c>
      <c r="AS22" s="28" t="str">
        <f t="shared" si="97"/>
        <v>E</v>
      </c>
      <c r="AT22" s="28" t="str">
        <f t="shared" si="97"/>
        <v>O</v>
      </c>
      <c r="AU22" s="28" t="str">
        <f t="shared" si="97"/>
        <v>W</v>
      </c>
      <c r="AV22" s="28" t="str">
        <f t="shared" si="97"/>
        <v>I</v>
      </c>
      <c r="AW22" s="28" t="str">
        <f t="shared" si="97"/>
        <v>T</v>
      </c>
      <c r="AX22" s="28" t="str">
        <f t="shared" si="97"/>
        <v>R</v>
      </c>
      <c r="AY22" s="28" t="str">
        <f t="shared" si="97"/>
        <v>A</v>
      </c>
      <c r="AZ22" s="28" t="str">
        <f t="shared" si="97"/>
        <v>Z</v>
      </c>
      <c r="BA22" s="28" t="str">
        <f t="shared" si="97"/>
        <v>F</v>
      </c>
      <c r="BB22" s="28" t="str">
        <f t="shared" si="97"/>
        <v>C</v>
      </c>
      <c r="BC22" s="28" t="str">
        <f t="shared" si="97"/>
        <v>L</v>
      </c>
      <c r="BD22" s="28" t="str">
        <f t="shared" si="97"/>
        <v>U</v>
      </c>
      <c r="BE22" s="28" t="str">
        <f t="shared" si="97"/>
        <v>K</v>
      </c>
      <c r="BF22" s="28" t="str">
        <f t="shared" si="97"/>
        <v>H</v>
      </c>
      <c r="BG22" s="28" t="str">
        <f t="shared" si="97"/>
        <v>Q</v>
      </c>
    </row>
    <row r="23" spans="1:59" x14ac:dyDescent="0.35">
      <c r="B23" s="22" t="s">
        <v>26</v>
      </c>
      <c r="C23" s="41" t="str">
        <f>n_Reflector</f>
        <v>B</v>
      </c>
      <c r="D23" s="11" t="str">
        <f>"Wide"&amp;C23</f>
        <v>WideB</v>
      </c>
      <c r="F23" s="1">
        <f>IF(ISERROR(FIND(F22,$AF21)),0,1)</f>
        <v>1</v>
      </c>
      <c r="G23" s="1">
        <f t="shared" ref="G23" si="98">IF(ISERROR(FIND(G22,$AF21)),0,1)</f>
        <v>1</v>
      </c>
      <c r="H23" s="1">
        <f t="shared" ref="H23" si="99">IF(ISERROR(FIND(H22,$AF21)),0,1)</f>
        <v>1</v>
      </c>
      <c r="I23" s="1">
        <f t="shared" ref="I23" si="100">IF(ISERROR(FIND(I22,$AF21)),0,1)</f>
        <v>1</v>
      </c>
      <c r="J23" s="1">
        <f t="shared" ref="J23" si="101">IF(ISERROR(FIND(J22,$AF21)),0,1)</f>
        <v>1</v>
      </c>
      <c r="K23" s="1">
        <f t="shared" ref="K23" si="102">IF(ISERROR(FIND(K22,$AF21)),0,1)</f>
        <v>1</v>
      </c>
      <c r="L23" s="1">
        <f t="shared" ref="L23" si="103">IF(ISERROR(FIND(L22,$AF21)),0,1)</f>
        <v>1</v>
      </c>
      <c r="M23" s="1">
        <f t="shared" ref="M23" si="104">IF(ISERROR(FIND(M22,$AF21)),0,1)</f>
        <v>1</v>
      </c>
      <c r="N23" s="1">
        <f t="shared" ref="N23" si="105">IF(ISERROR(FIND(N22,$AF21)),0,1)</f>
        <v>1</v>
      </c>
      <c r="O23" s="1">
        <f t="shared" ref="O23" si="106">IF(ISERROR(FIND(O22,$AF21)),0,1)</f>
        <v>1</v>
      </c>
      <c r="P23" s="1">
        <f t="shared" ref="P23" si="107">IF(ISERROR(FIND(P22,$AF21)),0,1)</f>
        <v>1</v>
      </c>
      <c r="Q23" s="1">
        <f t="shared" ref="Q23" si="108">IF(ISERROR(FIND(Q22,$AF21)),0,1)</f>
        <v>1</v>
      </c>
      <c r="R23" s="1">
        <f t="shared" ref="R23" si="109">IF(ISERROR(FIND(R22,$AF21)),0,1)</f>
        <v>1</v>
      </c>
      <c r="S23" s="1">
        <f t="shared" ref="S23" si="110">IF(ISERROR(FIND(S22,$AF21)),0,1)</f>
        <v>1</v>
      </c>
      <c r="T23" s="1">
        <f t="shared" ref="T23" si="111">IF(ISERROR(FIND(T22,$AF21)),0,1)</f>
        <v>1</v>
      </c>
      <c r="U23" s="1">
        <f t="shared" ref="U23" si="112">IF(ISERROR(FIND(U22,$AF21)),0,1)</f>
        <v>1</v>
      </c>
      <c r="V23" s="1">
        <f t="shared" ref="V23" si="113">IF(ISERROR(FIND(V22,$AF21)),0,1)</f>
        <v>1</v>
      </c>
      <c r="W23" s="1">
        <f t="shared" ref="W23" si="114">IF(ISERROR(FIND(W22,$AF21)),0,1)</f>
        <v>1</v>
      </c>
      <c r="X23" s="1">
        <f t="shared" ref="X23" si="115">IF(ISERROR(FIND(X22,$AF21)),0,1)</f>
        <v>1</v>
      </c>
      <c r="Y23" s="1">
        <f t="shared" ref="Y23" si="116">IF(ISERROR(FIND(Y22,$AF21)),0,1)</f>
        <v>1</v>
      </c>
      <c r="Z23" s="1">
        <f t="shared" ref="Z23" si="117">IF(ISERROR(FIND(Z22,$AF21)),0,1)</f>
        <v>1</v>
      </c>
      <c r="AA23" s="1">
        <f t="shared" ref="AA23" si="118">IF(ISERROR(FIND(AA22,$AF21)),0,1)</f>
        <v>1</v>
      </c>
      <c r="AB23" s="1">
        <f t="shared" ref="AB23" si="119">IF(ISERROR(FIND(AB22,$AF21)),0,1)</f>
        <v>1</v>
      </c>
      <c r="AC23" s="1">
        <f t="shared" ref="AC23" si="120">IF(ISERROR(FIND(AC22,$AF21)),0,1)</f>
        <v>1</v>
      </c>
      <c r="AD23" s="1">
        <f t="shared" ref="AD23" si="121">IF(ISERROR(FIND(AD22,$AF21)),0,1)</f>
        <v>1</v>
      </c>
      <c r="AE23" s="1">
        <f t="shared" ref="AE23" si="122">IF(ISERROR(FIND(AE22,$AF21)),0,1)</f>
        <v>1</v>
      </c>
      <c r="AF23" s="10"/>
      <c r="AH23" s="28" t="str">
        <f>HLOOKUP(AH22,$AH25:$BG26,2,FALSE)</f>
        <v>H</v>
      </c>
      <c r="AI23" s="28" t="str">
        <f t="shared" ref="AI23:BG23" si="123">HLOOKUP(AI22,$AH25:$BG26,2,FALSE)</f>
        <v>X</v>
      </c>
      <c r="AJ23" s="28" t="str">
        <f t="shared" si="123"/>
        <v>O</v>
      </c>
      <c r="AK23" s="28" t="str">
        <f t="shared" si="123"/>
        <v>J</v>
      </c>
      <c r="AL23" s="28" t="str">
        <f t="shared" si="123"/>
        <v>W</v>
      </c>
      <c r="AM23" s="28" t="str">
        <f t="shared" si="123"/>
        <v>L</v>
      </c>
      <c r="AN23" s="28" t="str">
        <f t="shared" si="123"/>
        <v>R</v>
      </c>
      <c r="AO23" s="28" t="str">
        <f t="shared" si="123"/>
        <v>I</v>
      </c>
      <c r="AP23" s="28" t="str">
        <f t="shared" si="123"/>
        <v>A</v>
      </c>
      <c r="AQ23" s="28" t="str">
        <f t="shared" si="123"/>
        <v>F</v>
      </c>
      <c r="AR23" s="28" t="str">
        <f t="shared" si="123"/>
        <v>K</v>
      </c>
      <c r="AS23" s="28" t="str">
        <f t="shared" si="123"/>
        <v>Q</v>
      </c>
      <c r="AT23" s="28" t="str">
        <f t="shared" si="123"/>
        <v>M</v>
      </c>
      <c r="AU23" s="28" t="str">
        <f t="shared" si="123"/>
        <v>V</v>
      </c>
      <c r="AV23" s="28" t="str">
        <f t="shared" si="123"/>
        <v>P</v>
      </c>
      <c r="AW23" s="28" t="str">
        <f t="shared" si="123"/>
        <v>Z</v>
      </c>
      <c r="AX23" s="28" t="str">
        <f t="shared" si="123"/>
        <v>B</v>
      </c>
      <c r="AY23" s="28" t="str">
        <f t="shared" si="123"/>
        <v>Y</v>
      </c>
      <c r="AZ23" s="28" t="str">
        <f t="shared" si="123"/>
        <v>T</v>
      </c>
      <c r="BA23" s="28" t="str">
        <f t="shared" si="123"/>
        <v>S</v>
      </c>
      <c r="BB23" s="28" t="str">
        <f t="shared" si="123"/>
        <v>U</v>
      </c>
      <c r="BC23" s="28" t="str">
        <f t="shared" si="123"/>
        <v>G</v>
      </c>
      <c r="BD23" s="28" t="str">
        <f t="shared" si="123"/>
        <v>C</v>
      </c>
      <c r="BE23" s="28" t="str">
        <f t="shared" si="123"/>
        <v>N</v>
      </c>
      <c r="BF23" s="28" t="str">
        <f t="shared" si="123"/>
        <v>D</v>
      </c>
      <c r="BG23" s="28" t="str">
        <f t="shared" si="123"/>
        <v>E</v>
      </c>
    </row>
    <row r="24" spans="1:59" ht="15" thickBot="1" x14ac:dyDescent="0.4">
      <c r="B24" s="23"/>
      <c r="C24" s="17"/>
      <c r="D24" s="17"/>
      <c r="E24" s="17"/>
      <c r="F24" s="24" t="str">
        <f t="shared" ref="F24:AE24" si="124">IF(F23=1,VLOOKUP(nReflector&amp;"_"&amp;F22,nReflectorWide,4,FALSE),"")</f>
        <v>Y</v>
      </c>
      <c r="G24" s="24" t="str">
        <f t="shared" si="124"/>
        <v>R</v>
      </c>
      <c r="H24" s="24" t="str">
        <f t="shared" si="124"/>
        <v>U</v>
      </c>
      <c r="I24" s="24" t="str">
        <f t="shared" si="124"/>
        <v>H</v>
      </c>
      <c r="J24" s="24" t="str">
        <f t="shared" si="124"/>
        <v>Q</v>
      </c>
      <c r="K24" s="24" t="str">
        <f t="shared" si="124"/>
        <v>S</v>
      </c>
      <c r="L24" s="24" t="str">
        <f t="shared" si="124"/>
        <v>L</v>
      </c>
      <c r="M24" s="24" t="str">
        <f t="shared" si="124"/>
        <v>D</v>
      </c>
      <c r="N24" s="24" t="str">
        <f t="shared" si="124"/>
        <v>P</v>
      </c>
      <c r="O24" s="24" t="str">
        <f t="shared" si="124"/>
        <v>X</v>
      </c>
      <c r="P24" s="24" t="str">
        <f t="shared" si="124"/>
        <v>N</v>
      </c>
      <c r="Q24" s="24" t="str">
        <f t="shared" si="124"/>
        <v>G</v>
      </c>
      <c r="R24" s="24" t="str">
        <f t="shared" si="124"/>
        <v>O</v>
      </c>
      <c r="S24" s="24" t="str">
        <f t="shared" si="124"/>
        <v>K</v>
      </c>
      <c r="T24" s="24" t="str">
        <f t="shared" si="124"/>
        <v>M</v>
      </c>
      <c r="U24" s="24" t="str">
        <f t="shared" si="124"/>
        <v>I</v>
      </c>
      <c r="V24" s="24" t="str">
        <f t="shared" si="124"/>
        <v>E</v>
      </c>
      <c r="W24" s="24" t="str">
        <f t="shared" si="124"/>
        <v>B</v>
      </c>
      <c r="X24" s="24" t="str">
        <f t="shared" si="124"/>
        <v>F</v>
      </c>
      <c r="Y24" s="24" t="str">
        <f t="shared" si="124"/>
        <v>Z</v>
      </c>
      <c r="Z24" s="24" t="str">
        <f t="shared" si="124"/>
        <v>C</v>
      </c>
      <c r="AA24" s="24" t="str">
        <f t="shared" si="124"/>
        <v>W</v>
      </c>
      <c r="AB24" s="24" t="str">
        <f t="shared" si="124"/>
        <v>V</v>
      </c>
      <c r="AC24" s="24" t="str">
        <f t="shared" si="124"/>
        <v>J</v>
      </c>
      <c r="AD24" s="24" t="str">
        <f t="shared" si="124"/>
        <v>A</v>
      </c>
      <c r="AE24" s="24" t="str">
        <f t="shared" si="124"/>
        <v>T</v>
      </c>
      <c r="AF24" s="25" t="str">
        <f>CONCATENATE(F24,G24,H24,I24,J24,K24,L24,M24,N24,O24,P24,Q24,R24,S24,T24&amp;U24,V24,W24,X24,Y24,Z24,AA24,AB24,AC24,AD24,AE24)</f>
        <v>YRUHQSLDPXNGOKMIEBFZCWVJAT</v>
      </c>
      <c r="AH24" s="27" t="str">
        <f>F22&amp;F24</f>
        <v>AY</v>
      </c>
      <c r="AI24" s="27" t="str">
        <f t="shared" ref="AI24:BG24" si="125">G22&amp;G24</f>
        <v>BR</v>
      </c>
      <c r="AJ24" s="27" t="str">
        <f t="shared" si="125"/>
        <v>CU</v>
      </c>
      <c r="AK24" s="27" t="str">
        <f t="shared" si="125"/>
        <v>DH</v>
      </c>
      <c r="AL24" s="27" t="str">
        <f t="shared" si="125"/>
        <v>EQ</v>
      </c>
      <c r="AM24" s="27" t="str">
        <f t="shared" si="125"/>
        <v>FS</v>
      </c>
      <c r="AN24" s="27" t="str">
        <f t="shared" si="125"/>
        <v>GL</v>
      </c>
      <c r="AO24" s="27" t="str">
        <f t="shared" si="125"/>
        <v>HD</v>
      </c>
      <c r="AP24" s="27" t="str">
        <f t="shared" si="125"/>
        <v>IP</v>
      </c>
      <c r="AQ24" s="27" t="str">
        <f t="shared" si="125"/>
        <v>JX</v>
      </c>
      <c r="AR24" s="27" t="str">
        <f t="shared" si="125"/>
        <v>KN</v>
      </c>
      <c r="AS24" s="27" t="str">
        <f t="shared" si="125"/>
        <v>LG</v>
      </c>
      <c r="AT24" s="27" t="str">
        <f t="shared" si="125"/>
        <v>MO</v>
      </c>
      <c r="AU24" s="27" t="str">
        <f t="shared" si="125"/>
        <v>NK</v>
      </c>
      <c r="AV24" s="27" t="str">
        <f t="shared" si="125"/>
        <v>OM</v>
      </c>
      <c r="AW24" s="27" t="str">
        <f t="shared" si="125"/>
        <v>PI</v>
      </c>
      <c r="AX24" s="27" t="str">
        <f t="shared" si="125"/>
        <v>QE</v>
      </c>
      <c r="AY24" s="27" t="str">
        <f t="shared" si="125"/>
        <v>RB</v>
      </c>
      <c r="AZ24" s="27" t="str">
        <f t="shared" si="125"/>
        <v>SF</v>
      </c>
      <c r="BA24" s="27" t="str">
        <f t="shared" si="125"/>
        <v>TZ</v>
      </c>
      <c r="BB24" s="27" t="str">
        <f t="shared" si="125"/>
        <v>UC</v>
      </c>
      <c r="BC24" s="27" t="str">
        <f t="shared" si="125"/>
        <v>VW</v>
      </c>
      <c r="BD24" s="27" t="str">
        <f t="shared" si="125"/>
        <v>WV</v>
      </c>
      <c r="BE24" s="27" t="str">
        <f t="shared" si="125"/>
        <v>XJ</v>
      </c>
      <c r="BF24" s="27" t="str">
        <f t="shared" si="125"/>
        <v>YA</v>
      </c>
      <c r="BG24" s="27" t="str">
        <f t="shared" si="125"/>
        <v>ZT</v>
      </c>
    </row>
    <row r="25" spans="1:59" x14ac:dyDescent="0.35">
      <c r="B25" s="21"/>
      <c r="C25" s="4"/>
      <c r="D25" s="5"/>
      <c r="E25" s="5" t="s">
        <v>385</v>
      </c>
      <c r="F25" s="6" t="s">
        <v>0</v>
      </c>
      <c r="G25" s="6" t="s">
        <v>1</v>
      </c>
      <c r="H25" s="6" t="s">
        <v>2</v>
      </c>
      <c r="I25" s="6" t="s">
        <v>3</v>
      </c>
      <c r="J25" s="6" t="s">
        <v>4</v>
      </c>
      <c r="K25" s="6" t="s">
        <v>5</v>
      </c>
      <c r="L25" s="6" t="s">
        <v>6</v>
      </c>
      <c r="M25" s="6" t="s">
        <v>7</v>
      </c>
      <c r="N25" s="6" t="s">
        <v>8</v>
      </c>
      <c r="O25" s="6" t="s">
        <v>9</v>
      </c>
      <c r="P25" s="6" t="s">
        <v>10</v>
      </c>
      <c r="Q25" s="6" t="s">
        <v>11</v>
      </c>
      <c r="R25" s="6" t="s">
        <v>12</v>
      </c>
      <c r="S25" s="6" t="s">
        <v>13</v>
      </c>
      <c r="T25" s="6" t="s">
        <v>14</v>
      </c>
      <c r="U25" s="6" t="s">
        <v>15</v>
      </c>
      <c r="V25" s="6" t="s">
        <v>16</v>
      </c>
      <c r="W25" s="6" t="s">
        <v>17</v>
      </c>
      <c r="X25" s="6" t="s">
        <v>18</v>
      </c>
      <c r="Y25" s="6" t="s">
        <v>19</v>
      </c>
      <c r="Z25" s="6" t="s">
        <v>20</v>
      </c>
      <c r="AA25" s="6" t="s">
        <v>21</v>
      </c>
      <c r="AB25" s="6" t="s">
        <v>22</v>
      </c>
      <c r="AC25" s="6" t="s">
        <v>23</v>
      </c>
      <c r="AD25" s="6" t="s">
        <v>24</v>
      </c>
      <c r="AE25" s="6" t="s">
        <v>25</v>
      </c>
      <c r="AF25" s="7"/>
      <c r="AH25" s="28" t="str">
        <f>IF(LEN(AH24)=2,LEFT(AH24,1),"")</f>
        <v>A</v>
      </c>
      <c r="AI25" s="28" t="str">
        <f t="shared" ref="AI25:BG25" si="126">IF(LEN(AI24)=2,LEFT(AI24,1),"")</f>
        <v>B</v>
      </c>
      <c r="AJ25" s="28" t="str">
        <f t="shared" si="126"/>
        <v>C</v>
      </c>
      <c r="AK25" s="28" t="str">
        <f t="shared" si="126"/>
        <v>D</v>
      </c>
      <c r="AL25" s="28" t="str">
        <f t="shared" si="126"/>
        <v>E</v>
      </c>
      <c r="AM25" s="28" t="str">
        <f t="shared" si="126"/>
        <v>F</v>
      </c>
      <c r="AN25" s="28" t="str">
        <f t="shared" si="126"/>
        <v>G</v>
      </c>
      <c r="AO25" s="28" t="str">
        <f t="shared" si="126"/>
        <v>H</v>
      </c>
      <c r="AP25" s="28" t="str">
        <f t="shared" si="126"/>
        <v>I</v>
      </c>
      <c r="AQ25" s="28" t="str">
        <f t="shared" si="126"/>
        <v>J</v>
      </c>
      <c r="AR25" s="28" t="str">
        <f t="shared" si="126"/>
        <v>K</v>
      </c>
      <c r="AS25" s="28" t="str">
        <f t="shared" si="126"/>
        <v>L</v>
      </c>
      <c r="AT25" s="28" t="str">
        <f t="shared" si="126"/>
        <v>M</v>
      </c>
      <c r="AU25" s="28" t="str">
        <f t="shared" si="126"/>
        <v>N</v>
      </c>
      <c r="AV25" s="28" t="str">
        <f t="shared" si="126"/>
        <v>O</v>
      </c>
      <c r="AW25" s="28" t="str">
        <f t="shared" si="126"/>
        <v>P</v>
      </c>
      <c r="AX25" s="28" t="str">
        <f t="shared" si="126"/>
        <v>Q</v>
      </c>
      <c r="AY25" s="28" t="str">
        <f t="shared" si="126"/>
        <v>R</v>
      </c>
      <c r="AZ25" s="28" t="str">
        <f t="shared" si="126"/>
        <v>S</v>
      </c>
      <c r="BA25" s="28" t="str">
        <f t="shared" si="126"/>
        <v>T</v>
      </c>
      <c r="BB25" s="28" t="str">
        <f t="shared" si="126"/>
        <v>U</v>
      </c>
      <c r="BC25" s="28" t="str">
        <f t="shared" si="126"/>
        <v>V</v>
      </c>
      <c r="BD25" s="28" t="str">
        <f t="shared" si="126"/>
        <v>W</v>
      </c>
      <c r="BE25" s="28" t="str">
        <f t="shared" si="126"/>
        <v>X</v>
      </c>
      <c r="BF25" s="28" t="str">
        <f t="shared" si="126"/>
        <v>Y</v>
      </c>
      <c r="BG25" s="28" t="str">
        <f t="shared" si="126"/>
        <v>Z</v>
      </c>
    </row>
    <row r="26" spans="1:59" x14ac:dyDescent="0.35">
      <c r="B26" s="22"/>
      <c r="C26" s="8"/>
      <c r="F26" s="1">
        <f t="shared" ref="F26:AE26" si="127">IF(ISERROR(FIND(F25,$AF24)),0,1)</f>
        <v>1</v>
      </c>
      <c r="G26" s="1">
        <f t="shared" si="127"/>
        <v>1</v>
      </c>
      <c r="H26" s="1">
        <f t="shared" si="127"/>
        <v>1</v>
      </c>
      <c r="I26" s="1">
        <f t="shared" si="127"/>
        <v>1</v>
      </c>
      <c r="J26" s="1">
        <f t="shared" si="127"/>
        <v>1</v>
      </c>
      <c r="K26" s="1">
        <f t="shared" si="127"/>
        <v>1</v>
      </c>
      <c r="L26" s="1">
        <f t="shared" si="127"/>
        <v>1</v>
      </c>
      <c r="M26" s="1">
        <f t="shared" si="127"/>
        <v>1</v>
      </c>
      <c r="N26" s="1">
        <f t="shared" si="127"/>
        <v>1</v>
      </c>
      <c r="O26" s="1">
        <f t="shared" si="127"/>
        <v>1</v>
      </c>
      <c r="P26" s="1">
        <f t="shared" si="127"/>
        <v>1</v>
      </c>
      <c r="Q26" s="1">
        <f t="shared" si="127"/>
        <v>1</v>
      </c>
      <c r="R26" s="1">
        <f t="shared" si="127"/>
        <v>1</v>
      </c>
      <c r="S26" s="1">
        <f t="shared" si="127"/>
        <v>1</v>
      </c>
      <c r="T26" s="1">
        <f t="shared" si="127"/>
        <v>1</v>
      </c>
      <c r="U26" s="1">
        <f t="shared" si="127"/>
        <v>1</v>
      </c>
      <c r="V26" s="1">
        <f t="shared" si="127"/>
        <v>1</v>
      </c>
      <c r="W26" s="1">
        <f t="shared" si="127"/>
        <v>1</v>
      </c>
      <c r="X26" s="1">
        <f t="shared" si="127"/>
        <v>1</v>
      </c>
      <c r="Y26" s="1">
        <f t="shared" si="127"/>
        <v>1</v>
      </c>
      <c r="Z26" s="1">
        <f t="shared" si="127"/>
        <v>1</v>
      </c>
      <c r="AA26" s="1">
        <f t="shared" si="127"/>
        <v>1</v>
      </c>
      <c r="AB26" s="1">
        <f t="shared" si="127"/>
        <v>1</v>
      </c>
      <c r="AC26" s="1">
        <f t="shared" si="127"/>
        <v>1</v>
      </c>
      <c r="AD26" s="1">
        <f t="shared" si="127"/>
        <v>1</v>
      </c>
      <c r="AE26" s="1">
        <f t="shared" si="127"/>
        <v>1</v>
      </c>
      <c r="AF26" s="10"/>
      <c r="AH26" s="28" t="str">
        <f>IF(LEN(AH24)=2,RIGHT(AH24,1),"")</f>
        <v>Y</v>
      </c>
      <c r="AI26" s="28" t="str">
        <f t="shared" ref="AI26:BG26" si="128">IF(LEN(AI24)=2,RIGHT(AI24,1),"")</f>
        <v>R</v>
      </c>
      <c r="AJ26" s="28" t="str">
        <f t="shared" si="128"/>
        <v>U</v>
      </c>
      <c r="AK26" s="28" t="str">
        <f t="shared" si="128"/>
        <v>H</v>
      </c>
      <c r="AL26" s="28" t="str">
        <f t="shared" si="128"/>
        <v>Q</v>
      </c>
      <c r="AM26" s="28" t="str">
        <f t="shared" si="128"/>
        <v>S</v>
      </c>
      <c r="AN26" s="28" t="str">
        <f t="shared" si="128"/>
        <v>L</v>
      </c>
      <c r="AO26" s="28" t="str">
        <f t="shared" si="128"/>
        <v>D</v>
      </c>
      <c r="AP26" s="28" t="str">
        <f t="shared" si="128"/>
        <v>P</v>
      </c>
      <c r="AQ26" s="28" t="str">
        <f t="shared" si="128"/>
        <v>X</v>
      </c>
      <c r="AR26" s="28" t="str">
        <f t="shared" si="128"/>
        <v>N</v>
      </c>
      <c r="AS26" s="28" t="str">
        <f t="shared" si="128"/>
        <v>G</v>
      </c>
      <c r="AT26" s="28" t="str">
        <f t="shared" si="128"/>
        <v>O</v>
      </c>
      <c r="AU26" s="28" t="str">
        <f t="shared" si="128"/>
        <v>K</v>
      </c>
      <c r="AV26" s="28" t="str">
        <f t="shared" si="128"/>
        <v>M</v>
      </c>
      <c r="AW26" s="28" t="str">
        <f t="shared" si="128"/>
        <v>I</v>
      </c>
      <c r="AX26" s="28" t="str">
        <f t="shared" si="128"/>
        <v>E</v>
      </c>
      <c r="AY26" s="28" t="str">
        <f t="shared" si="128"/>
        <v>B</v>
      </c>
      <c r="AZ26" s="28" t="str">
        <f t="shared" si="128"/>
        <v>F</v>
      </c>
      <c r="BA26" s="28" t="str">
        <f t="shared" si="128"/>
        <v>Z</v>
      </c>
      <c r="BB26" s="28" t="str">
        <f t="shared" si="128"/>
        <v>C</v>
      </c>
      <c r="BC26" s="28" t="str">
        <f t="shared" si="128"/>
        <v>W</v>
      </c>
      <c r="BD26" s="28" t="str">
        <f t="shared" si="128"/>
        <v>V</v>
      </c>
      <c r="BE26" s="28" t="str">
        <f t="shared" si="128"/>
        <v>J</v>
      </c>
      <c r="BF26" s="28" t="str">
        <f t="shared" si="128"/>
        <v>A</v>
      </c>
      <c r="BG26" s="28" t="str">
        <f t="shared" si="128"/>
        <v>T</v>
      </c>
    </row>
    <row r="27" spans="1:59" x14ac:dyDescent="0.35">
      <c r="B27" s="22" t="s">
        <v>382</v>
      </c>
      <c r="C27" s="26" t="str">
        <f>"R"&amp;C18</f>
        <v>R1</v>
      </c>
      <c r="D27" s="11">
        <f>D18</f>
        <v>5</v>
      </c>
      <c r="E27" s="11">
        <f>E18</f>
        <v>5</v>
      </c>
      <c r="F27" s="12" t="str">
        <f>F18</f>
        <v>E</v>
      </c>
      <c r="G27" s="13" t="str">
        <f t="shared" ref="G27:AE27" si="129">VLOOKUP(F27,nNextLetter,2,FALSE)</f>
        <v>F</v>
      </c>
      <c r="H27" s="13" t="str">
        <f t="shared" si="129"/>
        <v>G</v>
      </c>
      <c r="I27" s="13" t="str">
        <f t="shared" si="129"/>
        <v>H</v>
      </c>
      <c r="J27" s="13" t="str">
        <f t="shared" si="129"/>
        <v>I</v>
      </c>
      <c r="K27" s="13" t="str">
        <f t="shared" si="129"/>
        <v>J</v>
      </c>
      <c r="L27" s="13" t="str">
        <f t="shared" si="129"/>
        <v>K</v>
      </c>
      <c r="M27" s="13" t="str">
        <f t="shared" si="129"/>
        <v>L</v>
      </c>
      <c r="N27" s="13" t="str">
        <f t="shared" si="129"/>
        <v>M</v>
      </c>
      <c r="O27" s="13" t="str">
        <f t="shared" si="129"/>
        <v>N</v>
      </c>
      <c r="P27" s="13" t="str">
        <f t="shared" si="129"/>
        <v>O</v>
      </c>
      <c r="Q27" s="13" t="str">
        <f t="shared" si="129"/>
        <v>P</v>
      </c>
      <c r="R27" s="13" t="str">
        <f t="shared" si="129"/>
        <v>Q</v>
      </c>
      <c r="S27" s="13" t="str">
        <f t="shared" si="129"/>
        <v>R</v>
      </c>
      <c r="T27" s="13" t="str">
        <f t="shared" si="129"/>
        <v>S</v>
      </c>
      <c r="U27" s="13" t="str">
        <f t="shared" si="129"/>
        <v>T</v>
      </c>
      <c r="V27" s="13" t="str">
        <f t="shared" si="129"/>
        <v>U</v>
      </c>
      <c r="W27" s="13" t="str">
        <f t="shared" si="129"/>
        <v>V</v>
      </c>
      <c r="X27" s="13" t="str">
        <f t="shared" si="129"/>
        <v>W</v>
      </c>
      <c r="Y27" s="13" t="str">
        <f t="shared" si="129"/>
        <v>X</v>
      </c>
      <c r="Z27" s="13" t="str">
        <f t="shared" si="129"/>
        <v>Y</v>
      </c>
      <c r="AA27" s="13" t="str">
        <f t="shared" si="129"/>
        <v>Z</v>
      </c>
      <c r="AB27" s="13" t="str">
        <f t="shared" si="129"/>
        <v>A</v>
      </c>
      <c r="AC27" s="13" t="str">
        <f t="shared" si="129"/>
        <v>B</v>
      </c>
      <c r="AD27" s="13" t="str">
        <f t="shared" si="129"/>
        <v>C</v>
      </c>
      <c r="AE27" s="13" t="str">
        <f t="shared" si="129"/>
        <v>D</v>
      </c>
      <c r="AF27" s="10"/>
    </row>
    <row r="28" spans="1:59" x14ac:dyDescent="0.35">
      <c r="B28" s="22"/>
      <c r="C28" s="8"/>
      <c r="E28" t="s">
        <v>386</v>
      </c>
      <c r="F28" s="14" t="str">
        <f t="shared" ref="F28:AE28" si="130">IF(F26=1,VLOOKUP(nCurPosL+nRingOffsetL+(CODE(F25)-nCharOffset)-1,nNum2Let,2,FALSE),"")</f>
        <v>E</v>
      </c>
      <c r="G28" s="14" t="str">
        <f t="shared" si="130"/>
        <v>F</v>
      </c>
      <c r="H28" s="14" t="str">
        <f t="shared" si="130"/>
        <v>G</v>
      </c>
      <c r="I28" s="14" t="str">
        <f t="shared" si="130"/>
        <v>H</v>
      </c>
      <c r="J28" s="14" t="str">
        <f t="shared" si="130"/>
        <v>I</v>
      </c>
      <c r="K28" s="14" t="str">
        <f t="shared" si="130"/>
        <v>J</v>
      </c>
      <c r="L28" s="14" t="str">
        <f t="shared" si="130"/>
        <v>K</v>
      </c>
      <c r="M28" s="14" t="str">
        <f t="shared" si="130"/>
        <v>L</v>
      </c>
      <c r="N28" s="14" t="str">
        <f t="shared" si="130"/>
        <v>M</v>
      </c>
      <c r="O28" s="14" t="str">
        <f t="shared" si="130"/>
        <v>N</v>
      </c>
      <c r="P28" s="14" t="str">
        <f t="shared" si="130"/>
        <v>O</v>
      </c>
      <c r="Q28" s="14" t="str">
        <f t="shared" si="130"/>
        <v>P</v>
      </c>
      <c r="R28" s="14" t="str">
        <f t="shared" si="130"/>
        <v>Q</v>
      </c>
      <c r="S28" s="14" t="str">
        <f t="shared" si="130"/>
        <v>R</v>
      </c>
      <c r="T28" s="14" t="str">
        <f t="shared" si="130"/>
        <v>S</v>
      </c>
      <c r="U28" s="14" t="str">
        <f t="shared" si="130"/>
        <v>T</v>
      </c>
      <c r="V28" s="14" t="str">
        <f t="shared" si="130"/>
        <v>U</v>
      </c>
      <c r="W28" s="14" t="str">
        <f t="shared" si="130"/>
        <v>V</v>
      </c>
      <c r="X28" s="14" t="str">
        <f t="shared" si="130"/>
        <v>W</v>
      </c>
      <c r="Y28" s="14" t="str">
        <f t="shared" si="130"/>
        <v>X</v>
      </c>
      <c r="Z28" s="14" t="str">
        <f t="shared" si="130"/>
        <v>Y</v>
      </c>
      <c r="AA28" s="14" t="str">
        <f t="shared" si="130"/>
        <v>Z</v>
      </c>
      <c r="AB28" s="14" t="str">
        <f t="shared" si="130"/>
        <v>A</v>
      </c>
      <c r="AC28" s="14" t="str">
        <f t="shared" si="130"/>
        <v>B</v>
      </c>
      <c r="AD28" s="14" t="str">
        <f t="shared" si="130"/>
        <v>C</v>
      </c>
      <c r="AE28" s="14" t="str">
        <f t="shared" si="130"/>
        <v>D</v>
      </c>
      <c r="AF28" s="10"/>
      <c r="AH28" s="28" t="str">
        <f t="shared" ref="AH28:BG28" si="131">IF(LEN(AH30)=2,LEFT(AH30,1),"")</f>
        <v>A</v>
      </c>
      <c r="AI28" s="28" t="str">
        <f t="shared" si="131"/>
        <v>B</v>
      </c>
      <c r="AJ28" s="28" t="str">
        <f t="shared" si="131"/>
        <v>C</v>
      </c>
      <c r="AK28" s="28" t="str">
        <f t="shared" si="131"/>
        <v>D</v>
      </c>
      <c r="AL28" s="28" t="str">
        <f t="shared" si="131"/>
        <v>E</v>
      </c>
      <c r="AM28" s="28" t="str">
        <f t="shared" si="131"/>
        <v>F</v>
      </c>
      <c r="AN28" s="28" t="str">
        <f t="shared" si="131"/>
        <v>G</v>
      </c>
      <c r="AO28" s="28" t="str">
        <f t="shared" si="131"/>
        <v>H</v>
      </c>
      <c r="AP28" s="28" t="str">
        <f t="shared" si="131"/>
        <v>I</v>
      </c>
      <c r="AQ28" s="28" t="str">
        <f t="shared" si="131"/>
        <v>J</v>
      </c>
      <c r="AR28" s="28" t="str">
        <f t="shared" si="131"/>
        <v>K</v>
      </c>
      <c r="AS28" s="28" t="str">
        <f t="shared" si="131"/>
        <v>L</v>
      </c>
      <c r="AT28" s="28" t="str">
        <f t="shared" si="131"/>
        <v>M</v>
      </c>
      <c r="AU28" s="28" t="str">
        <f t="shared" si="131"/>
        <v>N</v>
      </c>
      <c r="AV28" s="28" t="str">
        <f t="shared" si="131"/>
        <v>O</v>
      </c>
      <c r="AW28" s="28" t="str">
        <f t="shared" si="131"/>
        <v>P</v>
      </c>
      <c r="AX28" s="28" t="str">
        <f t="shared" si="131"/>
        <v>Q</v>
      </c>
      <c r="AY28" s="28" t="str">
        <f t="shared" si="131"/>
        <v>R</v>
      </c>
      <c r="AZ28" s="28" t="str">
        <f t="shared" si="131"/>
        <v>S</v>
      </c>
      <c r="BA28" s="28" t="str">
        <f t="shared" si="131"/>
        <v>T</v>
      </c>
      <c r="BB28" s="28" t="str">
        <f t="shared" si="131"/>
        <v>U</v>
      </c>
      <c r="BC28" s="28" t="str">
        <f t="shared" si="131"/>
        <v>V</v>
      </c>
      <c r="BD28" s="28" t="str">
        <f t="shared" si="131"/>
        <v>W</v>
      </c>
      <c r="BE28" s="28" t="str">
        <f t="shared" si="131"/>
        <v>X</v>
      </c>
      <c r="BF28" s="28" t="str">
        <f t="shared" si="131"/>
        <v>Y</v>
      </c>
      <c r="BG28" s="28" t="str">
        <f t="shared" si="131"/>
        <v>Z</v>
      </c>
    </row>
    <row r="29" spans="1:59" x14ac:dyDescent="0.35">
      <c r="B29" s="22"/>
      <c r="C29" s="8"/>
      <c r="E29" t="s">
        <v>387</v>
      </c>
      <c r="F29" s="15" t="str">
        <f t="shared" ref="F29:AE29" si="132">IF(F26=1,VLOOKUP(nRotorL_Rev&amp;F28,nRotorRev,4,FALSE),"")</f>
        <v>A</v>
      </c>
      <c r="G29" s="15" t="str">
        <f t="shared" si="132"/>
        <v>D</v>
      </c>
      <c r="H29" s="15" t="str">
        <f t="shared" si="132"/>
        <v>F</v>
      </c>
      <c r="I29" s="15" t="str">
        <f t="shared" si="132"/>
        <v>P</v>
      </c>
      <c r="J29" s="15" t="str">
        <f t="shared" si="132"/>
        <v>V</v>
      </c>
      <c r="K29" s="15" t="str">
        <f t="shared" si="132"/>
        <v>Z</v>
      </c>
      <c r="L29" s="15" t="str">
        <f t="shared" si="132"/>
        <v>B</v>
      </c>
      <c r="M29" s="15" t="str">
        <f t="shared" si="132"/>
        <v>E</v>
      </c>
      <c r="N29" s="15" t="str">
        <f t="shared" si="132"/>
        <v>C</v>
      </c>
      <c r="O29" s="15" t="str">
        <f t="shared" si="132"/>
        <v>K</v>
      </c>
      <c r="P29" s="15" t="str">
        <f t="shared" si="132"/>
        <v>M</v>
      </c>
      <c r="Q29" s="15" t="str">
        <f t="shared" si="132"/>
        <v>T</v>
      </c>
      <c r="R29" s="15" t="str">
        <f t="shared" si="132"/>
        <v>H</v>
      </c>
      <c r="S29" s="15" t="str">
        <f t="shared" si="132"/>
        <v>X</v>
      </c>
      <c r="T29" s="15" t="str">
        <f t="shared" si="132"/>
        <v>S</v>
      </c>
      <c r="U29" s="15" t="str">
        <f t="shared" si="132"/>
        <v>L</v>
      </c>
      <c r="V29" s="15" t="str">
        <f t="shared" si="132"/>
        <v>R</v>
      </c>
      <c r="W29" s="15" t="str">
        <f t="shared" si="132"/>
        <v>I</v>
      </c>
      <c r="X29" s="15" t="str">
        <f t="shared" si="132"/>
        <v>N</v>
      </c>
      <c r="Y29" s="15" t="str">
        <f t="shared" si="132"/>
        <v>Q</v>
      </c>
      <c r="Z29" s="15" t="str">
        <f t="shared" si="132"/>
        <v>O</v>
      </c>
      <c r="AA29" s="15" t="str">
        <f t="shared" si="132"/>
        <v>J</v>
      </c>
      <c r="AB29" s="15" t="str">
        <f t="shared" si="132"/>
        <v>U</v>
      </c>
      <c r="AC29" s="15" t="str">
        <f t="shared" si="132"/>
        <v>W</v>
      </c>
      <c r="AD29" s="15" t="str">
        <f t="shared" si="132"/>
        <v>Y</v>
      </c>
      <c r="AE29" s="15" t="str">
        <f t="shared" si="132"/>
        <v>G</v>
      </c>
      <c r="AF29" s="10"/>
      <c r="AH29" s="28" t="str">
        <f t="shared" ref="AH29:BG29" si="133">IF(LEN(AH30)=2,RIGHT(AH30,1),"")</f>
        <v>W</v>
      </c>
      <c r="AI29" s="28" t="str">
        <f t="shared" si="133"/>
        <v>Z</v>
      </c>
      <c r="AJ29" s="28" t="str">
        <f t="shared" si="133"/>
        <v>B</v>
      </c>
      <c r="AK29" s="28" t="str">
        <f t="shared" si="133"/>
        <v>L</v>
      </c>
      <c r="AL29" s="28" t="str">
        <f t="shared" si="133"/>
        <v>R</v>
      </c>
      <c r="AM29" s="28" t="str">
        <f t="shared" si="133"/>
        <v>V</v>
      </c>
      <c r="AN29" s="28" t="str">
        <f t="shared" si="133"/>
        <v>X</v>
      </c>
      <c r="AO29" s="28" t="str">
        <f t="shared" si="133"/>
        <v>A</v>
      </c>
      <c r="AP29" s="28" t="str">
        <f t="shared" si="133"/>
        <v>Y</v>
      </c>
      <c r="AQ29" s="28" t="str">
        <f t="shared" si="133"/>
        <v>G</v>
      </c>
      <c r="AR29" s="28" t="str">
        <f t="shared" si="133"/>
        <v>I</v>
      </c>
      <c r="AS29" s="28" t="str">
        <f t="shared" si="133"/>
        <v>P</v>
      </c>
      <c r="AT29" s="28" t="str">
        <f t="shared" si="133"/>
        <v>D</v>
      </c>
      <c r="AU29" s="28" t="str">
        <f t="shared" si="133"/>
        <v>T</v>
      </c>
      <c r="AV29" s="28" t="str">
        <f t="shared" si="133"/>
        <v>O</v>
      </c>
      <c r="AW29" s="28" t="str">
        <f t="shared" si="133"/>
        <v>H</v>
      </c>
      <c r="AX29" s="28" t="str">
        <f t="shared" si="133"/>
        <v>N</v>
      </c>
      <c r="AY29" s="28" t="str">
        <f t="shared" si="133"/>
        <v>E</v>
      </c>
      <c r="AZ29" s="28" t="str">
        <f t="shared" si="133"/>
        <v>J</v>
      </c>
      <c r="BA29" s="28" t="str">
        <f t="shared" si="133"/>
        <v>M</v>
      </c>
      <c r="BB29" s="28" t="str">
        <f t="shared" si="133"/>
        <v>K</v>
      </c>
      <c r="BC29" s="28" t="str">
        <f t="shared" si="133"/>
        <v>F</v>
      </c>
      <c r="BD29" s="28" t="str">
        <f t="shared" si="133"/>
        <v>Q</v>
      </c>
      <c r="BE29" s="28" t="str">
        <f t="shared" si="133"/>
        <v>S</v>
      </c>
      <c r="BF29" s="28" t="str">
        <f t="shared" si="133"/>
        <v>U</v>
      </c>
      <c r="BG29" s="28" t="str">
        <f t="shared" si="133"/>
        <v>C</v>
      </c>
    </row>
    <row r="30" spans="1:59" ht="15" thickBot="1" x14ac:dyDescent="0.4">
      <c r="B30" s="23"/>
      <c r="C30" s="16"/>
      <c r="D30" s="17"/>
      <c r="E30" s="17" t="s">
        <v>388</v>
      </c>
      <c r="F30" s="18" t="str">
        <f t="shared" ref="F30:AE30" si="134">IF(F26=1,IF(CODE(F29)-CODE(F28)&lt;0,VLOOKUP((CODE(F29)-CODE(F28)+26)+(CODE(F25)-nCharOffset),nNum2Let,2,FALSE),VLOOKUP((CODE(F29)-CODE(F28))+(CODE(F25)-nCharOffset),nNum2Let,2,FALSE)),"")</f>
        <v>W</v>
      </c>
      <c r="G30" s="18" t="str">
        <f t="shared" si="134"/>
        <v>Z</v>
      </c>
      <c r="H30" s="18" t="str">
        <f t="shared" si="134"/>
        <v>B</v>
      </c>
      <c r="I30" s="18" t="str">
        <f t="shared" si="134"/>
        <v>L</v>
      </c>
      <c r="J30" s="18" t="str">
        <f t="shared" si="134"/>
        <v>R</v>
      </c>
      <c r="K30" s="18" t="str">
        <f t="shared" si="134"/>
        <v>V</v>
      </c>
      <c r="L30" s="18" t="str">
        <f t="shared" si="134"/>
        <v>X</v>
      </c>
      <c r="M30" s="18" t="str">
        <f t="shared" si="134"/>
        <v>A</v>
      </c>
      <c r="N30" s="18" t="str">
        <f t="shared" si="134"/>
        <v>Y</v>
      </c>
      <c r="O30" s="18" t="str">
        <f t="shared" si="134"/>
        <v>G</v>
      </c>
      <c r="P30" s="18" t="str">
        <f t="shared" si="134"/>
        <v>I</v>
      </c>
      <c r="Q30" s="18" t="str">
        <f t="shared" si="134"/>
        <v>P</v>
      </c>
      <c r="R30" s="18" t="str">
        <f t="shared" si="134"/>
        <v>D</v>
      </c>
      <c r="S30" s="18" t="str">
        <f t="shared" si="134"/>
        <v>T</v>
      </c>
      <c r="T30" s="18" t="str">
        <f t="shared" si="134"/>
        <v>O</v>
      </c>
      <c r="U30" s="18" t="str">
        <f t="shared" si="134"/>
        <v>H</v>
      </c>
      <c r="V30" s="18" t="str">
        <f t="shared" si="134"/>
        <v>N</v>
      </c>
      <c r="W30" s="18" t="str">
        <f t="shared" si="134"/>
        <v>E</v>
      </c>
      <c r="X30" s="18" t="str">
        <f t="shared" si="134"/>
        <v>J</v>
      </c>
      <c r="Y30" s="18" t="str">
        <f t="shared" si="134"/>
        <v>M</v>
      </c>
      <c r="Z30" s="18" t="str">
        <f t="shared" si="134"/>
        <v>K</v>
      </c>
      <c r="AA30" s="18" t="str">
        <f t="shared" si="134"/>
        <v>F</v>
      </c>
      <c r="AB30" s="18" t="str">
        <f t="shared" si="134"/>
        <v>Q</v>
      </c>
      <c r="AC30" s="18" t="str">
        <f t="shared" si="134"/>
        <v>S</v>
      </c>
      <c r="AD30" s="18" t="str">
        <f t="shared" si="134"/>
        <v>U</v>
      </c>
      <c r="AE30" s="18" t="str">
        <f t="shared" si="134"/>
        <v>C</v>
      </c>
      <c r="AF30" s="19" t="str">
        <f>CONCATENATE(F30,G30,H30,I30,J30,K30,L30,M30,N30,O30,P30,Q30,R30,S30,T30&amp;U30,V30,W30,X30,Y30,Z30,AA30,AB30,AC30,AD30,AE30)</f>
        <v>WZBLRVXAYGIPDTOHNEJMKFQSUC</v>
      </c>
      <c r="AH30" s="12" t="str">
        <f>F25&amp;F30</f>
        <v>AW</v>
      </c>
      <c r="AI30" s="12" t="str">
        <f t="shared" ref="AI30" si="135">G25&amp;G30</f>
        <v>BZ</v>
      </c>
      <c r="AJ30" s="12" t="str">
        <f t="shared" ref="AJ30" si="136">H25&amp;H30</f>
        <v>CB</v>
      </c>
      <c r="AK30" s="12" t="str">
        <f t="shared" ref="AK30" si="137">I25&amp;I30</f>
        <v>DL</v>
      </c>
      <c r="AL30" s="12" t="str">
        <f t="shared" ref="AL30" si="138">J25&amp;J30</f>
        <v>ER</v>
      </c>
      <c r="AM30" s="12" t="str">
        <f t="shared" ref="AM30" si="139">K25&amp;K30</f>
        <v>FV</v>
      </c>
      <c r="AN30" s="12" t="str">
        <f t="shared" ref="AN30" si="140">L25&amp;L30</f>
        <v>GX</v>
      </c>
      <c r="AO30" s="12" t="str">
        <f t="shared" ref="AO30" si="141">M25&amp;M30</f>
        <v>HA</v>
      </c>
      <c r="AP30" s="12" t="str">
        <f t="shared" ref="AP30" si="142">N25&amp;N30</f>
        <v>IY</v>
      </c>
      <c r="AQ30" s="12" t="str">
        <f t="shared" ref="AQ30" si="143">O25&amp;O30</f>
        <v>JG</v>
      </c>
      <c r="AR30" s="12" t="str">
        <f t="shared" ref="AR30" si="144">P25&amp;P30</f>
        <v>KI</v>
      </c>
      <c r="AS30" s="12" t="str">
        <f t="shared" ref="AS30" si="145">Q25&amp;Q30</f>
        <v>LP</v>
      </c>
      <c r="AT30" s="12" t="str">
        <f t="shared" ref="AT30" si="146">R25&amp;R30</f>
        <v>MD</v>
      </c>
      <c r="AU30" s="12" t="str">
        <f t="shared" ref="AU30" si="147">S25&amp;S30</f>
        <v>NT</v>
      </c>
      <c r="AV30" s="12" t="str">
        <f t="shared" ref="AV30" si="148">T25&amp;T30</f>
        <v>OO</v>
      </c>
      <c r="AW30" s="12" t="str">
        <f t="shared" ref="AW30" si="149">U25&amp;U30</f>
        <v>PH</v>
      </c>
      <c r="AX30" s="12" t="str">
        <f t="shared" ref="AX30" si="150">V25&amp;V30</f>
        <v>QN</v>
      </c>
      <c r="AY30" s="12" t="str">
        <f t="shared" ref="AY30" si="151">W25&amp;W30</f>
        <v>RE</v>
      </c>
      <c r="AZ30" s="12" t="str">
        <f t="shared" ref="AZ30" si="152">X25&amp;X30</f>
        <v>SJ</v>
      </c>
      <c r="BA30" s="12" t="str">
        <f t="shared" ref="BA30" si="153">Y25&amp;Y30</f>
        <v>TM</v>
      </c>
      <c r="BB30" s="12" t="str">
        <f t="shared" ref="BB30" si="154">Z25&amp;Z30</f>
        <v>UK</v>
      </c>
      <c r="BC30" s="12" t="str">
        <f t="shared" ref="BC30" si="155">AA25&amp;AA30</f>
        <v>VF</v>
      </c>
      <c r="BD30" s="12" t="str">
        <f t="shared" ref="BD30" si="156">AB25&amp;AB30</f>
        <v>WQ</v>
      </c>
      <c r="BE30" s="12" t="str">
        <f t="shared" ref="BE30" si="157">AC25&amp;AC30</f>
        <v>XS</v>
      </c>
      <c r="BF30" s="12" t="str">
        <f t="shared" ref="BF30" si="158">AD25&amp;AD30</f>
        <v>YU</v>
      </c>
      <c r="BG30" s="12" t="str">
        <f t="shared" ref="BG30" si="159">AE25&amp;AE30</f>
        <v>ZC</v>
      </c>
    </row>
    <row r="31" spans="1:59" x14ac:dyDescent="0.35">
      <c r="B31" s="21"/>
      <c r="C31" s="4"/>
      <c r="D31" s="5"/>
      <c r="E31" s="5" t="s">
        <v>385</v>
      </c>
      <c r="F31" s="6" t="s">
        <v>0</v>
      </c>
      <c r="G31" s="6" t="s">
        <v>1</v>
      </c>
      <c r="H31" s="6" t="s">
        <v>2</v>
      </c>
      <c r="I31" s="6" t="s">
        <v>3</v>
      </c>
      <c r="J31" s="6" t="s">
        <v>4</v>
      </c>
      <c r="K31" s="6" t="s">
        <v>5</v>
      </c>
      <c r="L31" s="6" t="s">
        <v>6</v>
      </c>
      <c r="M31" s="6" t="s">
        <v>7</v>
      </c>
      <c r="N31" s="6" t="s">
        <v>8</v>
      </c>
      <c r="O31" s="6" t="s">
        <v>9</v>
      </c>
      <c r="P31" s="6" t="s">
        <v>10</v>
      </c>
      <c r="Q31" s="6" t="s">
        <v>11</v>
      </c>
      <c r="R31" s="6" t="s">
        <v>12</v>
      </c>
      <c r="S31" s="6" t="s">
        <v>13</v>
      </c>
      <c r="T31" s="6" t="s">
        <v>14</v>
      </c>
      <c r="U31" s="6" t="s">
        <v>15</v>
      </c>
      <c r="V31" s="6" t="s">
        <v>16</v>
      </c>
      <c r="W31" s="6" t="s">
        <v>17</v>
      </c>
      <c r="X31" s="6" t="s">
        <v>18</v>
      </c>
      <c r="Y31" s="6" t="s">
        <v>19</v>
      </c>
      <c r="Z31" s="6" t="s">
        <v>20</v>
      </c>
      <c r="AA31" s="6" t="s">
        <v>21</v>
      </c>
      <c r="AB31" s="6" t="s">
        <v>22</v>
      </c>
      <c r="AC31" s="6" t="s">
        <v>23</v>
      </c>
      <c r="AD31" s="6" t="s">
        <v>24</v>
      </c>
      <c r="AE31" s="6" t="s">
        <v>25</v>
      </c>
      <c r="AF31" s="7"/>
      <c r="AH31" s="28" t="str">
        <f>HLOOKUP(AH23,$AH28:$BG29,2,FALSE)</f>
        <v>A</v>
      </c>
      <c r="AI31" s="28" t="str">
        <f>HLOOKUP(AI23,$AH28:$BG29,2,FALSE)</f>
        <v>S</v>
      </c>
      <c r="AJ31" s="28" t="str">
        <f t="shared" ref="AJ31:BG31" si="160">HLOOKUP(AJ23,$AH28:$BG29,2,FALSE)</f>
        <v>O</v>
      </c>
      <c r="AK31" s="28" t="str">
        <f t="shared" si="160"/>
        <v>G</v>
      </c>
      <c r="AL31" s="28" t="str">
        <f t="shared" si="160"/>
        <v>Q</v>
      </c>
      <c r="AM31" s="28" t="str">
        <f t="shared" si="160"/>
        <v>P</v>
      </c>
      <c r="AN31" s="28" t="str">
        <f t="shared" si="160"/>
        <v>E</v>
      </c>
      <c r="AO31" s="28" t="str">
        <f t="shared" si="160"/>
        <v>Y</v>
      </c>
      <c r="AP31" s="28" t="str">
        <f t="shared" si="160"/>
        <v>W</v>
      </c>
      <c r="AQ31" s="28" t="str">
        <f t="shared" si="160"/>
        <v>V</v>
      </c>
      <c r="AR31" s="28" t="str">
        <f t="shared" si="160"/>
        <v>I</v>
      </c>
      <c r="AS31" s="28" t="str">
        <f t="shared" si="160"/>
        <v>N</v>
      </c>
      <c r="AT31" s="28" t="str">
        <f t="shared" si="160"/>
        <v>D</v>
      </c>
      <c r="AU31" s="28" t="str">
        <f t="shared" si="160"/>
        <v>F</v>
      </c>
      <c r="AV31" s="28" t="str">
        <f t="shared" si="160"/>
        <v>H</v>
      </c>
      <c r="AW31" s="28" t="str">
        <f t="shared" si="160"/>
        <v>C</v>
      </c>
      <c r="AX31" s="28" t="str">
        <f t="shared" si="160"/>
        <v>Z</v>
      </c>
      <c r="AY31" s="28" t="str">
        <f t="shared" si="160"/>
        <v>U</v>
      </c>
      <c r="AZ31" s="28" t="str">
        <f t="shared" si="160"/>
        <v>M</v>
      </c>
      <c r="BA31" s="28" t="str">
        <f t="shared" si="160"/>
        <v>J</v>
      </c>
      <c r="BB31" s="28" t="str">
        <f t="shared" si="160"/>
        <v>K</v>
      </c>
      <c r="BC31" s="28" t="str">
        <f t="shared" si="160"/>
        <v>X</v>
      </c>
      <c r="BD31" s="28" t="str">
        <f t="shared" si="160"/>
        <v>B</v>
      </c>
      <c r="BE31" s="28" t="str">
        <f t="shared" si="160"/>
        <v>T</v>
      </c>
      <c r="BF31" s="28" t="str">
        <f t="shared" si="160"/>
        <v>L</v>
      </c>
      <c r="BG31" s="28" t="str">
        <f t="shared" si="160"/>
        <v>R</v>
      </c>
    </row>
    <row r="32" spans="1:59" x14ac:dyDescent="0.35">
      <c r="B32" s="22"/>
      <c r="C32" s="8"/>
      <c r="F32" s="1">
        <f>IF(ISERROR(FIND(F31,$AF30)),0,1)</f>
        <v>1</v>
      </c>
      <c r="G32" s="1">
        <f t="shared" ref="G32" si="161">IF(ISERROR(FIND(G31,$AF30)),0,1)</f>
        <v>1</v>
      </c>
      <c r="H32" s="1">
        <f t="shared" ref="H32" si="162">IF(ISERROR(FIND(H31,$AF30)),0,1)</f>
        <v>1</v>
      </c>
      <c r="I32" s="1">
        <f t="shared" ref="I32" si="163">IF(ISERROR(FIND(I31,$AF30)),0,1)</f>
        <v>1</v>
      </c>
      <c r="J32" s="1">
        <f t="shared" ref="J32" si="164">IF(ISERROR(FIND(J31,$AF30)),0,1)</f>
        <v>1</v>
      </c>
      <c r="K32" s="1">
        <f t="shared" ref="K32" si="165">IF(ISERROR(FIND(K31,$AF30)),0,1)</f>
        <v>1</v>
      </c>
      <c r="L32" s="1">
        <f t="shared" ref="L32" si="166">IF(ISERROR(FIND(L31,$AF30)),0,1)</f>
        <v>1</v>
      </c>
      <c r="M32" s="1">
        <f t="shared" ref="M32" si="167">IF(ISERROR(FIND(M31,$AF30)),0,1)</f>
        <v>1</v>
      </c>
      <c r="N32" s="1">
        <f t="shared" ref="N32" si="168">IF(ISERROR(FIND(N31,$AF30)),0,1)</f>
        <v>1</v>
      </c>
      <c r="O32" s="1">
        <f t="shared" ref="O32" si="169">IF(ISERROR(FIND(O31,$AF30)),0,1)</f>
        <v>1</v>
      </c>
      <c r="P32" s="1">
        <f t="shared" ref="P32" si="170">IF(ISERROR(FIND(P31,$AF30)),0,1)</f>
        <v>1</v>
      </c>
      <c r="Q32" s="1">
        <f t="shared" ref="Q32" si="171">IF(ISERROR(FIND(Q31,$AF30)),0,1)</f>
        <v>1</v>
      </c>
      <c r="R32" s="1">
        <f t="shared" ref="R32" si="172">IF(ISERROR(FIND(R31,$AF30)),0,1)</f>
        <v>1</v>
      </c>
      <c r="S32" s="1">
        <f t="shared" ref="S32" si="173">IF(ISERROR(FIND(S31,$AF30)),0,1)</f>
        <v>1</v>
      </c>
      <c r="T32" s="1">
        <f t="shared" ref="T32" si="174">IF(ISERROR(FIND(T31,$AF30)),0,1)</f>
        <v>1</v>
      </c>
      <c r="U32" s="1">
        <f t="shared" ref="U32" si="175">IF(ISERROR(FIND(U31,$AF30)),0,1)</f>
        <v>1</v>
      </c>
      <c r="V32" s="1">
        <f t="shared" ref="V32" si="176">IF(ISERROR(FIND(V31,$AF30)),0,1)</f>
        <v>1</v>
      </c>
      <c r="W32" s="1">
        <f t="shared" ref="W32" si="177">IF(ISERROR(FIND(W31,$AF30)),0,1)</f>
        <v>1</v>
      </c>
      <c r="X32" s="1">
        <f t="shared" ref="X32" si="178">IF(ISERROR(FIND(X31,$AF30)),0,1)</f>
        <v>1</v>
      </c>
      <c r="Y32" s="1">
        <f t="shared" ref="Y32" si="179">IF(ISERROR(FIND(Y31,$AF30)),0,1)</f>
        <v>1</v>
      </c>
      <c r="Z32" s="1">
        <f t="shared" ref="Z32" si="180">IF(ISERROR(FIND(Z31,$AF30)),0,1)</f>
        <v>1</v>
      </c>
      <c r="AA32" s="1">
        <f t="shared" ref="AA32" si="181">IF(ISERROR(FIND(AA31,$AF30)),0,1)</f>
        <v>1</v>
      </c>
      <c r="AB32" s="1">
        <f t="shared" ref="AB32" si="182">IF(ISERROR(FIND(AB31,$AF30)),0,1)</f>
        <v>1</v>
      </c>
      <c r="AC32" s="1">
        <f t="shared" ref="AC32" si="183">IF(ISERROR(FIND(AC31,$AF30)),0,1)</f>
        <v>1</v>
      </c>
      <c r="AD32" s="1">
        <f t="shared" ref="AD32" si="184">IF(ISERROR(FIND(AD31,$AF30)),0,1)</f>
        <v>1</v>
      </c>
      <c r="AE32" s="1">
        <f t="shared" ref="AE32" si="185">IF(ISERROR(FIND(AE31,$AF30)),0,1)</f>
        <v>1</v>
      </c>
      <c r="AF32" s="10"/>
    </row>
    <row r="33" spans="2:59" x14ac:dyDescent="0.35">
      <c r="B33" s="22" t="s">
        <v>383</v>
      </c>
      <c r="C33" s="26" t="str">
        <f>"R"&amp;C12</f>
        <v>R4</v>
      </c>
      <c r="D33" s="11">
        <f>D12</f>
        <v>142</v>
      </c>
      <c r="E33" s="11">
        <f>E12</f>
        <v>12</v>
      </c>
      <c r="F33" s="12" t="str">
        <f>F12</f>
        <v>L</v>
      </c>
      <c r="G33" s="13" t="str">
        <f t="shared" ref="G33:AE33" si="186">VLOOKUP(F33,nNextLetter,2,FALSE)</f>
        <v>M</v>
      </c>
      <c r="H33" s="13" t="str">
        <f t="shared" si="186"/>
        <v>N</v>
      </c>
      <c r="I33" s="13" t="str">
        <f t="shared" si="186"/>
        <v>O</v>
      </c>
      <c r="J33" s="13" t="str">
        <f t="shared" si="186"/>
        <v>P</v>
      </c>
      <c r="K33" s="13" t="str">
        <f t="shared" si="186"/>
        <v>Q</v>
      </c>
      <c r="L33" s="13" t="str">
        <f t="shared" si="186"/>
        <v>R</v>
      </c>
      <c r="M33" s="13" t="str">
        <f t="shared" si="186"/>
        <v>S</v>
      </c>
      <c r="N33" s="13" t="str">
        <f t="shared" si="186"/>
        <v>T</v>
      </c>
      <c r="O33" s="13" t="str">
        <f t="shared" si="186"/>
        <v>U</v>
      </c>
      <c r="P33" s="13" t="str">
        <f t="shared" si="186"/>
        <v>V</v>
      </c>
      <c r="Q33" s="13" t="str">
        <f t="shared" si="186"/>
        <v>W</v>
      </c>
      <c r="R33" s="13" t="str">
        <f t="shared" si="186"/>
        <v>X</v>
      </c>
      <c r="S33" s="13" t="str">
        <f t="shared" si="186"/>
        <v>Y</v>
      </c>
      <c r="T33" s="13" t="str">
        <f t="shared" si="186"/>
        <v>Z</v>
      </c>
      <c r="U33" s="13" t="str">
        <f t="shared" si="186"/>
        <v>A</v>
      </c>
      <c r="V33" s="13" t="str">
        <f t="shared" si="186"/>
        <v>B</v>
      </c>
      <c r="W33" s="13" t="str">
        <f t="shared" si="186"/>
        <v>C</v>
      </c>
      <c r="X33" s="13" t="str">
        <f t="shared" si="186"/>
        <v>D</v>
      </c>
      <c r="Y33" s="13" t="str">
        <f t="shared" si="186"/>
        <v>E</v>
      </c>
      <c r="Z33" s="13" t="str">
        <f t="shared" si="186"/>
        <v>F</v>
      </c>
      <c r="AA33" s="13" t="str">
        <f t="shared" si="186"/>
        <v>G</v>
      </c>
      <c r="AB33" s="13" t="str">
        <f t="shared" si="186"/>
        <v>H</v>
      </c>
      <c r="AC33" s="13" t="str">
        <f t="shared" si="186"/>
        <v>I</v>
      </c>
      <c r="AD33" s="13" t="str">
        <f t="shared" si="186"/>
        <v>J</v>
      </c>
      <c r="AE33" s="13" t="str">
        <f t="shared" si="186"/>
        <v>K</v>
      </c>
      <c r="AF33" s="10"/>
    </row>
    <row r="34" spans="2:59" x14ac:dyDescent="0.35">
      <c r="B34" s="22"/>
      <c r="C34" s="8"/>
      <c r="E34" t="s">
        <v>386</v>
      </c>
      <c r="F34" s="14" t="str">
        <f t="shared" ref="F34:AE34" si="187">IF(F32=1,VLOOKUP(nCurPosM+nRingOffsetM+(CODE(F31)-nCharOffset)-1,nNum2Let,2,FALSE),"")</f>
        <v>L</v>
      </c>
      <c r="G34" s="14" t="str">
        <f t="shared" si="187"/>
        <v>M</v>
      </c>
      <c r="H34" s="14" t="str">
        <f t="shared" si="187"/>
        <v>N</v>
      </c>
      <c r="I34" s="14" t="str">
        <f t="shared" si="187"/>
        <v>O</v>
      </c>
      <c r="J34" s="14" t="str">
        <f t="shared" si="187"/>
        <v>P</v>
      </c>
      <c r="K34" s="14" t="str">
        <f t="shared" si="187"/>
        <v>Q</v>
      </c>
      <c r="L34" s="14" t="str">
        <f t="shared" si="187"/>
        <v>R</v>
      </c>
      <c r="M34" s="14" t="str">
        <f t="shared" si="187"/>
        <v>S</v>
      </c>
      <c r="N34" s="14" t="str">
        <f t="shared" si="187"/>
        <v>T</v>
      </c>
      <c r="O34" s="14" t="str">
        <f t="shared" si="187"/>
        <v>U</v>
      </c>
      <c r="P34" s="14" t="str">
        <f t="shared" si="187"/>
        <v>V</v>
      </c>
      <c r="Q34" s="14" t="str">
        <f t="shared" si="187"/>
        <v>W</v>
      </c>
      <c r="R34" s="14" t="str">
        <f t="shared" si="187"/>
        <v>X</v>
      </c>
      <c r="S34" s="14" t="str">
        <f t="shared" si="187"/>
        <v>Y</v>
      </c>
      <c r="T34" s="14" t="str">
        <f t="shared" si="187"/>
        <v>Z</v>
      </c>
      <c r="U34" s="14" t="str">
        <f t="shared" si="187"/>
        <v>A</v>
      </c>
      <c r="V34" s="14" t="str">
        <f t="shared" si="187"/>
        <v>B</v>
      </c>
      <c r="W34" s="14" t="str">
        <f t="shared" si="187"/>
        <v>C</v>
      </c>
      <c r="X34" s="14" t="str">
        <f t="shared" si="187"/>
        <v>D</v>
      </c>
      <c r="Y34" s="14" t="str">
        <f t="shared" si="187"/>
        <v>E</v>
      </c>
      <c r="Z34" s="14" t="str">
        <f t="shared" si="187"/>
        <v>F</v>
      </c>
      <c r="AA34" s="14" t="str">
        <f t="shared" si="187"/>
        <v>G</v>
      </c>
      <c r="AB34" s="14" t="str">
        <f t="shared" si="187"/>
        <v>H</v>
      </c>
      <c r="AC34" s="14" t="str">
        <f t="shared" si="187"/>
        <v>I</v>
      </c>
      <c r="AD34" s="14" t="str">
        <f t="shared" si="187"/>
        <v>J</v>
      </c>
      <c r="AE34" s="14" t="str">
        <f t="shared" si="187"/>
        <v>K</v>
      </c>
      <c r="AF34" s="10"/>
      <c r="AH34" s="28" t="str">
        <f t="shared" ref="AH34:BG34" si="188">IF(LEN(AH36)=2,LEFT(AH36,1),"")</f>
        <v>A</v>
      </c>
      <c r="AI34" s="28" t="str">
        <f t="shared" si="188"/>
        <v>B</v>
      </c>
      <c r="AJ34" s="28" t="str">
        <f t="shared" si="188"/>
        <v>C</v>
      </c>
      <c r="AK34" s="28" t="str">
        <f t="shared" si="188"/>
        <v>D</v>
      </c>
      <c r="AL34" s="28" t="str">
        <f t="shared" si="188"/>
        <v>E</v>
      </c>
      <c r="AM34" s="28" t="str">
        <f t="shared" si="188"/>
        <v>F</v>
      </c>
      <c r="AN34" s="28" t="str">
        <f t="shared" si="188"/>
        <v>G</v>
      </c>
      <c r="AO34" s="28" t="str">
        <f t="shared" si="188"/>
        <v>H</v>
      </c>
      <c r="AP34" s="28" t="str">
        <f t="shared" si="188"/>
        <v>I</v>
      </c>
      <c r="AQ34" s="28" t="str">
        <f t="shared" si="188"/>
        <v>J</v>
      </c>
      <c r="AR34" s="28" t="str">
        <f t="shared" si="188"/>
        <v>K</v>
      </c>
      <c r="AS34" s="28" t="str">
        <f t="shared" si="188"/>
        <v>L</v>
      </c>
      <c r="AT34" s="28" t="str">
        <f t="shared" si="188"/>
        <v>M</v>
      </c>
      <c r="AU34" s="28" t="str">
        <f t="shared" si="188"/>
        <v>N</v>
      </c>
      <c r="AV34" s="28" t="str">
        <f t="shared" si="188"/>
        <v>O</v>
      </c>
      <c r="AW34" s="28" t="str">
        <f t="shared" si="188"/>
        <v>P</v>
      </c>
      <c r="AX34" s="28" t="str">
        <f t="shared" si="188"/>
        <v>Q</v>
      </c>
      <c r="AY34" s="28" t="str">
        <f t="shared" si="188"/>
        <v>R</v>
      </c>
      <c r="AZ34" s="28" t="str">
        <f t="shared" si="188"/>
        <v>S</v>
      </c>
      <c r="BA34" s="28" t="str">
        <f t="shared" si="188"/>
        <v>T</v>
      </c>
      <c r="BB34" s="28" t="str">
        <f t="shared" si="188"/>
        <v>U</v>
      </c>
      <c r="BC34" s="28" t="str">
        <f t="shared" si="188"/>
        <v>V</v>
      </c>
      <c r="BD34" s="28" t="str">
        <f t="shared" si="188"/>
        <v>W</v>
      </c>
      <c r="BE34" s="28" t="str">
        <f t="shared" si="188"/>
        <v>X</v>
      </c>
      <c r="BF34" s="28" t="str">
        <f t="shared" si="188"/>
        <v>Y</v>
      </c>
      <c r="BG34" s="28" t="str">
        <f t="shared" si="188"/>
        <v>Z</v>
      </c>
    </row>
    <row r="35" spans="2:59" x14ac:dyDescent="0.35">
      <c r="B35" s="22"/>
      <c r="C35" s="8"/>
      <c r="E35" t="s">
        <v>387</v>
      </c>
      <c r="F35" s="15" t="str">
        <f t="shared" ref="F35:AE35" si="189">IF(F32=1,VLOOKUP(nRotorM_Rev&amp;F34,nRotorRev,4,FALSE),"")</f>
        <v>P</v>
      </c>
      <c r="G35" s="15" t="str">
        <f t="shared" si="189"/>
        <v>X</v>
      </c>
      <c r="H35" s="15" t="str">
        <f t="shared" si="189"/>
        <v>Q</v>
      </c>
      <c r="I35" s="15" t="str">
        <f t="shared" si="189"/>
        <v>C</v>
      </c>
      <c r="J35" s="15" t="str">
        <f t="shared" si="189"/>
        <v>E</v>
      </c>
      <c r="K35" s="15" t="str">
        <f t="shared" si="189"/>
        <v>J</v>
      </c>
      <c r="L35" s="15" t="str">
        <f t="shared" si="189"/>
        <v>M</v>
      </c>
      <c r="M35" s="15" t="str">
        <f t="shared" si="189"/>
        <v>B</v>
      </c>
      <c r="N35" s="15" t="str">
        <f t="shared" si="189"/>
        <v>S</v>
      </c>
      <c r="O35" s="15" t="str">
        <f t="shared" si="189"/>
        <v>K</v>
      </c>
      <c r="P35" s="15" t="str">
        <f t="shared" si="189"/>
        <v>D</v>
      </c>
      <c r="Q35" s="15" t="str">
        <f t="shared" si="189"/>
        <v>Y</v>
      </c>
      <c r="R35" s="15" t="str">
        <f t="shared" si="189"/>
        <v>O</v>
      </c>
      <c r="S35" s="15" t="str">
        <f t="shared" si="189"/>
        <v>I</v>
      </c>
      <c r="T35" s="15" t="str">
        <f t="shared" si="189"/>
        <v>F</v>
      </c>
      <c r="U35" s="15" t="str">
        <f t="shared" si="189"/>
        <v>H</v>
      </c>
      <c r="V35" s="15" t="str">
        <f t="shared" si="189"/>
        <v>Z</v>
      </c>
      <c r="W35" s="15" t="str">
        <f t="shared" si="189"/>
        <v>W</v>
      </c>
      <c r="X35" s="15" t="str">
        <f t="shared" si="189"/>
        <v>V</v>
      </c>
      <c r="Y35" s="15" t="str">
        <f t="shared" si="189"/>
        <v>A</v>
      </c>
      <c r="Z35" s="15" t="str">
        <f t="shared" si="189"/>
        <v>R</v>
      </c>
      <c r="AA35" s="15" t="str">
        <f t="shared" si="189"/>
        <v>T</v>
      </c>
      <c r="AB35" s="15" t="str">
        <f t="shared" si="189"/>
        <v>N</v>
      </c>
      <c r="AC35" s="15" t="str">
        <f t="shared" si="189"/>
        <v>L</v>
      </c>
      <c r="AD35" s="15" t="str">
        <f t="shared" si="189"/>
        <v>G</v>
      </c>
      <c r="AE35" s="15" t="str">
        <f t="shared" si="189"/>
        <v>U</v>
      </c>
      <c r="AF35" s="10"/>
      <c r="AH35" s="28" t="str">
        <f t="shared" ref="AH35:BG35" si="190">IF(LEN(AH36)=2,RIGHT(AH36,1),"")</f>
        <v>E</v>
      </c>
      <c r="AI35" s="28" t="str">
        <f t="shared" si="190"/>
        <v>M</v>
      </c>
      <c r="AJ35" s="28" t="str">
        <f t="shared" si="190"/>
        <v>F</v>
      </c>
      <c r="AK35" s="28" t="str">
        <f t="shared" si="190"/>
        <v>R</v>
      </c>
      <c r="AL35" s="28" t="str">
        <f t="shared" si="190"/>
        <v>T</v>
      </c>
      <c r="AM35" s="28" t="str">
        <f t="shared" si="190"/>
        <v>Y</v>
      </c>
      <c r="AN35" s="28" t="str">
        <f t="shared" si="190"/>
        <v>B</v>
      </c>
      <c r="AO35" s="28" t="str">
        <f t="shared" si="190"/>
        <v>Q</v>
      </c>
      <c r="AP35" s="28" t="str">
        <f t="shared" si="190"/>
        <v>H</v>
      </c>
      <c r="AQ35" s="28" t="str">
        <f t="shared" si="190"/>
        <v>Z</v>
      </c>
      <c r="AR35" s="28" t="str">
        <f t="shared" si="190"/>
        <v>S</v>
      </c>
      <c r="AS35" s="28" t="str">
        <f t="shared" si="190"/>
        <v>N</v>
      </c>
      <c r="AT35" s="28" t="str">
        <f t="shared" si="190"/>
        <v>D</v>
      </c>
      <c r="AU35" s="28" t="str">
        <f t="shared" si="190"/>
        <v>X</v>
      </c>
      <c r="AV35" s="28" t="str">
        <f t="shared" si="190"/>
        <v>U</v>
      </c>
      <c r="AW35" s="28" t="str">
        <f t="shared" si="190"/>
        <v>W</v>
      </c>
      <c r="AX35" s="28" t="str">
        <f t="shared" si="190"/>
        <v>O</v>
      </c>
      <c r="AY35" s="28" t="str">
        <f t="shared" si="190"/>
        <v>L</v>
      </c>
      <c r="AZ35" s="28" t="str">
        <f t="shared" si="190"/>
        <v>K</v>
      </c>
      <c r="BA35" s="28" t="str">
        <f t="shared" si="190"/>
        <v>P</v>
      </c>
      <c r="BB35" s="28" t="str">
        <f t="shared" si="190"/>
        <v>G</v>
      </c>
      <c r="BC35" s="28" t="str">
        <f t="shared" si="190"/>
        <v>I</v>
      </c>
      <c r="BD35" s="28" t="str">
        <f t="shared" si="190"/>
        <v>C</v>
      </c>
      <c r="BE35" s="28" t="str">
        <f t="shared" si="190"/>
        <v>A</v>
      </c>
      <c r="BF35" s="28" t="str">
        <f t="shared" si="190"/>
        <v>V</v>
      </c>
      <c r="BG35" s="28" t="str">
        <f t="shared" si="190"/>
        <v>J</v>
      </c>
    </row>
    <row r="36" spans="2:59" ht="15" thickBot="1" x14ac:dyDescent="0.4">
      <c r="B36" s="23"/>
      <c r="C36" s="16"/>
      <c r="D36" s="17"/>
      <c r="E36" s="17" t="s">
        <v>388</v>
      </c>
      <c r="F36" s="18" t="str">
        <f t="shared" ref="F36:AE36" si="191">IF(F32=1,IF(CODE(F35)-CODE(F34)&lt;0,VLOOKUP((CODE(F35)-CODE(F34)+26)+(CODE(F31)-nCharOffset),nNum2Let,2,FALSE),VLOOKUP((CODE(F35)-CODE(F34))+(CODE(F31)-nCharOffset),nNum2Let,2,FALSE)),"")</f>
        <v>E</v>
      </c>
      <c r="G36" s="18" t="str">
        <f t="shared" si="191"/>
        <v>M</v>
      </c>
      <c r="H36" s="18" t="str">
        <f t="shared" si="191"/>
        <v>F</v>
      </c>
      <c r="I36" s="18" t="str">
        <f t="shared" si="191"/>
        <v>R</v>
      </c>
      <c r="J36" s="18" t="str">
        <f t="shared" si="191"/>
        <v>T</v>
      </c>
      <c r="K36" s="18" t="str">
        <f t="shared" si="191"/>
        <v>Y</v>
      </c>
      <c r="L36" s="18" t="str">
        <f t="shared" si="191"/>
        <v>B</v>
      </c>
      <c r="M36" s="18" t="str">
        <f t="shared" si="191"/>
        <v>Q</v>
      </c>
      <c r="N36" s="18" t="str">
        <f t="shared" si="191"/>
        <v>H</v>
      </c>
      <c r="O36" s="18" t="str">
        <f t="shared" si="191"/>
        <v>Z</v>
      </c>
      <c r="P36" s="18" t="str">
        <f t="shared" si="191"/>
        <v>S</v>
      </c>
      <c r="Q36" s="18" t="str">
        <f t="shared" si="191"/>
        <v>N</v>
      </c>
      <c r="R36" s="18" t="str">
        <f t="shared" si="191"/>
        <v>D</v>
      </c>
      <c r="S36" s="18" t="str">
        <f t="shared" si="191"/>
        <v>X</v>
      </c>
      <c r="T36" s="18" t="str">
        <f t="shared" si="191"/>
        <v>U</v>
      </c>
      <c r="U36" s="18" t="str">
        <f t="shared" si="191"/>
        <v>W</v>
      </c>
      <c r="V36" s="18" t="str">
        <f t="shared" si="191"/>
        <v>O</v>
      </c>
      <c r="W36" s="18" t="str">
        <f t="shared" si="191"/>
        <v>L</v>
      </c>
      <c r="X36" s="18" t="str">
        <f t="shared" si="191"/>
        <v>K</v>
      </c>
      <c r="Y36" s="18" t="str">
        <f t="shared" si="191"/>
        <v>P</v>
      </c>
      <c r="Z36" s="18" t="str">
        <f t="shared" si="191"/>
        <v>G</v>
      </c>
      <c r="AA36" s="18" t="str">
        <f t="shared" si="191"/>
        <v>I</v>
      </c>
      <c r="AB36" s="18" t="str">
        <f t="shared" si="191"/>
        <v>C</v>
      </c>
      <c r="AC36" s="18" t="str">
        <f t="shared" si="191"/>
        <v>A</v>
      </c>
      <c r="AD36" s="18" t="str">
        <f t="shared" si="191"/>
        <v>V</v>
      </c>
      <c r="AE36" s="18" t="str">
        <f t="shared" si="191"/>
        <v>J</v>
      </c>
      <c r="AF36" s="19" t="str">
        <f>CONCATENATE(F36,G36,H36,I36,J36,K36,L36,M36,N36,O36,P36,Q36,R36,S36,T36&amp;U36,V36,W36,X36,Y36,Z36,AA36,AB36,AC36,AD36,AE36)</f>
        <v>EMFRTYBQHZSNDXUWOLKPGICAVJ</v>
      </c>
      <c r="AH36" s="12" t="str">
        <f>F31&amp;F36</f>
        <v>AE</v>
      </c>
      <c r="AI36" s="12" t="str">
        <f t="shared" ref="AI36" si="192">G31&amp;G36</f>
        <v>BM</v>
      </c>
      <c r="AJ36" s="12" t="str">
        <f t="shared" ref="AJ36" si="193">H31&amp;H36</f>
        <v>CF</v>
      </c>
      <c r="AK36" s="12" t="str">
        <f t="shared" ref="AK36" si="194">I31&amp;I36</f>
        <v>DR</v>
      </c>
      <c r="AL36" s="12" t="str">
        <f t="shared" ref="AL36" si="195">J31&amp;J36</f>
        <v>ET</v>
      </c>
      <c r="AM36" s="12" t="str">
        <f t="shared" ref="AM36" si="196">K31&amp;K36</f>
        <v>FY</v>
      </c>
      <c r="AN36" s="12" t="str">
        <f t="shared" ref="AN36" si="197">L31&amp;L36</f>
        <v>GB</v>
      </c>
      <c r="AO36" s="12" t="str">
        <f t="shared" ref="AO36" si="198">M31&amp;M36</f>
        <v>HQ</v>
      </c>
      <c r="AP36" s="12" t="str">
        <f t="shared" ref="AP36" si="199">N31&amp;N36</f>
        <v>IH</v>
      </c>
      <c r="AQ36" s="12" t="str">
        <f t="shared" ref="AQ36" si="200">O31&amp;O36</f>
        <v>JZ</v>
      </c>
      <c r="AR36" s="12" t="str">
        <f t="shared" ref="AR36" si="201">P31&amp;P36</f>
        <v>KS</v>
      </c>
      <c r="AS36" s="12" t="str">
        <f t="shared" ref="AS36" si="202">Q31&amp;Q36</f>
        <v>LN</v>
      </c>
      <c r="AT36" s="12" t="str">
        <f t="shared" ref="AT36" si="203">R31&amp;R36</f>
        <v>MD</v>
      </c>
      <c r="AU36" s="12" t="str">
        <f t="shared" ref="AU36" si="204">S31&amp;S36</f>
        <v>NX</v>
      </c>
      <c r="AV36" s="12" t="str">
        <f t="shared" ref="AV36" si="205">T31&amp;T36</f>
        <v>OU</v>
      </c>
      <c r="AW36" s="12" t="str">
        <f t="shared" ref="AW36" si="206">U31&amp;U36</f>
        <v>PW</v>
      </c>
      <c r="AX36" s="12" t="str">
        <f t="shared" ref="AX36" si="207">V31&amp;V36</f>
        <v>QO</v>
      </c>
      <c r="AY36" s="12" t="str">
        <f t="shared" ref="AY36" si="208">W31&amp;W36</f>
        <v>RL</v>
      </c>
      <c r="AZ36" s="12" t="str">
        <f t="shared" ref="AZ36" si="209">X31&amp;X36</f>
        <v>SK</v>
      </c>
      <c r="BA36" s="12" t="str">
        <f t="shared" ref="BA36" si="210">Y31&amp;Y36</f>
        <v>TP</v>
      </c>
      <c r="BB36" s="12" t="str">
        <f t="shared" ref="BB36" si="211">Z31&amp;Z36</f>
        <v>UG</v>
      </c>
      <c r="BC36" s="12" t="str">
        <f t="shared" ref="BC36" si="212">AA31&amp;AA36</f>
        <v>VI</v>
      </c>
      <c r="BD36" s="12" t="str">
        <f t="shared" ref="BD36" si="213">AB31&amp;AB36</f>
        <v>WC</v>
      </c>
      <c r="BE36" s="12" t="str">
        <f t="shared" ref="BE36" si="214">AC31&amp;AC36</f>
        <v>XA</v>
      </c>
      <c r="BF36" s="12" t="str">
        <f t="shared" ref="BF36" si="215">AD31&amp;AD36</f>
        <v>YV</v>
      </c>
      <c r="BG36" s="12" t="str">
        <f t="shared" ref="BG36" si="216">AE31&amp;AE36</f>
        <v>ZJ</v>
      </c>
    </row>
    <row r="37" spans="2:59" x14ac:dyDescent="0.35">
      <c r="B37" s="21"/>
      <c r="C37" s="4"/>
      <c r="D37" s="5"/>
      <c r="E37" s="5" t="s">
        <v>385</v>
      </c>
      <c r="F37" s="6" t="s">
        <v>0</v>
      </c>
      <c r="G37" s="6" t="s">
        <v>1</v>
      </c>
      <c r="H37" s="6" t="s">
        <v>2</v>
      </c>
      <c r="I37" s="6" t="s">
        <v>3</v>
      </c>
      <c r="J37" s="6" t="s">
        <v>4</v>
      </c>
      <c r="K37" s="6" t="s">
        <v>5</v>
      </c>
      <c r="L37" s="6" t="s">
        <v>6</v>
      </c>
      <c r="M37" s="6" t="s">
        <v>7</v>
      </c>
      <c r="N37" s="6" t="s">
        <v>8</v>
      </c>
      <c r="O37" s="6" t="s">
        <v>9</v>
      </c>
      <c r="P37" s="6" t="s">
        <v>10</v>
      </c>
      <c r="Q37" s="6" t="s">
        <v>11</v>
      </c>
      <c r="R37" s="6" t="s">
        <v>12</v>
      </c>
      <c r="S37" s="6" t="s">
        <v>13</v>
      </c>
      <c r="T37" s="6" t="s">
        <v>14</v>
      </c>
      <c r="U37" s="6" t="s">
        <v>15</v>
      </c>
      <c r="V37" s="6" t="s">
        <v>16</v>
      </c>
      <c r="W37" s="6" t="s">
        <v>17</v>
      </c>
      <c r="X37" s="6" t="s">
        <v>18</v>
      </c>
      <c r="Y37" s="6" t="s">
        <v>19</v>
      </c>
      <c r="Z37" s="6" t="s">
        <v>20</v>
      </c>
      <c r="AA37" s="6" t="s">
        <v>21</v>
      </c>
      <c r="AB37" s="6" t="s">
        <v>22</v>
      </c>
      <c r="AC37" s="6" t="s">
        <v>23</v>
      </c>
      <c r="AD37" s="6" t="s">
        <v>24</v>
      </c>
      <c r="AE37" s="6" t="s">
        <v>25</v>
      </c>
      <c r="AF37" s="20"/>
      <c r="AH37" s="28" t="str">
        <f>HLOOKUP(AH31,$AH34:$BG35,2,FALSE)</f>
        <v>E</v>
      </c>
      <c r="AI37" s="28" t="str">
        <f>HLOOKUP(AI31,$AH34:$BG35,2,FALSE)</f>
        <v>K</v>
      </c>
      <c r="AJ37" s="28" t="str">
        <f>HLOOKUP(AJ31,$AH34:$BG35,2,FALSE)</f>
        <v>U</v>
      </c>
      <c r="AK37" s="28" t="str">
        <f t="shared" ref="AK37:BG37" si="217">HLOOKUP(AK31,$AH34:$BG35,2,FALSE)</f>
        <v>B</v>
      </c>
      <c r="AL37" s="28" t="str">
        <f t="shared" si="217"/>
        <v>O</v>
      </c>
      <c r="AM37" s="28" t="str">
        <f t="shared" si="217"/>
        <v>W</v>
      </c>
      <c r="AN37" s="28" t="str">
        <f t="shared" si="217"/>
        <v>T</v>
      </c>
      <c r="AO37" s="28" t="str">
        <f t="shared" si="217"/>
        <v>V</v>
      </c>
      <c r="AP37" s="28" t="str">
        <f t="shared" si="217"/>
        <v>C</v>
      </c>
      <c r="AQ37" s="28" t="str">
        <f t="shared" si="217"/>
        <v>I</v>
      </c>
      <c r="AR37" s="28" t="str">
        <f t="shared" si="217"/>
        <v>H</v>
      </c>
      <c r="AS37" s="28" t="str">
        <f t="shared" si="217"/>
        <v>X</v>
      </c>
      <c r="AT37" s="28" t="str">
        <f t="shared" si="217"/>
        <v>R</v>
      </c>
      <c r="AU37" s="28" t="str">
        <f t="shared" si="217"/>
        <v>Y</v>
      </c>
      <c r="AV37" s="28" t="str">
        <f t="shared" si="217"/>
        <v>Q</v>
      </c>
      <c r="AW37" s="28" t="str">
        <f t="shared" si="217"/>
        <v>F</v>
      </c>
      <c r="AX37" s="28" t="str">
        <f t="shared" si="217"/>
        <v>J</v>
      </c>
      <c r="AY37" s="28" t="str">
        <f t="shared" si="217"/>
        <v>G</v>
      </c>
      <c r="AZ37" s="28" t="str">
        <f t="shared" si="217"/>
        <v>D</v>
      </c>
      <c r="BA37" s="28" t="str">
        <f t="shared" si="217"/>
        <v>Z</v>
      </c>
      <c r="BB37" s="28" t="str">
        <f t="shared" si="217"/>
        <v>S</v>
      </c>
      <c r="BC37" s="28" t="str">
        <f t="shared" si="217"/>
        <v>A</v>
      </c>
      <c r="BD37" s="28" t="str">
        <f t="shared" si="217"/>
        <v>M</v>
      </c>
      <c r="BE37" s="28" t="str">
        <f t="shared" si="217"/>
        <v>P</v>
      </c>
      <c r="BF37" s="28" t="str">
        <f t="shared" si="217"/>
        <v>N</v>
      </c>
      <c r="BG37" s="28" t="str">
        <f t="shared" si="217"/>
        <v>L</v>
      </c>
    </row>
    <row r="38" spans="2:59" x14ac:dyDescent="0.35">
      <c r="B38" s="22"/>
      <c r="C38" s="8"/>
      <c r="F38" s="1">
        <f t="shared" ref="F38:AE38" si="218">IF(ISERROR(FIND(F37,$AF36)),0,1)</f>
        <v>1</v>
      </c>
      <c r="G38" s="1">
        <f t="shared" si="218"/>
        <v>1</v>
      </c>
      <c r="H38" s="1">
        <f t="shared" si="218"/>
        <v>1</v>
      </c>
      <c r="I38" s="1">
        <f t="shared" si="218"/>
        <v>1</v>
      </c>
      <c r="J38" s="1">
        <f t="shared" si="218"/>
        <v>1</v>
      </c>
      <c r="K38" s="1">
        <f t="shared" si="218"/>
        <v>1</v>
      </c>
      <c r="L38" s="1">
        <f t="shared" si="218"/>
        <v>1</v>
      </c>
      <c r="M38" s="1">
        <f t="shared" si="218"/>
        <v>1</v>
      </c>
      <c r="N38" s="1">
        <f t="shared" si="218"/>
        <v>1</v>
      </c>
      <c r="O38" s="1">
        <f t="shared" si="218"/>
        <v>1</v>
      </c>
      <c r="P38" s="1">
        <f t="shared" si="218"/>
        <v>1</v>
      </c>
      <c r="Q38" s="1">
        <f t="shared" si="218"/>
        <v>1</v>
      </c>
      <c r="R38" s="1">
        <f t="shared" si="218"/>
        <v>1</v>
      </c>
      <c r="S38" s="1">
        <f t="shared" si="218"/>
        <v>1</v>
      </c>
      <c r="T38" s="1">
        <f t="shared" si="218"/>
        <v>1</v>
      </c>
      <c r="U38" s="1">
        <f t="shared" si="218"/>
        <v>1</v>
      </c>
      <c r="V38" s="1">
        <f t="shared" si="218"/>
        <v>1</v>
      </c>
      <c r="W38" s="1">
        <f t="shared" si="218"/>
        <v>1</v>
      </c>
      <c r="X38" s="1">
        <f t="shared" si="218"/>
        <v>1</v>
      </c>
      <c r="Y38" s="1">
        <f t="shared" si="218"/>
        <v>1</v>
      </c>
      <c r="Z38" s="1">
        <f t="shared" si="218"/>
        <v>1</v>
      </c>
      <c r="AA38" s="1">
        <f t="shared" si="218"/>
        <v>1</v>
      </c>
      <c r="AB38" s="1">
        <f t="shared" si="218"/>
        <v>1</v>
      </c>
      <c r="AC38" s="1">
        <f t="shared" si="218"/>
        <v>1</v>
      </c>
      <c r="AD38" s="1">
        <f t="shared" si="218"/>
        <v>1</v>
      </c>
      <c r="AE38" s="1">
        <f t="shared" si="218"/>
        <v>1</v>
      </c>
      <c r="AF38" s="10"/>
    </row>
    <row r="39" spans="2:59" x14ac:dyDescent="0.35">
      <c r="B39" s="22" t="s">
        <v>384</v>
      </c>
      <c r="C39" s="26" t="str">
        <f>"R"&amp;C6</f>
        <v>R2</v>
      </c>
      <c r="D39" s="11">
        <f>D6</f>
        <v>3708</v>
      </c>
      <c r="E39" s="11">
        <f>E6</f>
        <v>16</v>
      </c>
      <c r="F39" s="12" t="str">
        <f>F6</f>
        <v>P</v>
      </c>
      <c r="G39" s="13" t="str">
        <f t="shared" ref="G39:AE39" si="219">VLOOKUP(F39,nNextLetter,2,FALSE)</f>
        <v>Q</v>
      </c>
      <c r="H39" s="13" t="str">
        <f t="shared" si="219"/>
        <v>R</v>
      </c>
      <c r="I39" s="13" t="str">
        <f t="shared" si="219"/>
        <v>S</v>
      </c>
      <c r="J39" s="13" t="str">
        <f t="shared" si="219"/>
        <v>T</v>
      </c>
      <c r="K39" s="13" t="str">
        <f t="shared" si="219"/>
        <v>U</v>
      </c>
      <c r="L39" s="13" t="str">
        <f t="shared" si="219"/>
        <v>V</v>
      </c>
      <c r="M39" s="13" t="str">
        <f t="shared" si="219"/>
        <v>W</v>
      </c>
      <c r="N39" s="13" t="str">
        <f t="shared" si="219"/>
        <v>X</v>
      </c>
      <c r="O39" s="13" t="str">
        <f t="shared" si="219"/>
        <v>Y</v>
      </c>
      <c r="P39" s="13" t="str">
        <f t="shared" si="219"/>
        <v>Z</v>
      </c>
      <c r="Q39" s="13" t="str">
        <f t="shared" si="219"/>
        <v>A</v>
      </c>
      <c r="R39" s="13" t="str">
        <f t="shared" si="219"/>
        <v>B</v>
      </c>
      <c r="S39" s="13" t="str">
        <f t="shared" si="219"/>
        <v>C</v>
      </c>
      <c r="T39" s="13" t="str">
        <f t="shared" si="219"/>
        <v>D</v>
      </c>
      <c r="U39" s="13" t="str">
        <f t="shared" si="219"/>
        <v>E</v>
      </c>
      <c r="V39" s="13" t="str">
        <f t="shared" si="219"/>
        <v>F</v>
      </c>
      <c r="W39" s="13" t="str">
        <f t="shared" si="219"/>
        <v>G</v>
      </c>
      <c r="X39" s="13" t="str">
        <f t="shared" si="219"/>
        <v>H</v>
      </c>
      <c r="Y39" s="13" t="str">
        <f t="shared" si="219"/>
        <v>I</v>
      </c>
      <c r="Z39" s="13" t="str">
        <f t="shared" si="219"/>
        <v>J</v>
      </c>
      <c r="AA39" s="13" t="str">
        <f t="shared" si="219"/>
        <v>K</v>
      </c>
      <c r="AB39" s="13" t="str">
        <f t="shared" si="219"/>
        <v>L</v>
      </c>
      <c r="AC39" s="13" t="str">
        <f t="shared" si="219"/>
        <v>M</v>
      </c>
      <c r="AD39" s="13" t="str">
        <f t="shared" si="219"/>
        <v>N</v>
      </c>
      <c r="AE39" s="13" t="str">
        <f t="shared" si="219"/>
        <v>O</v>
      </c>
      <c r="AF39" s="10"/>
    </row>
    <row r="40" spans="2:59" x14ac:dyDescent="0.35">
      <c r="B40" s="22"/>
      <c r="C40" s="8"/>
      <c r="E40" t="s">
        <v>386</v>
      </c>
      <c r="F40" s="14" t="str">
        <f>IF(F38=1,VLOOKUP(nCurPosR+nRingOffsetR+(CODE(F37)-nCharOffset)-1,nNum2Let,2,FALSE),"")</f>
        <v>P</v>
      </c>
      <c r="G40" s="14" t="str">
        <f t="shared" ref="G40:AE40" si="220">IF(G38=1,VLOOKUP(nCurPosR+nRingOffsetR+(CODE(G37)-nCharOffset)-1,nNum2Let,2,FALSE),"")</f>
        <v>Q</v>
      </c>
      <c r="H40" s="14" t="str">
        <f t="shared" si="220"/>
        <v>R</v>
      </c>
      <c r="I40" s="14" t="str">
        <f t="shared" si="220"/>
        <v>S</v>
      </c>
      <c r="J40" s="14" t="str">
        <f t="shared" si="220"/>
        <v>T</v>
      </c>
      <c r="K40" s="14" t="str">
        <f t="shared" si="220"/>
        <v>U</v>
      </c>
      <c r="L40" s="14" t="str">
        <f t="shared" si="220"/>
        <v>V</v>
      </c>
      <c r="M40" s="14" t="str">
        <f t="shared" si="220"/>
        <v>W</v>
      </c>
      <c r="N40" s="14" t="str">
        <f t="shared" si="220"/>
        <v>X</v>
      </c>
      <c r="O40" s="14" t="str">
        <f t="shared" si="220"/>
        <v>Y</v>
      </c>
      <c r="P40" s="14" t="str">
        <f t="shared" si="220"/>
        <v>Z</v>
      </c>
      <c r="Q40" s="14" t="str">
        <f t="shared" si="220"/>
        <v>A</v>
      </c>
      <c r="R40" s="14" t="str">
        <f t="shared" si="220"/>
        <v>B</v>
      </c>
      <c r="S40" s="14" t="str">
        <f t="shared" si="220"/>
        <v>C</v>
      </c>
      <c r="T40" s="14" t="str">
        <f t="shared" si="220"/>
        <v>D</v>
      </c>
      <c r="U40" s="14" t="str">
        <f t="shared" si="220"/>
        <v>E</v>
      </c>
      <c r="V40" s="14" t="str">
        <f t="shared" si="220"/>
        <v>F</v>
      </c>
      <c r="W40" s="14" t="str">
        <f t="shared" si="220"/>
        <v>G</v>
      </c>
      <c r="X40" s="14" t="str">
        <f t="shared" si="220"/>
        <v>H</v>
      </c>
      <c r="Y40" s="14" t="str">
        <f t="shared" si="220"/>
        <v>I</v>
      </c>
      <c r="Z40" s="14" t="str">
        <f t="shared" si="220"/>
        <v>J</v>
      </c>
      <c r="AA40" s="14" t="str">
        <f t="shared" si="220"/>
        <v>K</v>
      </c>
      <c r="AB40" s="14" t="str">
        <f t="shared" si="220"/>
        <v>L</v>
      </c>
      <c r="AC40" s="14" t="str">
        <f t="shared" si="220"/>
        <v>M</v>
      </c>
      <c r="AD40" s="14" t="str">
        <f t="shared" si="220"/>
        <v>N</v>
      </c>
      <c r="AE40" s="14" t="str">
        <f t="shared" si="220"/>
        <v>O</v>
      </c>
      <c r="AF40" s="10"/>
      <c r="AH40" s="28" t="str">
        <f t="shared" ref="AH40:BG40" si="221">IF(LEN(AH42)=2,LEFT(AH42,1),"")</f>
        <v>A</v>
      </c>
      <c r="AI40" s="28" t="str">
        <f t="shared" si="221"/>
        <v>B</v>
      </c>
      <c r="AJ40" s="28" t="str">
        <f t="shared" si="221"/>
        <v>C</v>
      </c>
      <c r="AK40" s="28" t="str">
        <f t="shared" si="221"/>
        <v>D</v>
      </c>
      <c r="AL40" s="28" t="str">
        <f t="shared" si="221"/>
        <v>E</v>
      </c>
      <c r="AM40" s="28" t="str">
        <f t="shared" si="221"/>
        <v>F</v>
      </c>
      <c r="AN40" s="28" t="str">
        <f t="shared" si="221"/>
        <v>G</v>
      </c>
      <c r="AO40" s="28" t="str">
        <f t="shared" si="221"/>
        <v>H</v>
      </c>
      <c r="AP40" s="28" t="str">
        <f t="shared" si="221"/>
        <v>I</v>
      </c>
      <c r="AQ40" s="28" t="str">
        <f t="shared" si="221"/>
        <v>J</v>
      </c>
      <c r="AR40" s="28" t="str">
        <f t="shared" si="221"/>
        <v>K</v>
      </c>
      <c r="AS40" s="28" t="str">
        <f t="shared" si="221"/>
        <v>L</v>
      </c>
      <c r="AT40" s="28" t="str">
        <f t="shared" si="221"/>
        <v>M</v>
      </c>
      <c r="AU40" s="28" t="str">
        <f t="shared" si="221"/>
        <v>N</v>
      </c>
      <c r="AV40" s="28" t="str">
        <f t="shared" si="221"/>
        <v>O</v>
      </c>
      <c r="AW40" s="28" t="str">
        <f t="shared" si="221"/>
        <v>P</v>
      </c>
      <c r="AX40" s="28" t="str">
        <f t="shared" si="221"/>
        <v>Q</v>
      </c>
      <c r="AY40" s="28" t="str">
        <f t="shared" si="221"/>
        <v>R</v>
      </c>
      <c r="AZ40" s="28" t="str">
        <f t="shared" si="221"/>
        <v>S</v>
      </c>
      <c r="BA40" s="28" t="str">
        <f t="shared" si="221"/>
        <v>T</v>
      </c>
      <c r="BB40" s="28" t="str">
        <f t="shared" si="221"/>
        <v>U</v>
      </c>
      <c r="BC40" s="28" t="str">
        <f t="shared" si="221"/>
        <v>V</v>
      </c>
      <c r="BD40" s="28" t="str">
        <f t="shared" si="221"/>
        <v>W</v>
      </c>
      <c r="BE40" s="28" t="str">
        <f t="shared" si="221"/>
        <v>X</v>
      </c>
      <c r="BF40" s="28" t="str">
        <f t="shared" si="221"/>
        <v>Y</v>
      </c>
      <c r="BG40" s="28" t="str">
        <f t="shared" si="221"/>
        <v>Z</v>
      </c>
    </row>
    <row r="41" spans="2:59" x14ac:dyDescent="0.35">
      <c r="B41" s="22"/>
      <c r="C41" s="8"/>
      <c r="E41" t="s">
        <v>387</v>
      </c>
      <c r="F41" s="15" t="str">
        <f t="shared" ref="F41:AE41" si="222">IF(F38=1,VLOOKUP(nRotorR_Rev&amp;F40,nRotorRev,4,FALSE),"")</f>
        <v>U</v>
      </c>
      <c r="G41" s="15" t="str">
        <f t="shared" si="222"/>
        <v>Q</v>
      </c>
      <c r="H41" s="15" t="str">
        <f t="shared" si="222"/>
        <v>G</v>
      </c>
      <c r="I41" s="15" t="str">
        <f t="shared" si="222"/>
        <v>E</v>
      </c>
      <c r="J41" s="15" t="str">
        <f t="shared" si="222"/>
        <v>N</v>
      </c>
      <c r="K41" s="15" t="str">
        <f t="shared" si="222"/>
        <v>H</v>
      </c>
      <c r="L41" s="15" t="str">
        <f t="shared" si="222"/>
        <v>X</v>
      </c>
      <c r="M41" s="15" t="str">
        <f t="shared" si="222"/>
        <v>M</v>
      </c>
      <c r="N41" s="15" t="str">
        <f t="shared" si="222"/>
        <v>I</v>
      </c>
      <c r="O41" s="15" t="str">
        <f t="shared" si="222"/>
        <v>V</v>
      </c>
      <c r="P41" s="15" t="str">
        <f t="shared" si="222"/>
        <v>S</v>
      </c>
      <c r="Q41" s="15" t="str">
        <f t="shared" si="222"/>
        <v>A</v>
      </c>
      <c r="R41" s="15" t="str">
        <f t="shared" si="222"/>
        <v>J</v>
      </c>
      <c r="S41" s="15" t="str">
        <f t="shared" si="222"/>
        <v>P</v>
      </c>
      <c r="T41" s="15" t="str">
        <f t="shared" si="222"/>
        <v>C</v>
      </c>
      <c r="U41" s="15" t="str">
        <f t="shared" si="222"/>
        <v>Z</v>
      </c>
      <c r="V41" s="15" t="str">
        <f t="shared" si="222"/>
        <v>W</v>
      </c>
      <c r="W41" s="15" t="str">
        <f t="shared" si="222"/>
        <v>R</v>
      </c>
      <c r="X41" s="15" t="str">
        <f t="shared" si="222"/>
        <v>L</v>
      </c>
      <c r="Y41" s="15" t="str">
        <f t="shared" si="222"/>
        <v>F</v>
      </c>
      <c r="Z41" s="15" t="str">
        <f t="shared" si="222"/>
        <v>B</v>
      </c>
      <c r="AA41" s="15" t="str">
        <f t="shared" si="222"/>
        <v>D</v>
      </c>
      <c r="AB41" s="15" t="str">
        <f t="shared" si="222"/>
        <v>K</v>
      </c>
      <c r="AC41" s="15" t="str">
        <f t="shared" si="222"/>
        <v>O</v>
      </c>
      <c r="AD41" s="15" t="str">
        <f t="shared" si="222"/>
        <v>T</v>
      </c>
      <c r="AE41" s="15" t="str">
        <f t="shared" si="222"/>
        <v>Y</v>
      </c>
      <c r="AF41" s="10"/>
      <c r="AH41" s="28" t="str">
        <f t="shared" ref="AH41:BG41" si="223">IF(LEN(AH42)=2,RIGHT(AH42,1),"")</f>
        <v>F</v>
      </c>
      <c r="AI41" s="28" t="str">
        <f t="shared" si="223"/>
        <v>B</v>
      </c>
      <c r="AJ41" s="28" t="str">
        <f t="shared" si="223"/>
        <v>R</v>
      </c>
      <c r="AK41" s="28" t="str">
        <f t="shared" si="223"/>
        <v>P</v>
      </c>
      <c r="AL41" s="28" t="str">
        <f t="shared" si="223"/>
        <v>Y</v>
      </c>
      <c r="AM41" s="28" t="str">
        <f t="shared" si="223"/>
        <v>S</v>
      </c>
      <c r="AN41" s="28" t="str">
        <f t="shared" si="223"/>
        <v>I</v>
      </c>
      <c r="AO41" s="28" t="str">
        <f t="shared" si="223"/>
        <v>X</v>
      </c>
      <c r="AP41" s="28" t="str">
        <f t="shared" si="223"/>
        <v>T</v>
      </c>
      <c r="AQ41" s="28" t="str">
        <f t="shared" si="223"/>
        <v>G</v>
      </c>
      <c r="AR41" s="28" t="str">
        <f t="shared" si="223"/>
        <v>D</v>
      </c>
      <c r="AS41" s="28" t="str">
        <f t="shared" si="223"/>
        <v>L</v>
      </c>
      <c r="AT41" s="28" t="str">
        <f t="shared" si="223"/>
        <v>U</v>
      </c>
      <c r="AU41" s="28" t="str">
        <f t="shared" si="223"/>
        <v>A</v>
      </c>
      <c r="AV41" s="28" t="str">
        <f t="shared" si="223"/>
        <v>N</v>
      </c>
      <c r="AW41" s="28" t="str">
        <f t="shared" si="223"/>
        <v>K</v>
      </c>
      <c r="AX41" s="28" t="str">
        <f t="shared" si="223"/>
        <v>H</v>
      </c>
      <c r="AY41" s="28" t="str">
        <f t="shared" si="223"/>
        <v>C</v>
      </c>
      <c r="AZ41" s="28" t="str">
        <f t="shared" si="223"/>
        <v>W</v>
      </c>
      <c r="BA41" s="28" t="str">
        <f t="shared" si="223"/>
        <v>Q</v>
      </c>
      <c r="BB41" s="28" t="str">
        <f t="shared" si="223"/>
        <v>M</v>
      </c>
      <c r="BC41" s="28" t="str">
        <f t="shared" si="223"/>
        <v>O</v>
      </c>
      <c r="BD41" s="28" t="str">
        <f t="shared" si="223"/>
        <v>V</v>
      </c>
      <c r="BE41" s="28" t="str">
        <f t="shared" si="223"/>
        <v>Z</v>
      </c>
      <c r="BF41" s="28" t="str">
        <f t="shared" si="223"/>
        <v>E</v>
      </c>
      <c r="BG41" s="28" t="str">
        <f t="shared" si="223"/>
        <v>J</v>
      </c>
    </row>
    <row r="42" spans="2:59" ht="15" thickBot="1" x14ac:dyDescent="0.4">
      <c r="B42" s="23"/>
      <c r="C42" s="16"/>
      <c r="D42" s="17"/>
      <c r="E42" s="17" t="s">
        <v>388</v>
      </c>
      <c r="F42" s="18" t="str">
        <f t="shared" ref="F42:AE42" si="224">IF(F38=1,IF(CODE(F41)-CODE(F40)&lt;0,VLOOKUP((CODE(F41)-CODE(F40)+26)+(CODE(F37)-nCharOffset),nNum2Let,2,FALSE),VLOOKUP((CODE(F41)-CODE(F40))+(CODE(F37)-nCharOffset),nNum2Let,2,FALSE)),"")</f>
        <v>F</v>
      </c>
      <c r="G42" s="18" t="str">
        <f t="shared" si="224"/>
        <v>B</v>
      </c>
      <c r="H42" s="18" t="str">
        <f t="shared" si="224"/>
        <v>R</v>
      </c>
      <c r="I42" s="18" t="str">
        <f t="shared" si="224"/>
        <v>P</v>
      </c>
      <c r="J42" s="18" t="str">
        <f t="shared" si="224"/>
        <v>Y</v>
      </c>
      <c r="K42" s="18" t="str">
        <f t="shared" si="224"/>
        <v>S</v>
      </c>
      <c r="L42" s="18" t="str">
        <f t="shared" si="224"/>
        <v>I</v>
      </c>
      <c r="M42" s="18" t="str">
        <f t="shared" si="224"/>
        <v>X</v>
      </c>
      <c r="N42" s="18" t="str">
        <f t="shared" si="224"/>
        <v>T</v>
      </c>
      <c r="O42" s="18" t="str">
        <f t="shared" si="224"/>
        <v>G</v>
      </c>
      <c r="P42" s="18" t="str">
        <f t="shared" si="224"/>
        <v>D</v>
      </c>
      <c r="Q42" s="18" t="str">
        <f t="shared" si="224"/>
        <v>L</v>
      </c>
      <c r="R42" s="18" t="str">
        <f t="shared" si="224"/>
        <v>U</v>
      </c>
      <c r="S42" s="18" t="str">
        <f t="shared" si="224"/>
        <v>A</v>
      </c>
      <c r="T42" s="18" t="str">
        <f t="shared" si="224"/>
        <v>N</v>
      </c>
      <c r="U42" s="18" t="str">
        <f t="shared" si="224"/>
        <v>K</v>
      </c>
      <c r="V42" s="18" t="str">
        <f t="shared" si="224"/>
        <v>H</v>
      </c>
      <c r="W42" s="18" t="str">
        <f t="shared" si="224"/>
        <v>C</v>
      </c>
      <c r="X42" s="18" t="str">
        <f t="shared" si="224"/>
        <v>W</v>
      </c>
      <c r="Y42" s="18" t="str">
        <f t="shared" si="224"/>
        <v>Q</v>
      </c>
      <c r="Z42" s="18" t="str">
        <f t="shared" si="224"/>
        <v>M</v>
      </c>
      <c r="AA42" s="18" t="str">
        <f t="shared" si="224"/>
        <v>O</v>
      </c>
      <c r="AB42" s="18" t="str">
        <f t="shared" si="224"/>
        <v>V</v>
      </c>
      <c r="AC42" s="18" t="str">
        <f t="shared" si="224"/>
        <v>Z</v>
      </c>
      <c r="AD42" s="18" t="str">
        <f t="shared" si="224"/>
        <v>E</v>
      </c>
      <c r="AE42" s="18" t="str">
        <f t="shared" si="224"/>
        <v>J</v>
      </c>
      <c r="AF42" s="19" t="str">
        <f>CONCATENATE(F42,G42,H42,I42,J42,K42,L42,M42,N42,O42,P42,Q42,R42,S42,T42&amp;U42,V42,W42,X42,Y42,Z42,AA42,AB42,AC42,AD42,AE42)</f>
        <v>FBRPYSIXTGDLUANKHCWQMOVZEJ</v>
      </c>
      <c r="AH42" s="12" t="str">
        <f>F37&amp;F42</f>
        <v>AF</v>
      </c>
      <c r="AI42" s="12" t="str">
        <f t="shared" ref="AI42" si="225">G37&amp;G42</f>
        <v>BB</v>
      </c>
      <c r="AJ42" s="12" t="str">
        <f t="shared" ref="AJ42" si="226">H37&amp;H42</f>
        <v>CR</v>
      </c>
      <c r="AK42" s="12" t="str">
        <f t="shared" ref="AK42" si="227">I37&amp;I42</f>
        <v>DP</v>
      </c>
      <c r="AL42" s="12" t="str">
        <f t="shared" ref="AL42" si="228">J37&amp;J42</f>
        <v>EY</v>
      </c>
      <c r="AM42" s="12" t="str">
        <f t="shared" ref="AM42" si="229">K37&amp;K42</f>
        <v>FS</v>
      </c>
      <c r="AN42" s="12" t="str">
        <f t="shared" ref="AN42" si="230">L37&amp;L42</f>
        <v>GI</v>
      </c>
      <c r="AO42" s="12" t="str">
        <f t="shared" ref="AO42" si="231">M37&amp;M42</f>
        <v>HX</v>
      </c>
      <c r="AP42" s="12" t="str">
        <f t="shared" ref="AP42" si="232">N37&amp;N42</f>
        <v>IT</v>
      </c>
      <c r="AQ42" s="12" t="str">
        <f t="shared" ref="AQ42" si="233">O37&amp;O42</f>
        <v>JG</v>
      </c>
      <c r="AR42" s="12" t="str">
        <f t="shared" ref="AR42" si="234">P37&amp;P42</f>
        <v>KD</v>
      </c>
      <c r="AS42" s="12" t="str">
        <f t="shared" ref="AS42" si="235">Q37&amp;Q42</f>
        <v>LL</v>
      </c>
      <c r="AT42" s="12" t="str">
        <f t="shared" ref="AT42" si="236">R37&amp;R42</f>
        <v>MU</v>
      </c>
      <c r="AU42" s="12" t="str">
        <f t="shared" ref="AU42" si="237">S37&amp;S42</f>
        <v>NA</v>
      </c>
      <c r="AV42" s="12" t="str">
        <f t="shared" ref="AV42" si="238">T37&amp;T42</f>
        <v>ON</v>
      </c>
      <c r="AW42" s="12" t="str">
        <f t="shared" ref="AW42" si="239">U37&amp;U42</f>
        <v>PK</v>
      </c>
      <c r="AX42" s="12" t="str">
        <f t="shared" ref="AX42" si="240">V37&amp;V42</f>
        <v>QH</v>
      </c>
      <c r="AY42" s="12" t="str">
        <f t="shared" ref="AY42" si="241">W37&amp;W42</f>
        <v>RC</v>
      </c>
      <c r="AZ42" s="12" t="str">
        <f t="shared" ref="AZ42" si="242">X37&amp;X42</f>
        <v>SW</v>
      </c>
      <c r="BA42" s="12" t="str">
        <f t="shared" ref="BA42" si="243">Y37&amp;Y42</f>
        <v>TQ</v>
      </c>
      <c r="BB42" s="12" t="str">
        <f t="shared" ref="BB42" si="244">Z37&amp;Z42</f>
        <v>UM</v>
      </c>
      <c r="BC42" s="12" t="str">
        <f t="shared" ref="BC42" si="245">AA37&amp;AA42</f>
        <v>VO</v>
      </c>
      <c r="BD42" s="12" t="str">
        <f t="shared" ref="BD42" si="246">AB37&amp;AB42</f>
        <v>WV</v>
      </c>
      <c r="BE42" s="12" t="str">
        <f t="shared" ref="BE42" si="247">AC37&amp;AC42</f>
        <v>XZ</v>
      </c>
      <c r="BF42" s="12" t="str">
        <f t="shared" ref="BF42" si="248">AD37&amp;AD42</f>
        <v>YE</v>
      </c>
      <c r="BG42" s="12" t="str">
        <f t="shared" ref="BG42" si="249">AE37&amp;AE42</f>
        <v>ZJ</v>
      </c>
    </row>
    <row r="43" spans="2:59" x14ac:dyDescent="0.35">
      <c r="F43" s="3" t="s">
        <v>0</v>
      </c>
      <c r="G43" s="3" t="s">
        <v>1</v>
      </c>
      <c r="H43" s="3" t="s">
        <v>2</v>
      </c>
      <c r="I43" s="3" t="s">
        <v>3</v>
      </c>
      <c r="J43" s="3" t="s">
        <v>4</v>
      </c>
      <c r="K43" s="3" t="s">
        <v>5</v>
      </c>
      <c r="L43" s="3" t="s">
        <v>6</v>
      </c>
      <c r="M43" s="3" t="s">
        <v>7</v>
      </c>
      <c r="N43" s="3" t="s">
        <v>8</v>
      </c>
      <c r="O43" s="3" t="s">
        <v>9</v>
      </c>
      <c r="P43" s="3" t="s">
        <v>10</v>
      </c>
      <c r="Q43" s="3" t="s">
        <v>11</v>
      </c>
      <c r="R43" s="3" t="s">
        <v>12</v>
      </c>
      <c r="S43" s="3" t="s">
        <v>13</v>
      </c>
      <c r="T43" s="3" t="s">
        <v>14</v>
      </c>
      <c r="U43" s="3" t="s">
        <v>15</v>
      </c>
      <c r="V43" s="3" t="s">
        <v>16</v>
      </c>
      <c r="W43" s="3" t="s">
        <v>17</v>
      </c>
      <c r="X43" s="3" t="s">
        <v>18</v>
      </c>
      <c r="Y43" s="3" t="s">
        <v>19</v>
      </c>
      <c r="Z43" s="3" t="s">
        <v>20</v>
      </c>
      <c r="AA43" s="3" t="s">
        <v>21</v>
      </c>
      <c r="AB43" s="3" t="s">
        <v>22</v>
      </c>
      <c r="AC43" s="3" t="s">
        <v>23</v>
      </c>
      <c r="AD43" s="3" t="s">
        <v>24</v>
      </c>
      <c r="AE43" s="3" t="s">
        <v>25</v>
      </c>
      <c r="AH43" s="42" t="str">
        <f>HLOOKUP(AH37,$AH40:$BG41,2,FALSE)</f>
        <v>Y</v>
      </c>
      <c r="AI43" s="42" t="str">
        <f>HLOOKUP(AI37,$AH40:$BG41,2,FALSE)</f>
        <v>D</v>
      </c>
      <c r="AJ43" s="42" t="str">
        <f t="shared" ref="AJ43:BG43" si="250">HLOOKUP(AJ37,$AH40:$BG41,2,FALSE)</f>
        <v>M</v>
      </c>
      <c r="AK43" s="42" t="str">
        <f t="shared" si="250"/>
        <v>B</v>
      </c>
      <c r="AL43" s="42" t="str">
        <f t="shared" si="250"/>
        <v>N</v>
      </c>
      <c r="AM43" s="42" t="str">
        <f t="shared" si="250"/>
        <v>V</v>
      </c>
      <c r="AN43" s="42" t="str">
        <f t="shared" si="250"/>
        <v>Q</v>
      </c>
      <c r="AO43" s="42" t="str">
        <f t="shared" si="250"/>
        <v>O</v>
      </c>
      <c r="AP43" s="42" t="str">
        <f t="shared" si="250"/>
        <v>R</v>
      </c>
      <c r="AQ43" s="42" t="str">
        <f t="shared" si="250"/>
        <v>T</v>
      </c>
      <c r="AR43" s="42" t="str">
        <f t="shared" si="250"/>
        <v>X</v>
      </c>
      <c r="AS43" s="42" t="str">
        <f t="shared" si="250"/>
        <v>Z</v>
      </c>
      <c r="AT43" s="42" t="str">
        <f t="shared" si="250"/>
        <v>C</v>
      </c>
      <c r="AU43" s="42" t="str">
        <f t="shared" si="250"/>
        <v>E</v>
      </c>
      <c r="AV43" s="42" t="str">
        <f t="shared" si="250"/>
        <v>H</v>
      </c>
      <c r="AW43" s="42" t="str">
        <f t="shared" si="250"/>
        <v>S</v>
      </c>
      <c r="AX43" s="42" t="str">
        <f t="shared" si="250"/>
        <v>G</v>
      </c>
      <c r="AY43" s="42" t="str">
        <f t="shared" si="250"/>
        <v>I</v>
      </c>
      <c r="AZ43" s="42" t="str">
        <f t="shared" si="250"/>
        <v>P</v>
      </c>
      <c r="BA43" s="42" t="str">
        <f t="shared" si="250"/>
        <v>J</v>
      </c>
      <c r="BB43" s="42" t="str">
        <f t="shared" si="250"/>
        <v>W</v>
      </c>
      <c r="BC43" s="42" t="str">
        <f t="shared" si="250"/>
        <v>F</v>
      </c>
      <c r="BD43" s="42" t="str">
        <f t="shared" si="250"/>
        <v>U</v>
      </c>
      <c r="BE43" s="42" t="str">
        <f t="shared" si="250"/>
        <v>K</v>
      </c>
      <c r="BF43" s="42" t="str">
        <f t="shared" si="250"/>
        <v>A</v>
      </c>
      <c r="BG43" s="42" t="str">
        <f t="shared" si="250"/>
        <v>L</v>
      </c>
    </row>
    <row r="44" spans="2:59" x14ac:dyDescent="0.35"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H44" s="95" t="s">
        <v>608</v>
      </c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U44" s="96"/>
      <c r="AV44" s="96"/>
      <c r="AW44" s="96"/>
      <c r="AX44" s="96"/>
      <c r="AY44" s="96"/>
      <c r="AZ44" s="96"/>
      <c r="BA44" s="96"/>
      <c r="BB44" s="96"/>
      <c r="BC44" s="96"/>
      <c r="BD44" s="96"/>
      <c r="BE44" s="96"/>
      <c r="BF44" s="96"/>
      <c r="BG44" s="97"/>
    </row>
  </sheetData>
  <sheetProtection sheet="1" objects="1" scenarios="1"/>
  <mergeCells count="2">
    <mergeCell ref="AH6:BG6"/>
    <mergeCell ref="AH44:BG44"/>
  </mergeCells>
  <pageMargins left="0.70866141732283472" right="0.70866141732283472" top="0.74803149606299213" bottom="0.74803149606299213" header="0.31496062992125984" footer="0.31496062992125984"/>
  <pageSetup paperSize="8" scale="6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pageSetUpPr fitToPage="1"/>
  </sheetPr>
  <dimension ref="A1:BG44"/>
  <sheetViews>
    <sheetView showGridLines="0" showRowColHeaders="0" zoomScale="80" zoomScaleNormal="80" workbookViewId="0"/>
  </sheetViews>
  <sheetFormatPr defaultRowHeight="14.5" x14ac:dyDescent="0.35"/>
  <cols>
    <col min="2" max="2" width="20.54296875" bestFit="1" customWidth="1"/>
    <col min="3" max="3" width="4.54296875" customWidth="1"/>
    <col min="4" max="4" width="8.1796875" bestFit="1" customWidth="1"/>
    <col min="5" max="5" width="15.54296875" bestFit="1" customWidth="1"/>
    <col min="6" max="6" width="3.453125" customWidth="1"/>
    <col min="7" max="7" width="4" customWidth="1"/>
    <col min="8" max="8" width="3.26953125" customWidth="1"/>
    <col min="9" max="9" width="4.1796875" customWidth="1"/>
    <col min="10" max="10" width="3.453125" customWidth="1"/>
    <col min="11" max="31" width="3.26953125" customWidth="1"/>
    <col min="32" max="32" width="32.26953125" bestFit="1" customWidth="1"/>
    <col min="34" max="59" width="3.453125" customWidth="1"/>
  </cols>
  <sheetData>
    <row r="1" spans="1:59" x14ac:dyDescent="0.35">
      <c r="B1" s="29" t="s">
        <v>378</v>
      </c>
      <c r="C1" s="75">
        <v>64</v>
      </c>
      <c r="D1" s="76" t="str">
        <f>nRotorL&amp;nRotorM&amp;nRotorR</f>
        <v>142</v>
      </c>
      <c r="E1" s="76" t="str">
        <f>F18&amp;F12&amp;F6</f>
        <v>ELQ</v>
      </c>
      <c r="J1" s="44" t="s">
        <v>4</v>
      </c>
      <c r="K1" s="44" t="s">
        <v>13</v>
      </c>
      <c r="L1" s="44" t="s">
        <v>8</v>
      </c>
      <c r="M1" s="44" t="s">
        <v>6</v>
      </c>
      <c r="N1" s="44" t="s">
        <v>12</v>
      </c>
      <c r="O1" s="44" t="s">
        <v>0</v>
      </c>
      <c r="P1" s="44" t="s">
        <v>18</v>
      </c>
      <c r="Q1" s="44" t="s">
        <v>2</v>
      </c>
      <c r="R1" s="44" t="s">
        <v>17</v>
      </c>
      <c r="S1" s="44" t="s">
        <v>0</v>
      </c>
      <c r="T1" s="44" t="s">
        <v>12</v>
      </c>
      <c r="U1" s="44" t="s">
        <v>1</v>
      </c>
      <c r="V1" s="44" t="s">
        <v>11</v>
      </c>
      <c r="W1" s="44" t="s">
        <v>4</v>
      </c>
      <c r="X1" s="44" t="s">
        <v>17</v>
      </c>
      <c r="Y1" s="44">
        <v>0</v>
      </c>
      <c r="Z1" s="44">
        <v>2</v>
      </c>
    </row>
    <row r="2" spans="1:59" x14ac:dyDescent="0.35">
      <c r="D2" s="77">
        <f>nCounter</f>
        <v>3707</v>
      </c>
    </row>
    <row r="3" spans="1:59" ht="15" thickBot="1" x14ac:dyDescent="0.4">
      <c r="D3" s="78">
        <f>n_RO02</f>
        <v>2</v>
      </c>
      <c r="F3" s="1"/>
      <c r="AF3" s="79" t="s">
        <v>423</v>
      </c>
    </row>
    <row r="4" spans="1:59" x14ac:dyDescent="0.35">
      <c r="B4" s="21"/>
      <c r="C4" s="4"/>
      <c r="E4" s="5" t="s">
        <v>385</v>
      </c>
      <c r="F4" s="6" t="s">
        <v>0</v>
      </c>
      <c r="G4" s="6" t="s">
        <v>1</v>
      </c>
      <c r="H4" s="6" t="s">
        <v>2</v>
      </c>
      <c r="I4" s="6" t="s">
        <v>3</v>
      </c>
      <c r="J4" s="6" t="s">
        <v>4</v>
      </c>
      <c r="K4" s="6" t="s">
        <v>5</v>
      </c>
      <c r="L4" s="6" t="s">
        <v>6</v>
      </c>
      <c r="M4" s="6" t="s">
        <v>7</v>
      </c>
      <c r="N4" s="6" t="s">
        <v>8</v>
      </c>
      <c r="O4" s="6" t="s">
        <v>9</v>
      </c>
      <c r="P4" s="6" t="s">
        <v>10</v>
      </c>
      <c r="Q4" s="6" t="s">
        <v>11</v>
      </c>
      <c r="R4" s="6" t="s">
        <v>12</v>
      </c>
      <c r="S4" s="6" t="s">
        <v>13</v>
      </c>
      <c r="T4" s="6" t="s">
        <v>14</v>
      </c>
      <c r="U4" s="6" t="s">
        <v>15</v>
      </c>
      <c r="V4" s="6" t="s">
        <v>16</v>
      </c>
      <c r="W4" s="6" t="s">
        <v>17</v>
      </c>
      <c r="X4" s="6" t="s">
        <v>18</v>
      </c>
      <c r="Y4" s="6" t="s">
        <v>19</v>
      </c>
      <c r="Z4" s="6" t="s">
        <v>20</v>
      </c>
      <c r="AA4" s="6" t="s">
        <v>21</v>
      </c>
      <c r="AB4" s="6" t="s">
        <v>22</v>
      </c>
      <c r="AC4" s="6" t="s">
        <v>23</v>
      </c>
      <c r="AD4" s="6" t="s">
        <v>24</v>
      </c>
      <c r="AE4" s="6" t="s">
        <v>25</v>
      </c>
      <c r="AF4" s="10"/>
    </row>
    <row r="5" spans="1:59" x14ac:dyDescent="0.35">
      <c r="B5" s="22"/>
      <c r="C5" s="8"/>
      <c r="D5" s="9" t="s">
        <v>28</v>
      </c>
      <c r="E5" s="9" t="s">
        <v>27</v>
      </c>
      <c r="F5" s="1">
        <f t="shared" ref="F5:AE5" si="0">IF(ISERROR(FIND(F4,$AF3)),0,1)</f>
        <v>1</v>
      </c>
      <c r="G5" s="1">
        <f t="shared" si="0"/>
        <v>1</v>
      </c>
      <c r="H5" s="1">
        <f t="shared" si="0"/>
        <v>1</v>
      </c>
      <c r="I5" s="1">
        <f t="shared" si="0"/>
        <v>1</v>
      </c>
      <c r="J5" s="1">
        <f t="shared" si="0"/>
        <v>1</v>
      </c>
      <c r="K5" s="1">
        <f t="shared" si="0"/>
        <v>1</v>
      </c>
      <c r="L5" s="1">
        <f t="shared" si="0"/>
        <v>1</v>
      </c>
      <c r="M5" s="1">
        <f t="shared" si="0"/>
        <v>1</v>
      </c>
      <c r="N5" s="1">
        <f t="shared" si="0"/>
        <v>1</v>
      </c>
      <c r="O5" s="1">
        <f t="shared" si="0"/>
        <v>1</v>
      </c>
      <c r="P5" s="1">
        <f t="shared" si="0"/>
        <v>1</v>
      </c>
      <c r="Q5" s="1">
        <f t="shared" si="0"/>
        <v>1</v>
      </c>
      <c r="R5" s="1">
        <f t="shared" si="0"/>
        <v>1</v>
      </c>
      <c r="S5" s="1">
        <f t="shared" si="0"/>
        <v>1</v>
      </c>
      <c r="T5" s="1">
        <f t="shared" si="0"/>
        <v>1</v>
      </c>
      <c r="U5" s="1">
        <f t="shared" si="0"/>
        <v>1</v>
      </c>
      <c r="V5" s="1">
        <f t="shared" si="0"/>
        <v>1</v>
      </c>
      <c r="W5" s="1">
        <f t="shared" si="0"/>
        <v>1</v>
      </c>
      <c r="X5" s="1">
        <f t="shared" si="0"/>
        <v>1</v>
      </c>
      <c r="Y5" s="1">
        <f t="shared" si="0"/>
        <v>1</v>
      </c>
      <c r="Z5" s="1">
        <f t="shared" si="0"/>
        <v>1</v>
      </c>
      <c r="AA5" s="1">
        <f t="shared" si="0"/>
        <v>1</v>
      </c>
      <c r="AB5" s="1">
        <f t="shared" si="0"/>
        <v>1</v>
      </c>
      <c r="AC5" s="1">
        <f t="shared" si="0"/>
        <v>1</v>
      </c>
      <c r="AD5" s="1">
        <f t="shared" si="0"/>
        <v>1</v>
      </c>
      <c r="AE5" s="1">
        <f t="shared" si="0"/>
        <v>1</v>
      </c>
      <c r="AF5" s="10"/>
    </row>
    <row r="6" spans="1:59" x14ac:dyDescent="0.35">
      <c r="B6" s="22" t="s">
        <v>379</v>
      </c>
      <c r="C6" s="41">
        <f>n_RotorR</f>
        <v>2</v>
      </c>
      <c r="D6" s="11">
        <f>D3+D2</f>
        <v>3709</v>
      </c>
      <c r="E6" s="11">
        <f>IF(MOD(D6,26)=0,26,MOD(D6,26))</f>
        <v>17</v>
      </c>
      <c r="F6" s="12" t="str">
        <f>CHAR(E6+nCharOffset)</f>
        <v>Q</v>
      </c>
      <c r="G6" s="13" t="str">
        <f t="shared" ref="G6:AE6" si="1">VLOOKUP(F6,nNextLetter,2,FALSE)</f>
        <v>R</v>
      </c>
      <c r="H6" s="13" t="str">
        <f t="shared" si="1"/>
        <v>S</v>
      </c>
      <c r="I6" s="13" t="str">
        <f t="shared" si="1"/>
        <v>T</v>
      </c>
      <c r="J6" s="13" t="str">
        <f t="shared" si="1"/>
        <v>U</v>
      </c>
      <c r="K6" s="13" t="str">
        <f t="shared" si="1"/>
        <v>V</v>
      </c>
      <c r="L6" s="13" t="str">
        <f t="shared" si="1"/>
        <v>W</v>
      </c>
      <c r="M6" s="13" t="str">
        <f t="shared" si="1"/>
        <v>X</v>
      </c>
      <c r="N6" s="13" t="str">
        <f t="shared" si="1"/>
        <v>Y</v>
      </c>
      <c r="O6" s="13" t="str">
        <f t="shared" si="1"/>
        <v>Z</v>
      </c>
      <c r="P6" s="13" t="str">
        <f t="shared" si="1"/>
        <v>A</v>
      </c>
      <c r="Q6" s="13" t="str">
        <f t="shared" si="1"/>
        <v>B</v>
      </c>
      <c r="R6" s="13" t="str">
        <f t="shared" si="1"/>
        <v>C</v>
      </c>
      <c r="S6" s="13" t="str">
        <f t="shared" si="1"/>
        <v>D</v>
      </c>
      <c r="T6" s="13" t="str">
        <f t="shared" si="1"/>
        <v>E</v>
      </c>
      <c r="U6" s="13" t="str">
        <f t="shared" si="1"/>
        <v>F</v>
      </c>
      <c r="V6" s="13" t="str">
        <f t="shared" si="1"/>
        <v>G</v>
      </c>
      <c r="W6" s="13" t="str">
        <f t="shared" si="1"/>
        <v>H</v>
      </c>
      <c r="X6" s="13" t="str">
        <f t="shared" si="1"/>
        <v>I</v>
      </c>
      <c r="Y6" s="13" t="str">
        <f t="shared" si="1"/>
        <v>J</v>
      </c>
      <c r="Z6" s="13" t="str">
        <f t="shared" si="1"/>
        <v>K</v>
      </c>
      <c r="AA6" s="13" t="str">
        <f t="shared" si="1"/>
        <v>L</v>
      </c>
      <c r="AB6" s="13" t="str">
        <f t="shared" si="1"/>
        <v>M</v>
      </c>
      <c r="AC6" s="13" t="str">
        <f t="shared" si="1"/>
        <v>N</v>
      </c>
      <c r="AD6" s="13" t="str">
        <f t="shared" si="1"/>
        <v>O</v>
      </c>
      <c r="AE6" s="13" t="str">
        <f t="shared" si="1"/>
        <v>P</v>
      </c>
      <c r="AF6" s="10"/>
      <c r="AH6" s="95" t="s">
        <v>607</v>
      </c>
      <c r="AI6" s="96"/>
      <c r="AJ6" s="96"/>
      <c r="AK6" s="96"/>
      <c r="AL6" s="96"/>
      <c r="AM6" s="96"/>
      <c r="AN6" s="96"/>
      <c r="AO6" s="96"/>
      <c r="AP6" s="96"/>
      <c r="AQ6" s="96"/>
      <c r="AR6" s="96"/>
      <c r="AS6" s="96"/>
      <c r="AT6" s="96"/>
      <c r="AU6" s="96"/>
      <c r="AV6" s="96"/>
      <c r="AW6" s="96"/>
      <c r="AX6" s="96"/>
      <c r="AY6" s="96"/>
      <c r="AZ6" s="96"/>
      <c r="BA6" s="96"/>
      <c r="BB6" s="96"/>
      <c r="BC6" s="96"/>
      <c r="BD6" s="96"/>
      <c r="BE6" s="96"/>
      <c r="BF6" s="96"/>
      <c r="BG6" s="97"/>
    </row>
    <row r="7" spans="1:59" x14ac:dyDescent="0.35">
      <c r="B7" s="22" t="s">
        <v>389</v>
      </c>
      <c r="C7" s="41" t="str">
        <f>n_RingPosR</f>
        <v>A</v>
      </c>
      <c r="D7" s="11">
        <f>VLOOKUP(C7,nRingOffset,2,FALSE)</f>
        <v>0</v>
      </c>
      <c r="E7" t="s">
        <v>386</v>
      </c>
      <c r="F7" s="14" t="str">
        <f t="shared" ref="F7:AE7" si="2">IF(F5=1,VLOOKUP(nCurPosR+nRingOffsetR+(CODE(F4)-nCharOffset)-1,nNum2Let,2,FALSE),"")</f>
        <v>Q</v>
      </c>
      <c r="G7" s="14" t="str">
        <f t="shared" si="2"/>
        <v>R</v>
      </c>
      <c r="H7" s="14" t="str">
        <f t="shared" si="2"/>
        <v>S</v>
      </c>
      <c r="I7" s="14" t="str">
        <f t="shared" si="2"/>
        <v>T</v>
      </c>
      <c r="J7" s="14" t="str">
        <f t="shared" si="2"/>
        <v>U</v>
      </c>
      <c r="K7" s="14" t="str">
        <f t="shared" si="2"/>
        <v>V</v>
      </c>
      <c r="L7" s="14" t="str">
        <f t="shared" si="2"/>
        <v>W</v>
      </c>
      <c r="M7" s="14" t="str">
        <f t="shared" si="2"/>
        <v>X</v>
      </c>
      <c r="N7" s="14" t="str">
        <f t="shared" si="2"/>
        <v>Y</v>
      </c>
      <c r="O7" s="14" t="str">
        <f t="shared" si="2"/>
        <v>Z</v>
      </c>
      <c r="P7" s="14" t="str">
        <f t="shared" si="2"/>
        <v>A</v>
      </c>
      <c r="Q7" s="14" t="str">
        <f t="shared" si="2"/>
        <v>B</v>
      </c>
      <c r="R7" s="14" t="str">
        <f t="shared" si="2"/>
        <v>C</v>
      </c>
      <c r="S7" s="14" t="str">
        <f t="shared" si="2"/>
        <v>D</v>
      </c>
      <c r="T7" s="14" t="str">
        <f t="shared" si="2"/>
        <v>E</v>
      </c>
      <c r="U7" s="14" t="str">
        <f t="shared" si="2"/>
        <v>F</v>
      </c>
      <c r="V7" s="14" t="str">
        <f t="shared" si="2"/>
        <v>G</v>
      </c>
      <c r="W7" s="14" t="str">
        <f t="shared" si="2"/>
        <v>H</v>
      </c>
      <c r="X7" s="14" t="str">
        <f t="shared" si="2"/>
        <v>I</v>
      </c>
      <c r="Y7" s="14" t="str">
        <f t="shared" si="2"/>
        <v>J</v>
      </c>
      <c r="Z7" s="14" t="str">
        <f t="shared" si="2"/>
        <v>K</v>
      </c>
      <c r="AA7" s="14" t="str">
        <f t="shared" si="2"/>
        <v>L</v>
      </c>
      <c r="AB7" s="14" t="str">
        <f t="shared" si="2"/>
        <v>M</v>
      </c>
      <c r="AC7" s="14" t="str">
        <f t="shared" si="2"/>
        <v>N</v>
      </c>
      <c r="AD7" s="14" t="str">
        <f t="shared" si="2"/>
        <v>O</v>
      </c>
      <c r="AE7" s="14" t="str">
        <f t="shared" si="2"/>
        <v>P</v>
      </c>
      <c r="AF7" s="10"/>
      <c r="AH7" s="42" t="str">
        <f t="shared" ref="AH7:BG7" si="3">IF(LEN(AH9)=2,LEFT(AH9,1),"")</f>
        <v>A</v>
      </c>
      <c r="AI7" s="42" t="str">
        <f t="shared" si="3"/>
        <v>B</v>
      </c>
      <c r="AJ7" s="42" t="str">
        <f t="shared" si="3"/>
        <v>C</v>
      </c>
      <c r="AK7" s="42" t="str">
        <f t="shared" si="3"/>
        <v>D</v>
      </c>
      <c r="AL7" s="42" t="str">
        <f t="shared" si="3"/>
        <v>E</v>
      </c>
      <c r="AM7" s="42" t="str">
        <f t="shared" si="3"/>
        <v>F</v>
      </c>
      <c r="AN7" s="42" t="str">
        <f t="shared" si="3"/>
        <v>G</v>
      </c>
      <c r="AO7" s="42" t="str">
        <f t="shared" si="3"/>
        <v>H</v>
      </c>
      <c r="AP7" s="42" t="str">
        <f t="shared" si="3"/>
        <v>I</v>
      </c>
      <c r="AQ7" s="42" t="str">
        <f t="shared" si="3"/>
        <v>J</v>
      </c>
      <c r="AR7" s="42" t="str">
        <f t="shared" si="3"/>
        <v>K</v>
      </c>
      <c r="AS7" s="42" t="str">
        <f t="shared" si="3"/>
        <v>L</v>
      </c>
      <c r="AT7" s="42" t="str">
        <f t="shared" si="3"/>
        <v>M</v>
      </c>
      <c r="AU7" s="42" t="str">
        <f t="shared" si="3"/>
        <v>N</v>
      </c>
      <c r="AV7" s="42" t="str">
        <f t="shared" si="3"/>
        <v>O</v>
      </c>
      <c r="AW7" s="42" t="str">
        <f t="shared" si="3"/>
        <v>P</v>
      </c>
      <c r="AX7" s="42" t="str">
        <f t="shared" si="3"/>
        <v>Q</v>
      </c>
      <c r="AY7" s="42" t="str">
        <f t="shared" si="3"/>
        <v>R</v>
      </c>
      <c r="AZ7" s="42" t="str">
        <f t="shared" si="3"/>
        <v>S</v>
      </c>
      <c r="BA7" s="42" t="str">
        <f t="shared" si="3"/>
        <v>T</v>
      </c>
      <c r="BB7" s="42" t="str">
        <f t="shared" si="3"/>
        <v>U</v>
      </c>
      <c r="BC7" s="42" t="str">
        <f t="shared" si="3"/>
        <v>V</v>
      </c>
      <c r="BD7" s="42" t="str">
        <f t="shared" si="3"/>
        <v>W</v>
      </c>
      <c r="BE7" s="42" t="str">
        <f t="shared" si="3"/>
        <v>X</v>
      </c>
      <c r="BF7" s="42" t="str">
        <f t="shared" si="3"/>
        <v>Y</v>
      </c>
      <c r="BG7" s="42" t="str">
        <f t="shared" si="3"/>
        <v>Z</v>
      </c>
    </row>
    <row r="8" spans="1:59" x14ac:dyDescent="0.35">
      <c r="B8" s="22"/>
      <c r="C8" s="8"/>
      <c r="E8" t="s">
        <v>387</v>
      </c>
      <c r="F8" s="15" t="str">
        <f t="shared" ref="F8:AE8" si="4">IF(F5=1,VLOOKUP(nRotorR&amp;F7,nRotor,4,FALSE),"")</f>
        <v>Q</v>
      </c>
      <c r="G8" s="15" t="str">
        <f t="shared" si="4"/>
        <v>G</v>
      </c>
      <c r="H8" s="15" t="str">
        <f t="shared" si="4"/>
        <v>Z</v>
      </c>
      <c r="I8" s="15" t="str">
        <f t="shared" si="4"/>
        <v>N</v>
      </c>
      <c r="J8" s="15" t="str">
        <f t="shared" si="4"/>
        <v>P</v>
      </c>
      <c r="K8" s="15" t="str">
        <f t="shared" si="4"/>
        <v>Y</v>
      </c>
      <c r="L8" s="15" t="str">
        <f t="shared" si="4"/>
        <v>F</v>
      </c>
      <c r="M8" s="15" t="str">
        <f t="shared" si="4"/>
        <v>V</v>
      </c>
      <c r="N8" s="15" t="str">
        <f t="shared" si="4"/>
        <v>O</v>
      </c>
      <c r="O8" s="15" t="str">
        <f t="shared" si="4"/>
        <v>E</v>
      </c>
      <c r="P8" s="15" t="str">
        <f t="shared" si="4"/>
        <v>A</v>
      </c>
      <c r="Q8" s="15" t="str">
        <f t="shared" si="4"/>
        <v>J</v>
      </c>
      <c r="R8" s="15" t="str">
        <f t="shared" si="4"/>
        <v>D</v>
      </c>
      <c r="S8" s="15" t="str">
        <f t="shared" si="4"/>
        <v>K</v>
      </c>
      <c r="T8" s="15" t="str">
        <f t="shared" si="4"/>
        <v>S</v>
      </c>
      <c r="U8" s="15" t="str">
        <f t="shared" si="4"/>
        <v>I</v>
      </c>
      <c r="V8" s="15" t="str">
        <f t="shared" si="4"/>
        <v>R</v>
      </c>
      <c r="W8" s="15" t="str">
        <f t="shared" si="4"/>
        <v>U</v>
      </c>
      <c r="X8" s="15" t="str">
        <f t="shared" si="4"/>
        <v>X</v>
      </c>
      <c r="Y8" s="15" t="str">
        <f t="shared" si="4"/>
        <v>B</v>
      </c>
      <c r="Z8" s="15" t="str">
        <f t="shared" si="4"/>
        <v>L</v>
      </c>
      <c r="AA8" s="15" t="str">
        <f t="shared" si="4"/>
        <v>H</v>
      </c>
      <c r="AB8" s="15" t="str">
        <f t="shared" si="4"/>
        <v>W</v>
      </c>
      <c r="AC8" s="15" t="str">
        <f t="shared" si="4"/>
        <v>T</v>
      </c>
      <c r="AD8" s="15" t="str">
        <f t="shared" si="4"/>
        <v>M</v>
      </c>
      <c r="AE8" s="15" t="str">
        <f t="shared" si="4"/>
        <v>C</v>
      </c>
      <c r="AF8" s="10"/>
      <c r="AH8" s="28" t="str">
        <f t="shared" ref="AH8:BG8" si="5">IF(LEN(AH9)=2,RIGHT(AH9,1),"")</f>
        <v>A</v>
      </c>
      <c r="AI8" s="28" t="str">
        <f t="shared" si="5"/>
        <v>Q</v>
      </c>
      <c r="AJ8" s="28" t="str">
        <f t="shared" si="5"/>
        <v>J</v>
      </c>
      <c r="AK8" s="28" t="str">
        <f t="shared" si="5"/>
        <v>X</v>
      </c>
      <c r="AL8" s="28" t="str">
        <f t="shared" si="5"/>
        <v>Z</v>
      </c>
      <c r="AM8" s="28" t="str">
        <f t="shared" si="5"/>
        <v>I</v>
      </c>
      <c r="AN8" s="28" t="str">
        <f t="shared" si="5"/>
        <v>P</v>
      </c>
      <c r="AO8" s="28" t="str">
        <f t="shared" si="5"/>
        <v>F</v>
      </c>
      <c r="AP8" s="28" t="str">
        <f t="shared" si="5"/>
        <v>Y</v>
      </c>
      <c r="AQ8" s="28" t="str">
        <f t="shared" si="5"/>
        <v>O</v>
      </c>
      <c r="AR8" s="28" t="str">
        <f t="shared" si="5"/>
        <v>K</v>
      </c>
      <c r="AS8" s="28" t="str">
        <f t="shared" si="5"/>
        <v>T</v>
      </c>
      <c r="AT8" s="28" t="str">
        <f t="shared" si="5"/>
        <v>N</v>
      </c>
      <c r="AU8" s="28" t="str">
        <f t="shared" si="5"/>
        <v>U</v>
      </c>
      <c r="AV8" s="28" t="str">
        <f t="shared" si="5"/>
        <v>C</v>
      </c>
      <c r="AW8" s="28" t="str">
        <f t="shared" si="5"/>
        <v>S</v>
      </c>
      <c r="AX8" s="28" t="str">
        <f t="shared" si="5"/>
        <v>B</v>
      </c>
      <c r="AY8" s="28" t="str">
        <f t="shared" si="5"/>
        <v>E</v>
      </c>
      <c r="AZ8" s="28" t="str">
        <f t="shared" si="5"/>
        <v>H</v>
      </c>
      <c r="BA8" s="28" t="str">
        <f t="shared" si="5"/>
        <v>L</v>
      </c>
      <c r="BB8" s="28" t="str">
        <f t="shared" si="5"/>
        <v>V</v>
      </c>
      <c r="BC8" s="28" t="str">
        <f t="shared" si="5"/>
        <v>R</v>
      </c>
      <c r="BD8" s="28" t="str">
        <f t="shared" si="5"/>
        <v>G</v>
      </c>
      <c r="BE8" s="28" t="str">
        <f t="shared" si="5"/>
        <v>D</v>
      </c>
      <c r="BF8" s="28" t="str">
        <f t="shared" si="5"/>
        <v>W</v>
      </c>
      <c r="BG8" s="28" t="str">
        <f t="shared" si="5"/>
        <v>M</v>
      </c>
    </row>
    <row r="9" spans="1:59" ht="15" thickBot="1" x14ac:dyDescent="0.4">
      <c r="B9" s="23"/>
      <c r="C9" s="16"/>
      <c r="D9" s="17"/>
      <c r="E9" s="17" t="s">
        <v>388</v>
      </c>
      <c r="F9" s="18" t="str">
        <f t="shared" ref="F9:AE9" si="6">IF(F5=1,IF(CODE(F8)-CODE(F7)&lt;0,VLOOKUP((CODE(F8)-CODE(F7)+26)+(CODE(F4)-nCharOffset),nNum2Let,2,FALSE),VLOOKUP((CODE(F8)-CODE(F7))+(CODE(F4)-nCharOffset),nNum2Let,2,FALSE)),"")</f>
        <v>A</v>
      </c>
      <c r="G9" s="18" t="str">
        <f t="shared" si="6"/>
        <v>Q</v>
      </c>
      <c r="H9" s="18" t="str">
        <f t="shared" si="6"/>
        <v>J</v>
      </c>
      <c r="I9" s="18" t="str">
        <f t="shared" si="6"/>
        <v>X</v>
      </c>
      <c r="J9" s="18" t="str">
        <f t="shared" si="6"/>
        <v>Z</v>
      </c>
      <c r="K9" s="18" t="str">
        <f t="shared" si="6"/>
        <v>I</v>
      </c>
      <c r="L9" s="18" t="str">
        <f t="shared" si="6"/>
        <v>P</v>
      </c>
      <c r="M9" s="18" t="str">
        <f t="shared" si="6"/>
        <v>F</v>
      </c>
      <c r="N9" s="18" t="str">
        <f t="shared" si="6"/>
        <v>Y</v>
      </c>
      <c r="O9" s="18" t="str">
        <f t="shared" si="6"/>
        <v>O</v>
      </c>
      <c r="P9" s="18" t="str">
        <f t="shared" si="6"/>
        <v>K</v>
      </c>
      <c r="Q9" s="18" t="str">
        <f t="shared" si="6"/>
        <v>T</v>
      </c>
      <c r="R9" s="18" t="str">
        <f t="shared" si="6"/>
        <v>N</v>
      </c>
      <c r="S9" s="18" t="str">
        <f t="shared" si="6"/>
        <v>U</v>
      </c>
      <c r="T9" s="18" t="str">
        <f t="shared" si="6"/>
        <v>C</v>
      </c>
      <c r="U9" s="18" t="str">
        <f t="shared" si="6"/>
        <v>S</v>
      </c>
      <c r="V9" s="18" t="str">
        <f t="shared" si="6"/>
        <v>B</v>
      </c>
      <c r="W9" s="18" t="str">
        <f t="shared" si="6"/>
        <v>E</v>
      </c>
      <c r="X9" s="18" t="str">
        <f t="shared" si="6"/>
        <v>H</v>
      </c>
      <c r="Y9" s="18" t="str">
        <f t="shared" si="6"/>
        <v>L</v>
      </c>
      <c r="Z9" s="18" t="str">
        <f t="shared" si="6"/>
        <v>V</v>
      </c>
      <c r="AA9" s="18" t="str">
        <f t="shared" si="6"/>
        <v>R</v>
      </c>
      <c r="AB9" s="18" t="str">
        <f t="shared" si="6"/>
        <v>G</v>
      </c>
      <c r="AC9" s="18" t="str">
        <f t="shared" si="6"/>
        <v>D</v>
      </c>
      <c r="AD9" s="18" t="str">
        <f t="shared" si="6"/>
        <v>W</v>
      </c>
      <c r="AE9" s="18" t="str">
        <f t="shared" si="6"/>
        <v>M</v>
      </c>
      <c r="AF9" s="19" t="str">
        <f>CONCATENATE(F9,G9,H9,I9,J9,K9,L9,M9,N9,O9,P9,Q9,R9,S9,T9&amp;U9,V9,W9,X9,Y9,Z9,AA9,AB9,AC9,AD9,AE9)</f>
        <v>AQJXZIPFYOKTNUCSBEHLVRGDWM</v>
      </c>
      <c r="AH9" s="12" t="str">
        <f>F4&amp;F9</f>
        <v>AA</v>
      </c>
      <c r="AI9" s="12" t="str">
        <f t="shared" ref="AI9:BG9" si="7">G4&amp;G9</f>
        <v>BQ</v>
      </c>
      <c r="AJ9" s="12" t="str">
        <f t="shared" si="7"/>
        <v>CJ</v>
      </c>
      <c r="AK9" s="12" t="str">
        <f t="shared" si="7"/>
        <v>DX</v>
      </c>
      <c r="AL9" s="12" t="str">
        <f t="shared" si="7"/>
        <v>EZ</v>
      </c>
      <c r="AM9" s="12" t="str">
        <f t="shared" si="7"/>
        <v>FI</v>
      </c>
      <c r="AN9" s="12" t="str">
        <f t="shared" si="7"/>
        <v>GP</v>
      </c>
      <c r="AO9" s="12" t="str">
        <f t="shared" si="7"/>
        <v>HF</v>
      </c>
      <c r="AP9" s="12" t="str">
        <f t="shared" si="7"/>
        <v>IY</v>
      </c>
      <c r="AQ9" s="12" t="str">
        <f t="shared" si="7"/>
        <v>JO</v>
      </c>
      <c r="AR9" s="12" t="str">
        <f t="shared" si="7"/>
        <v>KK</v>
      </c>
      <c r="AS9" s="12" t="str">
        <f t="shared" si="7"/>
        <v>LT</v>
      </c>
      <c r="AT9" s="12" t="str">
        <f t="shared" si="7"/>
        <v>MN</v>
      </c>
      <c r="AU9" s="12" t="str">
        <f t="shared" si="7"/>
        <v>NU</v>
      </c>
      <c r="AV9" s="12" t="str">
        <f t="shared" si="7"/>
        <v>OC</v>
      </c>
      <c r="AW9" s="12" t="str">
        <f t="shared" si="7"/>
        <v>PS</v>
      </c>
      <c r="AX9" s="12" t="str">
        <f t="shared" si="7"/>
        <v>QB</v>
      </c>
      <c r="AY9" s="12" t="str">
        <f t="shared" si="7"/>
        <v>RE</v>
      </c>
      <c r="AZ9" s="12" t="str">
        <f t="shared" si="7"/>
        <v>SH</v>
      </c>
      <c r="BA9" s="12" t="str">
        <f t="shared" si="7"/>
        <v>TL</v>
      </c>
      <c r="BB9" s="12" t="str">
        <f t="shared" si="7"/>
        <v>UV</v>
      </c>
      <c r="BC9" s="12" t="str">
        <f t="shared" si="7"/>
        <v>VR</v>
      </c>
      <c r="BD9" s="12" t="str">
        <f t="shared" si="7"/>
        <v>WG</v>
      </c>
      <c r="BE9" s="12" t="str">
        <f t="shared" si="7"/>
        <v>XD</v>
      </c>
      <c r="BF9" s="12" t="str">
        <f t="shared" si="7"/>
        <v>YW</v>
      </c>
      <c r="BG9" s="12" t="str">
        <f t="shared" si="7"/>
        <v>ZM</v>
      </c>
    </row>
    <row r="10" spans="1:59" x14ac:dyDescent="0.35">
      <c r="B10" s="21"/>
      <c r="C10" s="4"/>
      <c r="D10" s="5"/>
      <c r="E10" s="5" t="s">
        <v>385</v>
      </c>
      <c r="F10" s="6" t="s">
        <v>0</v>
      </c>
      <c r="G10" s="6" t="s">
        <v>1</v>
      </c>
      <c r="H10" s="6" t="s">
        <v>2</v>
      </c>
      <c r="I10" s="6" t="s">
        <v>3</v>
      </c>
      <c r="J10" s="6" t="s">
        <v>4</v>
      </c>
      <c r="K10" s="6" t="s">
        <v>5</v>
      </c>
      <c r="L10" s="6" t="s">
        <v>6</v>
      </c>
      <c r="M10" s="6" t="s">
        <v>7</v>
      </c>
      <c r="N10" s="6" t="s">
        <v>8</v>
      </c>
      <c r="O10" s="6" t="s">
        <v>9</v>
      </c>
      <c r="P10" s="6" t="s">
        <v>10</v>
      </c>
      <c r="Q10" s="6" t="s">
        <v>11</v>
      </c>
      <c r="R10" s="6" t="s">
        <v>12</v>
      </c>
      <c r="S10" s="6" t="s">
        <v>13</v>
      </c>
      <c r="T10" s="6" t="s">
        <v>14</v>
      </c>
      <c r="U10" s="6" t="s">
        <v>15</v>
      </c>
      <c r="V10" s="6" t="s">
        <v>16</v>
      </c>
      <c r="W10" s="6" t="s">
        <v>17</v>
      </c>
      <c r="X10" s="6" t="s">
        <v>18</v>
      </c>
      <c r="Y10" s="6" t="s">
        <v>19</v>
      </c>
      <c r="Z10" s="6" t="s">
        <v>20</v>
      </c>
      <c r="AA10" s="6" t="s">
        <v>21</v>
      </c>
      <c r="AB10" s="6" t="s">
        <v>22</v>
      </c>
      <c r="AC10" s="6" t="s">
        <v>23</v>
      </c>
      <c r="AD10" s="6" t="s">
        <v>24</v>
      </c>
      <c r="AE10" s="6" t="s">
        <v>25</v>
      </c>
      <c r="AF10" s="20"/>
    </row>
    <row r="11" spans="1:59" x14ac:dyDescent="0.35">
      <c r="A11" s="43">
        <f>INT(D2/26)</f>
        <v>142</v>
      </c>
      <c r="B11" s="10"/>
      <c r="C11" s="8"/>
      <c r="F11" s="1">
        <f>IF(ISERROR(FIND(F10,$AF9)),0,1)</f>
        <v>1</v>
      </c>
      <c r="G11" s="1">
        <f t="shared" ref="G11:AE11" si="8">IF(ISERROR(FIND(G10,$AF9)),0,1)</f>
        <v>1</v>
      </c>
      <c r="H11" s="1">
        <f t="shared" si="8"/>
        <v>1</v>
      </c>
      <c r="I11" s="1">
        <f t="shared" si="8"/>
        <v>1</v>
      </c>
      <c r="J11" s="1">
        <f t="shared" si="8"/>
        <v>1</v>
      </c>
      <c r="K11" s="1">
        <f t="shared" si="8"/>
        <v>1</v>
      </c>
      <c r="L11" s="1">
        <f t="shared" si="8"/>
        <v>1</v>
      </c>
      <c r="M11" s="1">
        <f t="shared" si="8"/>
        <v>1</v>
      </c>
      <c r="N11" s="1">
        <f t="shared" si="8"/>
        <v>1</v>
      </c>
      <c r="O11" s="1">
        <f t="shared" si="8"/>
        <v>1</v>
      </c>
      <c r="P11" s="1">
        <f t="shared" si="8"/>
        <v>1</v>
      </c>
      <c r="Q11" s="1">
        <f t="shared" si="8"/>
        <v>1</v>
      </c>
      <c r="R11" s="1">
        <f t="shared" si="8"/>
        <v>1</v>
      </c>
      <c r="S11" s="1">
        <f t="shared" si="8"/>
        <v>1</v>
      </c>
      <c r="T11" s="1">
        <f t="shared" si="8"/>
        <v>1</v>
      </c>
      <c r="U11" s="1">
        <f t="shared" si="8"/>
        <v>1</v>
      </c>
      <c r="V11" s="1">
        <f t="shared" si="8"/>
        <v>1</v>
      </c>
      <c r="W11" s="1">
        <f t="shared" si="8"/>
        <v>1</v>
      </c>
      <c r="X11" s="1">
        <f t="shared" si="8"/>
        <v>1</v>
      </c>
      <c r="Y11" s="1">
        <f t="shared" si="8"/>
        <v>1</v>
      </c>
      <c r="Z11" s="1">
        <f t="shared" si="8"/>
        <v>1</v>
      </c>
      <c r="AA11" s="1">
        <f t="shared" si="8"/>
        <v>1</v>
      </c>
      <c r="AB11" s="1">
        <f t="shared" si="8"/>
        <v>1</v>
      </c>
      <c r="AC11" s="1">
        <f t="shared" si="8"/>
        <v>1</v>
      </c>
      <c r="AD11" s="1">
        <f t="shared" si="8"/>
        <v>1</v>
      </c>
      <c r="AE11" s="1">
        <f t="shared" si="8"/>
        <v>1</v>
      </c>
      <c r="AF11" s="10"/>
    </row>
    <row r="12" spans="1:59" x14ac:dyDescent="0.35">
      <c r="A12" s="43">
        <f>IF(A11=0,26,A11)</f>
        <v>142</v>
      </c>
      <c r="B12" s="10" t="s">
        <v>380</v>
      </c>
      <c r="C12" s="41">
        <f>n_RotorM</f>
        <v>4</v>
      </c>
      <c r="D12" s="11">
        <f>A12</f>
        <v>142</v>
      </c>
      <c r="E12" s="11">
        <f>IF(MOD(D12,26)=0,26,MOD(D12,26))</f>
        <v>12</v>
      </c>
      <c r="F12" s="12" t="str">
        <f>CHAR(E12+nCharOffset)</f>
        <v>L</v>
      </c>
      <c r="G12" s="13" t="str">
        <f t="shared" ref="G12:AE12" si="9">VLOOKUP(F12,nNextLetter,2,FALSE)</f>
        <v>M</v>
      </c>
      <c r="H12" s="13" t="str">
        <f t="shared" si="9"/>
        <v>N</v>
      </c>
      <c r="I12" s="13" t="str">
        <f t="shared" si="9"/>
        <v>O</v>
      </c>
      <c r="J12" s="13" t="str">
        <f t="shared" si="9"/>
        <v>P</v>
      </c>
      <c r="K12" s="13" t="str">
        <f t="shared" si="9"/>
        <v>Q</v>
      </c>
      <c r="L12" s="13" t="str">
        <f t="shared" si="9"/>
        <v>R</v>
      </c>
      <c r="M12" s="13" t="str">
        <f t="shared" si="9"/>
        <v>S</v>
      </c>
      <c r="N12" s="13" t="str">
        <f t="shared" si="9"/>
        <v>T</v>
      </c>
      <c r="O12" s="13" t="str">
        <f t="shared" si="9"/>
        <v>U</v>
      </c>
      <c r="P12" s="13" t="str">
        <f t="shared" si="9"/>
        <v>V</v>
      </c>
      <c r="Q12" s="13" t="str">
        <f t="shared" si="9"/>
        <v>W</v>
      </c>
      <c r="R12" s="13" t="str">
        <f t="shared" si="9"/>
        <v>X</v>
      </c>
      <c r="S12" s="13" t="str">
        <f t="shared" si="9"/>
        <v>Y</v>
      </c>
      <c r="T12" s="13" t="str">
        <f t="shared" si="9"/>
        <v>Z</v>
      </c>
      <c r="U12" s="13" t="str">
        <f t="shared" si="9"/>
        <v>A</v>
      </c>
      <c r="V12" s="13" t="str">
        <f t="shared" si="9"/>
        <v>B</v>
      </c>
      <c r="W12" s="13" t="str">
        <f t="shared" si="9"/>
        <v>C</v>
      </c>
      <c r="X12" s="13" t="str">
        <f t="shared" si="9"/>
        <v>D</v>
      </c>
      <c r="Y12" s="13" t="str">
        <f t="shared" si="9"/>
        <v>E</v>
      </c>
      <c r="Z12" s="13" t="str">
        <f t="shared" si="9"/>
        <v>F</v>
      </c>
      <c r="AA12" s="13" t="str">
        <f t="shared" si="9"/>
        <v>G</v>
      </c>
      <c r="AB12" s="13" t="str">
        <f t="shared" si="9"/>
        <v>H</v>
      </c>
      <c r="AC12" s="13" t="str">
        <f t="shared" si="9"/>
        <v>I</v>
      </c>
      <c r="AD12" s="13" t="str">
        <f t="shared" si="9"/>
        <v>J</v>
      </c>
      <c r="AE12" s="13" t="str">
        <f t="shared" si="9"/>
        <v>K</v>
      </c>
      <c r="AF12" s="10"/>
    </row>
    <row r="13" spans="1:59" x14ac:dyDescent="0.35">
      <c r="B13" s="22" t="s">
        <v>390</v>
      </c>
      <c r="C13" s="41" t="str">
        <f>n_RingPosM</f>
        <v>A</v>
      </c>
      <c r="D13" s="11">
        <f>VLOOKUP(C13,nRingOffset,2,FALSE)</f>
        <v>0</v>
      </c>
      <c r="E13" t="s">
        <v>386</v>
      </c>
      <c r="F13" s="14" t="str">
        <f t="shared" ref="F13:AE13" si="10">IF(F11=1,VLOOKUP(nCurPosM+nRingOffsetM+(CODE(F10)-nCharOffset)-1,nNum2Let,2,FALSE),"")</f>
        <v>L</v>
      </c>
      <c r="G13" s="14" t="str">
        <f t="shared" si="10"/>
        <v>M</v>
      </c>
      <c r="H13" s="14" t="str">
        <f t="shared" si="10"/>
        <v>N</v>
      </c>
      <c r="I13" s="14" t="str">
        <f t="shared" si="10"/>
        <v>O</v>
      </c>
      <c r="J13" s="14" t="str">
        <f t="shared" si="10"/>
        <v>P</v>
      </c>
      <c r="K13" s="14" t="str">
        <f t="shared" si="10"/>
        <v>Q</v>
      </c>
      <c r="L13" s="14" t="str">
        <f t="shared" si="10"/>
        <v>R</v>
      </c>
      <c r="M13" s="14" t="str">
        <f t="shared" si="10"/>
        <v>S</v>
      </c>
      <c r="N13" s="14" t="str">
        <f t="shared" si="10"/>
        <v>T</v>
      </c>
      <c r="O13" s="14" t="str">
        <f t="shared" si="10"/>
        <v>U</v>
      </c>
      <c r="P13" s="14" t="str">
        <f t="shared" si="10"/>
        <v>V</v>
      </c>
      <c r="Q13" s="14" t="str">
        <f t="shared" si="10"/>
        <v>W</v>
      </c>
      <c r="R13" s="14" t="str">
        <f t="shared" si="10"/>
        <v>X</v>
      </c>
      <c r="S13" s="14" t="str">
        <f t="shared" si="10"/>
        <v>Y</v>
      </c>
      <c r="T13" s="14" t="str">
        <f t="shared" si="10"/>
        <v>Z</v>
      </c>
      <c r="U13" s="14" t="str">
        <f t="shared" si="10"/>
        <v>A</v>
      </c>
      <c r="V13" s="14" t="str">
        <f t="shared" si="10"/>
        <v>B</v>
      </c>
      <c r="W13" s="14" t="str">
        <f t="shared" si="10"/>
        <v>C</v>
      </c>
      <c r="X13" s="14" t="str">
        <f t="shared" si="10"/>
        <v>D</v>
      </c>
      <c r="Y13" s="14" t="str">
        <f t="shared" si="10"/>
        <v>E</v>
      </c>
      <c r="Z13" s="14" t="str">
        <f t="shared" si="10"/>
        <v>F</v>
      </c>
      <c r="AA13" s="14" t="str">
        <f t="shared" si="10"/>
        <v>G</v>
      </c>
      <c r="AB13" s="14" t="str">
        <f t="shared" si="10"/>
        <v>H</v>
      </c>
      <c r="AC13" s="14" t="str">
        <f t="shared" si="10"/>
        <v>I</v>
      </c>
      <c r="AD13" s="14" t="str">
        <f t="shared" si="10"/>
        <v>J</v>
      </c>
      <c r="AE13" s="14" t="str">
        <f t="shared" si="10"/>
        <v>K</v>
      </c>
      <c r="AF13" s="10"/>
      <c r="AH13" s="28" t="str">
        <f t="shared" ref="AH13:BG13" si="11">IF(LEN(AH15)=2,LEFT(AH15,1),"")</f>
        <v>A</v>
      </c>
      <c r="AI13" s="28" t="str">
        <f t="shared" si="11"/>
        <v>B</v>
      </c>
      <c r="AJ13" s="28" t="str">
        <f t="shared" si="11"/>
        <v>C</v>
      </c>
      <c r="AK13" s="28" t="str">
        <f t="shared" si="11"/>
        <v>D</v>
      </c>
      <c r="AL13" s="28" t="str">
        <f t="shared" si="11"/>
        <v>E</v>
      </c>
      <c r="AM13" s="28" t="str">
        <f t="shared" si="11"/>
        <v>F</v>
      </c>
      <c r="AN13" s="28" t="str">
        <f t="shared" si="11"/>
        <v>G</v>
      </c>
      <c r="AO13" s="28" t="str">
        <f t="shared" si="11"/>
        <v>H</v>
      </c>
      <c r="AP13" s="28" t="str">
        <f t="shared" si="11"/>
        <v>I</v>
      </c>
      <c r="AQ13" s="28" t="str">
        <f t="shared" si="11"/>
        <v>J</v>
      </c>
      <c r="AR13" s="28" t="str">
        <f t="shared" si="11"/>
        <v>K</v>
      </c>
      <c r="AS13" s="28" t="str">
        <f t="shared" si="11"/>
        <v>L</v>
      </c>
      <c r="AT13" s="28" t="str">
        <f t="shared" si="11"/>
        <v>M</v>
      </c>
      <c r="AU13" s="28" t="str">
        <f t="shared" si="11"/>
        <v>N</v>
      </c>
      <c r="AV13" s="28" t="str">
        <f t="shared" si="11"/>
        <v>O</v>
      </c>
      <c r="AW13" s="28" t="str">
        <f t="shared" si="11"/>
        <v>P</v>
      </c>
      <c r="AX13" s="28" t="str">
        <f t="shared" si="11"/>
        <v>Q</v>
      </c>
      <c r="AY13" s="28" t="str">
        <f t="shared" si="11"/>
        <v>R</v>
      </c>
      <c r="AZ13" s="28" t="str">
        <f t="shared" si="11"/>
        <v>S</v>
      </c>
      <c r="BA13" s="28" t="str">
        <f t="shared" si="11"/>
        <v>T</v>
      </c>
      <c r="BB13" s="28" t="str">
        <f t="shared" si="11"/>
        <v>U</v>
      </c>
      <c r="BC13" s="28" t="str">
        <f t="shared" si="11"/>
        <v>V</v>
      </c>
      <c r="BD13" s="28" t="str">
        <f t="shared" si="11"/>
        <v>W</v>
      </c>
      <c r="BE13" s="28" t="str">
        <f t="shared" si="11"/>
        <v>X</v>
      </c>
      <c r="BF13" s="28" t="str">
        <f t="shared" si="11"/>
        <v>Y</v>
      </c>
      <c r="BG13" s="28" t="str">
        <f t="shared" si="11"/>
        <v>Z</v>
      </c>
    </row>
    <row r="14" spans="1:59" x14ac:dyDescent="0.35">
      <c r="B14" s="22"/>
      <c r="C14" s="8"/>
      <c r="E14" t="s">
        <v>387</v>
      </c>
      <c r="F14" s="15" t="str">
        <f t="shared" ref="F14:AE14" si="12">IF(F11=1,VLOOKUP(nRotorM&amp;F13,nRotor,4,FALSE),"")</f>
        <v>I</v>
      </c>
      <c r="G14" s="15" t="str">
        <f t="shared" si="12"/>
        <v>R</v>
      </c>
      <c r="H14" s="15" t="str">
        <f t="shared" si="12"/>
        <v>H</v>
      </c>
      <c r="I14" s="15" t="str">
        <f t="shared" si="12"/>
        <v>X</v>
      </c>
      <c r="J14" s="15" t="str">
        <f t="shared" si="12"/>
        <v>L</v>
      </c>
      <c r="K14" s="15" t="str">
        <f t="shared" si="12"/>
        <v>N</v>
      </c>
      <c r="L14" s="15" t="str">
        <f t="shared" si="12"/>
        <v>F</v>
      </c>
      <c r="M14" s="15" t="str">
        <f t="shared" si="12"/>
        <v>T</v>
      </c>
      <c r="N14" s="15" t="str">
        <f t="shared" si="12"/>
        <v>G</v>
      </c>
      <c r="O14" s="15" t="str">
        <f t="shared" si="12"/>
        <v>K</v>
      </c>
      <c r="P14" s="15" t="str">
        <f t="shared" si="12"/>
        <v>D</v>
      </c>
      <c r="Q14" s="15" t="str">
        <f t="shared" si="12"/>
        <v>C</v>
      </c>
      <c r="R14" s="15" t="str">
        <f t="shared" si="12"/>
        <v>M</v>
      </c>
      <c r="S14" s="15" t="str">
        <f t="shared" si="12"/>
        <v>W</v>
      </c>
      <c r="T14" s="15" t="str">
        <f t="shared" si="12"/>
        <v>B</v>
      </c>
      <c r="U14" s="15" t="str">
        <f t="shared" si="12"/>
        <v>E</v>
      </c>
      <c r="V14" s="15" t="str">
        <f t="shared" si="12"/>
        <v>S</v>
      </c>
      <c r="W14" s="15" t="str">
        <f t="shared" si="12"/>
        <v>O</v>
      </c>
      <c r="X14" s="15" t="str">
        <f t="shared" si="12"/>
        <v>V</v>
      </c>
      <c r="Y14" s="15" t="str">
        <f t="shared" si="12"/>
        <v>P</v>
      </c>
      <c r="Z14" s="15" t="str">
        <f t="shared" si="12"/>
        <v>Z</v>
      </c>
      <c r="AA14" s="15" t="str">
        <f t="shared" si="12"/>
        <v>J</v>
      </c>
      <c r="AB14" s="15" t="str">
        <f t="shared" si="12"/>
        <v>A</v>
      </c>
      <c r="AC14" s="15" t="str">
        <f t="shared" si="12"/>
        <v>Y</v>
      </c>
      <c r="AD14" s="15" t="str">
        <f t="shared" si="12"/>
        <v>Q</v>
      </c>
      <c r="AE14" s="15" t="str">
        <f t="shared" si="12"/>
        <v>U</v>
      </c>
      <c r="AF14" s="10"/>
      <c r="AH14" s="28" t="str">
        <f t="shared" ref="AH14:BG14" si="13">IF(LEN(AH15)=2,RIGHT(AH15,1),"")</f>
        <v>X</v>
      </c>
      <c r="AI14" s="28" t="str">
        <f t="shared" si="13"/>
        <v>G</v>
      </c>
      <c r="AJ14" s="28" t="str">
        <f t="shared" si="13"/>
        <v>W</v>
      </c>
      <c r="AK14" s="28" t="str">
        <f t="shared" si="13"/>
        <v>M</v>
      </c>
      <c r="AL14" s="28" t="str">
        <f t="shared" si="13"/>
        <v>A</v>
      </c>
      <c r="AM14" s="28" t="str">
        <f t="shared" si="13"/>
        <v>C</v>
      </c>
      <c r="AN14" s="28" t="str">
        <f t="shared" si="13"/>
        <v>U</v>
      </c>
      <c r="AO14" s="28" t="str">
        <f t="shared" si="13"/>
        <v>I</v>
      </c>
      <c r="AP14" s="28" t="str">
        <f t="shared" si="13"/>
        <v>V</v>
      </c>
      <c r="AQ14" s="28" t="str">
        <f t="shared" si="13"/>
        <v>Z</v>
      </c>
      <c r="AR14" s="28" t="str">
        <f t="shared" si="13"/>
        <v>S</v>
      </c>
      <c r="AS14" s="28" t="str">
        <f t="shared" si="13"/>
        <v>R</v>
      </c>
      <c r="AT14" s="28" t="str">
        <f t="shared" si="13"/>
        <v>B</v>
      </c>
      <c r="AU14" s="28" t="str">
        <f t="shared" si="13"/>
        <v>L</v>
      </c>
      <c r="AV14" s="28" t="str">
        <f t="shared" si="13"/>
        <v>Q</v>
      </c>
      <c r="AW14" s="28" t="str">
        <f t="shared" si="13"/>
        <v>T</v>
      </c>
      <c r="AX14" s="28" t="str">
        <f t="shared" si="13"/>
        <v>H</v>
      </c>
      <c r="AY14" s="28" t="str">
        <f t="shared" si="13"/>
        <v>D</v>
      </c>
      <c r="AZ14" s="28" t="str">
        <f t="shared" si="13"/>
        <v>K</v>
      </c>
      <c r="BA14" s="28" t="str">
        <f t="shared" si="13"/>
        <v>E</v>
      </c>
      <c r="BB14" s="28" t="str">
        <f t="shared" si="13"/>
        <v>O</v>
      </c>
      <c r="BC14" s="28" t="str">
        <f t="shared" si="13"/>
        <v>Y</v>
      </c>
      <c r="BD14" s="28" t="str">
        <f t="shared" si="13"/>
        <v>P</v>
      </c>
      <c r="BE14" s="28" t="str">
        <f t="shared" si="13"/>
        <v>N</v>
      </c>
      <c r="BF14" s="28" t="str">
        <f t="shared" si="13"/>
        <v>F</v>
      </c>
      <c r="BG14" s="28" t="str">
        <f t="shared" si="13"/>
        <v>J</v>
      </c>
    </row>
    <row r="15" spans="1:59" ht="15" thickBot="1" x14ac:dyDescent="0.4">
      <c r="B15" s="23"/>
      <c r="C15" s="16"/>
      <c r="D15" s="17"/>
      <c r="E15" s="17" t="s">
        <v>388</v>
      </c>
      <c r="F15" s="18" t="str">
        <f t="shared" ref="F15:AE15" si="14">IF(F11=1,IF(CODE(F14)-CODE(F13)&lt;0,VLOOKUP((CODE(F14)-CODE(F13)+26)+(CODE(F10)-nCharOffset),nNum2Let,2,FALSE),VLOOKUP((CODE(F14)-CODE(F13))+(CODE(F10)-nCharOffset),nNum2Let,2,FALSE)),"")</f>
        <v>X</v>
      </c>
      <c r="G15" s="18" t="str">
        <f t="shared" si="14"/>
        <v>G</v>
      </c>
      <c r="H15" s="18" t="str">
        <f t="shared" si="14"/>
        <v>W</v>
      </c>
      <c r="I15" s="18" t="str">
        <f t="shared" si="14"/>
        <v>M</v>
      </c>
      <c r="J15" s="18" t="str">
        <f t="shared" si="14"/>
        <v>A</v>
      </c>
      <c r="K15" s="18" t="str">
        <f t="shared" si="14"/>
        <v>C</v>
      </c>
      <c r="L15" s="18" t="str">
        <f t="shared" si="14"/>
        <v>U</v>
      </c>
      <c r="M15" s="18" t="str">
        <f t="shared" si="14"/>
        <v>I</v>
      </c>
      <c r="N15" s="18" t="str">
        <f t="shared" si="14"/>
        <v>V</v>
      </c>
      <c r="O15" s="18" t="str">
        <f t="shared" si="14"/>
        <v>Z</v>
      </c>
      <c r="P15" s="18" t="str">
        <f t="shared" si="14"/>
        <v>S</v>
      </c>
      <c r="Q15" s="18" t="str">
        <f t="shared" si="14"/>
        <v>R</v>
      </c>
      <c r="R15" s="18" t="str">
        <f t="shared" si="14"/>
        <v>B</v>
      </c>
      <c r="S15" s="18" t="str">
        <f t="shared" si="14"/>
        <v>L</v>
      </c>
      <c r="T15" s="18" t="str">
        <f t="shared" si="14"/>
        <v>Q</v>
      </c>
      <c r="U15" s="18" t="str">
        <f t="shared" si="14"/>
        <v>T</v>
      </c>
      <c r="V15" s="18" t="str">
        <f t="shared" si="14"/>
        <v>H</v>
      </c>
      <c r="W15" s="18" t="str">
        <f t="shared" si="14"/>
        <v>D</v>
      </c>
      <c r="X15" s="18" t="str">
        <f t="shared" si="14"/>
        <v>K</v>
      </c>
      <c r="Y15" s="18" t="str">
        <f t="shared" si="14"/>
        <v>E</v>
      </c>
      <c r="Z15" s="18" t="str">
        <f t="shared" si="14"/>
        <v>O</v>
      </c>
      <c r="AA15" s="18" t="str">
        <f t="shared" si="14"/>
        <v>Y</v>
      </c>
      <c r="AB15" s="18" t="str">
        <f t="shared" si="14"/>
        <v>P</v>
      </c>
      <c r="AC15" s="18" t="str">
        <f t="shared" si="14"/>
        <v>N</v>
      </c>
      <c r="AD15" s="18" t="str">
        <f t="shared" si="14"/>
        <v>F</v>
      </c>
      <c r="AE15" s="18" t="str">
        <f t="shared" si="14"/>
        <v>J</v>
      </c>
      <c r="AF15" s="19" t="str">
        <f>CONCATENATE(F15,G15,H15,I15,J15,K15,L15,M15,N15,O15,P15,Q15,R15,S15,T15&amp;U15,V15,W15,X15,Y15,Z15,AA15,AB15,AC15,AD15,AE15)</f>
        <v>XGWMACUIVZSRBLQTHDKEOYPNFJ</v>
      </c>
      <c r="AH15" s="12" t="str">
        <f>F10&amp;F15</f>
        <v>AX</v>
      </c>
      <c r="AI15" s="12" t="str">
        <f t="shared" ref="AI15:BG15" si="15">G10&amp;G15</f>
        <v>BG</v>
      </c>
      <c r="AJ15" s="12" t="str">
        <f t="shared" si="15"/>
        <v>CW</v>
      </c>
      <c r="AK15" s="12" t="str">
        <f t="shared" si="15"/>
        <v>DM</v>
      </c>
      <c r="AL15" s="12" t="str">
        <f t="shared" si="15"/>
        <v>EA</v>
      </c>
      <c r="AM15" s="12" t="str">
        <f t="shared" si="15"/>
        <v>FC</v>
      </c>
      <c r="AN15" s="12" t="str">
        <f t="shared" si="15"/>
        <v>GU</v>
      </c>
      <c r="AO15" s="12" t="str">
        <f t="shared" si="15"/>
        <v>HI</v>
      </c>
      <c r="AP15" s="12" t="str">
        <f t="shared" si="15"/>
        <v>IV</v>
      </c>
      <c r="AQ15" s="12" t="str">
        <f t="shared" si="15"/>
        <v>JZ</v>
      </c>
      <c r="AR15" s="12" t="str">
        <f t="shared" si="15"/>
        <v>KS</v>
      </c>
      <c r="AS15" s="12" t="str">
        <f t="shared" si="15"/>
        <v>LR</v>
      </c>
      <c r="AT15" s="12" t="str">
        <f t="shared" si="15"/>
        <v>MB</v>
      </c>
      <c r="AU15" s="12" t="str">
        <f t="shared" si="15"/>
        <v>NL</v>
      </c>
      <c r="AV15" s="12" t="str">
        <f t="shared" si="15"/>
        <v>OQ</v>
      </c>
      <c r="AW15" s="12" t="str">
        <f t="shared" si="15"/>
        <v>PT</v>
      </c>
      <c r="AX15" s="12" t="str">
        <f t="shared" si="15"/>
        <v>QH</v>
      </c>
      <c r="AY15" s="12" t="str">
        <f t="shared" si="15"/>
        <v>RD</v>
      </c>
      <c r="AZ15" s="12" t="str">
        <f t="shared" si="15"/>
        <v>SK</v>
      </c>
      <c r="BA15" s="12" t="str">
        <f t="shared" si="15"/>
        <v>TE</v>
      </c>
      <c r="BB15" s="12" t="str">
        <f t="shared" si="15"/>
        <v>UO</v>
      </c>
      <c r="BC15" s="12" t="str">
        <f t="shared" si="15"/>
        <v>VY</v>
      </c>
      <c r="BD15" s="12" t="str">
        <f t="shared" si="15"/>
        <v>WP</v>
      </c>
      <c r="BE15" s="12" t="str">
        <f t="shared" si="15"/>
        <v>XN</v>
      </c>
      <c r="BF15" s="12" t="str">
        <f t="shared" si="15"/>
        <v>YF</v>
      </c>
      <c r="BG15" s="12" t="str">
        <f t="shared" si="15"/>
        <v>ZJ</v>
      </c>
    </row>
    <row r="16" spans="1:59" x14ac:dyDescent="0.35">
      <c r="B16" s="21"/>
      <c r="C16" s="4"/>
      <c r="D16" s="5"/>
      <c r="E16" s="5" t="s">
        <v>385</v>
      </c>
      <c r="F16" s="6" t="s">
        <v>0</v>
      </c>
      <c r="G16" s="6" t="s">
        <v>1</v>
      </c>
      <c r="H16" s="6" t="s">
        <v>2</v>
      </c>
      <c r="I16" s="6" t="s">
        <v>3</v>
      </c>
      <c r="J16" s="6" t="s">
        <v>4</v>
      </c>
      <c r="K16" s="6" t="s">
        <v>5</v>
      </c>
      <c r="L16" s="6" t="s">
        <v>6</v>
      </c>
      <c r="M16" s="6" t="s">
        <v>7</v>
      </c>
      <c r="N16" s="6" t="s">
        <v>8</v>
      </c>
      <c r="O16" s="6" t="s">
        <v>9</v>
      </c>
      <c r="P16" s="6" t="s">
        <v>10</v>
      </c>
      <c r="Q16" s="6" t="s">
        <v>11</v>
      </c>
      <c r="R16" s="6" t="s">
        <v>12</v>
      </c>
      <c r="S16" s="6" t="s">
        <v>13</v>
      </c>
      <c r="T16" s="6" t="s">
        <v>14</v>
      </c>
      <c r="U16" s="6" t="s">
        <v>15</v>
      </c>
      <c r="V16" s="6" t="s">
        <v>16</v>
      </c>
      <c r="W16" s="6" t="s">
        <v>17</v>
      </c>
      <c r="X16" s="6" t="s">
        <v>18</v>
      </c>
      <c r="Y16" s="6" t="s">
        <v>19</v>
      </c>
      <c r="Z16" s="6" t="s">
        <v>20</v>
      </c>
      <c r="AA16" s="6" t="s">
        <v>21</v>
      </c>
      <c r="AB16" s="6" t="s">
        <v>22</v>
      </c>
      <c r="AC16" s="6" t="s">
        <v>23</v>
      </c>
      <c r="AD16" s="6" t="s">
        <v>24</v>
      </c>
      <c r="AE16" s="6" t="s">
        <v>25</v>
      </c>
      <c r="AF16" s="7"/>
      <c r="AH16" s="28" t="str">
        <f>HLOOKUP(AH8,$AH13:$BG14,2,FALSE)</f>
        <v>X</v>
      </c>
      <c r="AI16" s="28" t="str">
        <f>HLOOKUP(AI8,$AH13:$BG14,2,FALSE)</f>
        <v>H</v>
      </c>
      <c r="AJ16" s="28" t="str">
        <f>HLOOKUP(AJ8,$AH13:$BG14,2,FALSE)</f>
        <v>Z</v>
      </c>
      <c r="AK16" s="28" t="str">
        <f t="shared" ref="AK16:BG16" si="16">HLOOKUP(AK8,$AH13:$BG14,2,FALSE)</f>
        <v>N</v>
      </c>
      <c r="AL16" s="28" t="str">
        <f t="shared" si="16"/>
        <v>J</v>
      </c>
      <c r="AM16" s="28" t="str">
        <f t="shared" si="16"/>
        <v>V</v>
      </c>
      <c r="AN16" s="28" t="str">
        <f t="shared" si="16"/>
        <v>T</v>
      </c>
      <c r="AO16" s="28" t="str">
        <f t="shared" si="16"/>
        <v>C</v>
      </c>
      <c r="AP16" s="28" t="str">
        <f t="shared" si="16"/>
        <v>F</v>
      </c>
      <c r="AQ16" s="28" t="str">
        <f t="shared" si="16"/>
        <v>Q</v>
      </c>
      <c r="AR16" s="28" t="str">
        <f t="shared" si="16"/>
        <v>S</v>
      </c>
      <c r="AS16" s="28" t="str">
        <f t="shared" si="16"/>
        <v>E</v>
      </c>
      <c r="AT16" s="28" t="str">
        <f t="shared" si="16"/>
        <v>L</v>
      </c>
      <c r="AU16" s="28" t="str">
        <f t="shared" si="16"/>
        <v>O</v>
      </c>
      <c r="AV16" s="28" t="str">
        <f t="shared" si="16"/>
        <v>W</v>
      </c>
      <c r="AW16" s="28" t="str">
        <f t="shared" si="16"/>
        <v>K</v>
      </c>
      <c r="AX16" s="28" t="str">
        <f t="shared" si="16"/>
        <v>G</v>
      </c>
      <c r="AY16" s="28" t="str">
        <f t="shared" si="16"/>
        <v>A</v>
      </c>
      <c r="AZ16" s="28" t="str">
        <f t="shared" si="16"/>
        <v>I</v>
      </c>
      <c r="BA16" s="28" t="str">
        <f t="shared" si="16"/>
        <v>R</v>
      </c>
      <c r="BB16" s="28" t="str">
        <f t="shared" si="16"/>
        <v>Y</v>
      </c>
      <c r="BC16" s="28" t="str">
        <f t="shared" si="16"/>
        <v>D</v>
      </c>
      <c r="BD16" s="28" t="str">
        <f t="shared" si="16"/>
        <v>U</v>
      </c>
      <c r="BE16" s="28" t="str">
        <f t="shared" si="16"/>
        <v>M</v>
      </c>
      <c r="BF16" s="28" t="str">
        <f t="shared" si="16"/>
        <v>P</v>
      </c>
      <c r="BG16" s="28" t="str">
        <f t="shared" si="16"/>
        <v>B</v>
      </c>
    </row>
    <row r="17" spans="1:59" x14ac:dyDescent="0.35">
      <c r="A17" s="43">
        <f>INT(D2/676)</f>
        <v>5</v>
      </c>
      <c r="B17" s="10"/>
      <c r="C17" s="8"/>
      <c r="F17" s="1">
        <f>IF(ISERROR(FIND(F16,$AF15)),0,1)</f>
        <v>1</v>
      </c>
      <c r="G17" s="1">
        <f t="shared" ref="G17:AE17" si="17">IF(ISERROR(FIND(G16,$AF15)),0,1)</f>
        <v>1</v>
      </c>
      <c r="H17" s="1">
        <f t="shared" si="17"/>
        <v>1</v>
      </c>
      <c r="I17" s="1">
        <f t="shared" si="17"/>
        <v>1</v>
      </c>
      <c r="J17" s="1">
        <f t="shared" si="17"/>
        <v>1</v>
      </c>
      <c r="K17" s="1">
        <f t="shared" si="17"/>
        <v>1</v>
      </c>
      <c r="L17" s="1">
        <f t="shared" si="17"/>
        <v>1</v>
      </c>
      <c r="M17" s="1">
        <f t="shared" si="17"/>
        <v>1</v>
      </c>
      <c r="N17" s="1">
        <f t="shared" si="17"/>
        <v>1</v>
      </c>
      <c r="O17" s="1">
        <f t="shared" si="17"/>
        <v>1</v>
      </c>
      <c r="P17" s="1">
        <f t="shared" si="17"/>
        <v>1</v>
      </c>
      <c r="Q17" s="1">
        <f t="shared" si="17"/>
        <v>1</v>
      </c>
      <c r="R17" s="1">
        <f t="shared" si="17"/>
        <v>1</v>
      </c>
      <c r="S17" s="1">
        <f t="shared" si="17"/>
        <v>1</v>
      </c>
      <c r="T17" s="1">
        <f t="shared" si="17"/>
        <v>1</v>
      </c>
      <c r="U17" s="1">
        <f t="shared" si="17"/>
        <v>1</v>
      </c>
      <c r="V17" s="1">
        <f t="shared" si="17"/>
        <v>1</v>
      </c>
      <c r="W17" s="1">
        <f t="shared" si="17"/>
        <v>1</v>
      </c>
      <c r="X17" s="1">
        <f t="shared" si="17"/>
        <v>1</v>
      </c>
      <c r="Y17" s="1">
        <f t="shared" si="17"/>
        <v>1</v>
      </c>
      <c r="Z17" s="1">
        <f t="shared" si="17"/>
        <v>1</v>
      </c>
      <c r="AA17" s="1">
        <f t="shared" si="17"/>
        <v>1</v>
      </c>
      <c r="AB17" s="1">
        <f t="shared" si="17"/>
        <v>1</v>
      </c>
      <c r="AC17" s="1">
        <f t="shared" si="17"/>
        <v>1</v>
      </c>
      <c r="AD17" s="1">
        <f t="shared" si="17"/>
        <v>1</v>
      </c>
      <c r="AE17" s="1">
        <f t="shared" si="17"/>
        <v>1</v>
      </c>
      <c r="AF17" s="10"/>
    </row>
    <row r="18" spans="1:59" x14ac:dyDescent="0.35">
      <c r="A18" s="43">
        <f>IF(A17=0,26,A17)</f>
        <v>5</v>
      </c>
      <c r="B18" s="10" t="s">
        <v>381</v>
      </c>
      <c r="C18" s="41">
        <f>n_RotorL</f>
        <v>1</v>
      </c>
      <c r="D18" s="11">
        <f>A18</f>
        <v>5</v>
      </c>
      <c r="E18" s="11">
        <f>IF(MOD(D18,26)=0,26,MOD(D18,26))</f>
        <v>5</v>
      </c>
      <c r="F18" s="12" t="str">
        <f>CHAR(E18+nCharOffset)</f>
        <v>E</v>
      </c>
      <c r="G18" s="13" t="str">
        <f t="shared" ref="G18:AE18" si="18">VLOOKUP(F18,nNextLetter,2,FALSE)</f>
        <v>F</v>
      </c>
      <c r="H18" s="13" t="str">
        <f t="shared" si="18"/>
        <v>G</v>
      </c>
      <c r="I18" s="13" t="str">
        <f t="shared" si="18"/>
        <v>H</v>
      </c>
      <c r="J18" s="13" t="str">
        <f t="shared" si="18"/>
        <v>I</v>
      </c>
      <c r="K18" s="13" t="str">
        <f t="shared" si="18"/>
        <v>J</v>
      </c>
      <c r="L18" s="13" t="str">
        <f t="shared" si="18"/>
        <v>K</v>
      </c>
      <c r="M18" s="13" t="str">
        <f t="shared" si="18"/>
        <v>L</v>
      </c>
      <c r="N18" s="13" t="str">
        <f t="shared" si="18"/>
        <v>M</v>
      </c>
      <c r="O18" s="13" t="str">
        <f t="shared" si="18"/>
        <v>N</v>
      </c>
      <c r="P18" s="13" t="str">
        <f t="shared" si="18"/>
        <v>O</v>
      </c>
      <c r="Q18" s="13" t="str">
        <f t="shared" si="18"/>
        <v>P</v>
      </c>
      <c r="R18" s="13" t="str">
        <f t="shared" si="18"/>
        <v>Q</v>
      </c>
      <c r="S18" s="13" t="str">
        <f t="shared" si="18"/>
        <v>R</v>
      </c>
      <c r="T18" s="13" t="str">
        <f t="shared" si="18"/>
        <v>S</v>
      </c>
      <c r="U18" s="13" t="str">
        <f t="shared" si="18"/>
        <v>T</v>
      </c>
      <c r="V18" s="13" t="str">
        <f t="shared" si="18"/>
        <v>U</v>
      </c>
      <c r="W18" s="13" t="str">
        <f t="shared" si="18"/>
        <v>V</v>
      </c>
      <c r="X18" s="13" t="str">
        <f t="shared" si="18"/>
        <v>W</v>
      </c>
      <c r="Y18" s="13" t="str">
        <f t="shared" si="18"/>
        <v>X</v>
      </c>
      <c r="Z18" s="13" t="str">
        <f t="shared" si="18"/>
        <v>Y</v>
      </c>
      <c r="AA18" s="13" t="str">
        <f t="shared" si="18"/>
        <v>Z</v>
      </c>
      <c r="AB18" s="13" t="str">
        <f t="shared" si="18"/>
        <v>A</v>
      </c>
      <c r="AC18" s="13" t="str">
        <f t="shared" si="18"/>
        <v>B</v>
      </c>
      <c r="AD18" s="13" t="str">
        <f t="shared" si="18"/>
        <v>C</v>
      </c>
      <c r="AE18" s="13" t="str">
        <f t="shared" si="18"/>
        <v>D</v>
      </c>
      <c r="AF18" s="10"/>
    </row>
    <row r="19" spans="1:59" x14ac:dyDescent="0.35">
      <c r="B19" s="22" t="s">
        <v>391</v>
      </c>
      <c r="C19" s="41" t="str">
        <f>n_RingPosL</f>
        <v>A</v>
      </c>
      <c r="D19" s="11">
        <f>VLOOKUP(C19,nRingOffset,2,FALSE)</f>
        <v>0</v>
      </c>
      <c r="E19" t="s">
        <v>386</v>
      </c>
      <c r="F19" s="14" t="str">
        <f t="shared" ref="F19:AE19" si="19">IF(F17=1,VLOOKUP(nCurPosL+nRingOffsetL+(CODE(F16)-nCharOffset)-1,nNum2Let,2,FALSE),"")</f>
        <v>E</v>
      </c>
      <c r="G19" s="14" t="str">
        <f t="shared" si="19"/>
        <v>F</v>
      </c>
      <c r="H19" s="14" t="str">
        <f t="shared" si="19"/>
        <v>G</v>
      </c>
      <c r="I19" s="14" t="str">
        <f t="shared" si="19"/>
        <v>H</v>
      </c>
      <c r="J19" s="14" t="str">
        <f t="shared" si="19"/>
        <v>I</v>
      </c>
      <c r="K19" s="14" t="str">
        <f t="shared" si="19"/>
        <v>J</v>
      </c>
      <c r="L19" s="14" t="str">
        <f t="shared" si="19"/>
        <v>K</v>
      </c>
      <c r="M19" s="14" t="str">
        <f t="shared" si="19"/>
        <v>L</v>
      </c>
      <c r="N19" s="14" t="str">
        <f t="shared" si="19"/>
        <v>M</v>
      </c>
      <c r="O19" s="14" t="str">
        <f t="shared" si="19"/>
        <v>N</v>
      </c>
      <c r="P19" s="14" t="str">
        <f t="shared" si="19"/>
        <v>O</v>
      </c>
      <c r="Q19" s="14" t="str">
        <f t="shared" si="19"/>
        <v>P</v>
      </c>
      <c r="R19" s="14" t="str">
        <f t="shared" si="19"/>
        <v>Q</v>
      </c>
      <c r="S19" s="14" t="str">
        <f t="shared" si="19"/>
        <v>R</v>
      </c>
      <c r="T19" s="14" t="str">
        <f t="shared" si="19"/>
        <v>S</v>
      </c>
      <c r="U19" s="14" t="str">
        <f t="shared" si="19"/>
        <v>T</v>
      </c>
      <c r="V19" s="14" t="str">
        <f t="shared" si="19"/>
        <v>U</v>
      </c>
      <c r="W19" s="14" t="str">
        <f t="shared" si="19"/>
        <v>V</v>
      </c>
      <c r="X19" s="14" t="str">
        <f t="shared" si="19"/>
        <v>W</v>
      </c>
      <c r="Y19" s="14" t="str">
        <f t="shared" si="19"/>
        <v>X</v>
      </c>
      <c r="Z19" s="14" t="str">
        <f t="shared" si="19"/>
        <v>Y</v>
      </c>
      <c r="AA19" s="14" t="str">
        <f t="shared" si="19"/>
        <v>Z</v>
      </c>
      <c r="AB19" s="14" t="str">
        <f t="shared" si="19"/>
        <v>A</v>
      </c>
      <c r="AC19" s="14" t="str">
        <f t="shared" si="19"/>
        <v>B</v>
      </c>
      <c r="AD19" s="14" t="str">
        <f t="shared" si="19"/>
        <v>C</v>
      </c>
      <c r="AE19" s="14" t="str">
        <f t="shared" si="19"/>
        <v>D</v>
      </c>
      <c r="AF19" s="10"/>
      <c r="AH19" s="28" t="str">
        <f t="shared" ref="AH19:BG19" si="20">IF(LEN(AH21)=2,LEFT(AH21,1),"")</f>
        <v>A</v>
      </c>
      <c r="AI19" s="28" t="str">
        <f t="shared" si="20"/>
        <v>B</v>
      </c>
      <c r="AJ19" s="28" t="str">
        <f t="shared" si="20"/>
        <v>C</v>
      </c>
      <c r="AK19" s="28" t="str">
        <f t="shared" si="20"/>
        <v>D</v>
      </c>
      <c r="AL19" s="28" t="str">
        <f t="shared" si="20"/>
        <v>E</v>
      </c>
      <c r="AM19" s="28" t="str">
        <f t="shared" si="20"/>
        <v>F</v>
      </c>
      <c r="AN19" s="28" t="str">
        <f t="shared" si="20"/>
        <v>G</v>
      </c>
      <c r="AO19" s="28" t="str">
        <f t="shared" si="20"/>
        <v>H</v>
      </c>
      <c r="AP19" s="28" t="str">
        <f t="shared" si="20"/>
        <v>I</v>
      </c>
      <c r="AQ19" s="28" t="str">
        <f t="shared" si="20"/>
        <v>J</v>
      </c>
      <c r="AR19" s="28" t="str">
        <f t="shared" si="20"/>
        <v>K</v>
      </c>
      <c r="AS19" s="28" t="str">
        <f t="shared" si="20"/>
        <v>L</v>
      </c>
      <c r="AT19" s="28" t="str">
        <f t="shared" si="20"/>
        <v>M</v>
      </c>
      <c r="AU19" s="28" t="str">
        <f t="shared" si="20"/>
        <v>N</v>
      </c>
      <c r="AV19" s="28" t="str">
        <f t="shared" si="20"/>
        <v>O</v>
      </c>
      <c r="AW19" s="28" t="str">
        <f t="shared" si="20"/>
        <v>P</v>
      </c>
      <c r="AX19" s="28" t="str">
        <f t="shared" si="20"/>
        <v>Q</v>
      </c>
      <c r="AY19" s="28" t="str">
        <f t="shared" si="20"/>
        <v>R</v>
      </c>
      <c r="AZ19" s="28" t="str">
        <f t="shared" si="20"/>
        <v>S</v>
      </c>
      <c r="BA19" s="28" t="str">
        <f t="shared" si="20"/>
        <v>T</v>
      </c>
      <c r="BB19" s="28" t="str">
        <f t="shared" si="20"/>
        <v>U</v>
      </c>
      <c r="BC19" s="28" t="str">
        <f t="shared" si="20"/>
        <v>V</v>
      </c>
      <c r="BD19" s="28" t="str">
        <f t="shared" si="20"/>
        <v>W</v>
      </c>
      <c r="BE19" s="28" t="str">
        <f t="shared" si="20"/>
        <v>X</v>
      </c>
      <c r="BF19" s="28" t="str">
        <f t="shared" si="20"/>
        <v>Y</v>
      </c>
      <c r="BG19" s="28" t="str">
        <f t="shared" si="20"/>
        <v>Z</v>
      </c>
    </row>
    <row r="20" spans="1:59" x14ac:dyDescent="0.35">
      <c r="B20" s="22"/>
      <c r="C20" s="8"/>
      <c r="E20" t="s">
        <v>387</v>
      </c>
      <c r="F20" s="15" t="str">
        <f t="shared" ref="F20:AE20" si="21">IF(F17=1,VLOOKUP(nRotorL&amp;F19,nRotor,4,FALSE),"")</f>
        <v>L</v>
      </c>
      <c r="G20" s="15" t="str">
        <f t="shared" si="21"/>
        <v>G</v>
      </c>
      <c r="H20" s="15" t="str">
        <f t="shared" si="21"/>
        <v>D</v>
      </c>
      <c r="I20" s="15" t="str">
        <f t="shared" si="21"/>
        <v>Q</v>
      </c>
      <c r="J20" s="15" t="str">
        <f t="shared" si="21"/>
        <v>V</v>
      </c>
      <c r="K20" s="15" t="str">
        <f t="shared" si="21"/>
        <v>Z</v>
      </c>
      <c r="L20" s="15" t="str">
        <f t="shared" si="21"/>
        <v>N</v>
      </c>
      <c r="M20" s="15" t="str">
        <f t="shared" si="21"/>
        <v>T</v>
      </c>
      <c r="N20" s="15" t="str">
        <f t="shared" si="21"/>
        <v>O</v>
      </c>
      <c r="O20" s="15" t="str">
        <f t="shared" si="21"/>
        <v>W</v>
      </c>
      <c r="P20" s="15" t="str">
        <f t="shared" si="21"/>
        <v>Y</v>
      </c>
      <c r="Q20" s="15" t="str">
        <f t="shared" si="21"/>
        <v>H</v>
      </c>
      <c r="R20" s="15" t="str">
        <f t="shared" si="21"/>
        <v>X</v>
      </c>
      <c r="S20" s="15" t="str">
        <f t="shared" si="21"/>
        <v>U</v>
      </c>
      <c r="T20" s="15" t="str">
        <f t="shared" si="21"/>
        <v>S</v>
      </c>
      <c r="U20" s="15" t="str">
        <f t="shared" si="21"/>
        <v>P</v>
      </c>
      <c r="V20" s="15" t="str">
        <f t="shared" si="21"/>
        <v>A</v>
      </c>
      <c r="W20" s="15" t="str">
        <f t="shared" si="21"/>
        <v>I</v>
      </c>
      <c r="X20" s="15" t="str">
        <f t="shared" si="21"/>
        <v>B</v>
      </c>
      <c r="Y20" s="15" t="str">
        <f t="shared" si="21"/>
        <v>R</v>
      </c>
      <c r="Z20" s="15" t="str">
        <f t="shared" si="21"/>
        <v>C</v>
      </c>
      <c r="AA20" s="15" t="str">
        <f t="shared" si="21"/>
        <v>J</v>
      </c>
      <c r="AB20" s="15" t="str">
        <f t="shared" si="21"/>
        <v>E</v>
      </c>
      <c r="AC20" s="15" t="str">
        <f t="shared" si="21"/>
        <v>K</v>
      </c>
      <c r="AD20" s="15" t="str">
        <f t="shared" si="21"/>
        <v>M</v>
      </c>
      <c r="AE20" s="15" t="str">
        <f t="shared" si="21"/>
        <v>F</v>
      </c>
      <c r="AF20" s="10"/>
      <c r="AH20" s="28" t="str">
        <f t="shared" ref="AH20:BG20" si="22">IF(LEN(AH21)=2,RIGHT(AH21,1),"")</f>
        <v>H</v>
      </c>
      <c r="AI20" s="28" t="str">
        <f t="shared" si="22"/>
        <v>C</v>
      </c>
      <c r="AJ20" s="28" t="str">
        <f t="shared" si="22"/>
        <v>Z</v>
      </c>
      <c r="AK20" s="28" t="str">
        <f t="shared" si="22"/>
        <v>M</v>
      </c>
      <c r="AL20" s="28" t="str">
        <f t="shared" si="22"/>
        <v>R</v>
      </c>
      <c r="AM20" s="28" t="str">
        <f t="shared" si="22"/>
        <v>V</v>
      </c>
      <c r="AN20" s="28" t="str">
        <f t="shared" si="22"/>
        <v>J</v>
      </c>
      <c r="AO20" s="28" t="str">
        <f t="shared" si="22"/>
        <v>P</v>
      </c>
      <c r="AP20" s="28" t="str">
        <f t="shared" si="22"/>
        <v>K</v>
      </c>
      <c r="AQ20" s="28" t="str">
        <f t="shared" si="22"/>
        <v>S</v>
      </c>
      <c r="AR20" s="28" t="str">
        <f t="shared" si="22"/>
        <v>U</v>
      </c>
      <c r="AS20" s="28" t="str">
        <f t="shared" si="22"/>
        <v>D</v>
      </c>
      <c r="AT20" s="28" t="str">
        <f t="shared" si="22"/>
        <v>T</v>
      </c>
      <c r="AU20" s="28" t="str">
        <f t="shared" si="22"/>
        <v>Q</v>
      </c>
      <c r="AV20" s="28" t="str">
        <f t="shared" si="22"/>
        <v>O</v>
      </c>
      <c r="AW20" s="28" t="str">
        <f t="shared" si="22"/>
        <v>L</v>
      </c>
      <c r="AX20" s="28" t="str">
        <f t="shared" si="22"/>
        <v>W</v>
      </c>
      <c r="AY20" s="28" t="str">
        <f t="shared" si="22"/>
        <v>E</v>
      </c>
      <c r="AZ20" s="28" t="str">
        <f t="shared" si="22"/>
        <v>X</v>
      </c>
      <c r="BA20" s="28" t="str">
        <f t="shared" si="22"/>
        <v>N</v>
      </c>
      <c r="BB20" s="28" t="str">
        <f t="shared" si="22"/>
        <v>Y</v>
      </c>
      <c r="BC20" s="28" t="str">
        <f t="shared" si="22"/>
        <v>F</v>
      </c>
      <c r="BD20" s="28" t="str">
        <f t="shared" si="22"/>
        <v>A</v>
      </c>
      <c r="BE20" s="28" t="str">
        <f t="shared" si="22"/>
        <v>G</v>
      </c>
      <c r="BF20" s="28" t="str">
        <f t="shared" si="22"/>
        <v>I</v>
      </c>
      <c r="BG20" s="28" t="str">
        <f t="shared" si="22"/>
        <v>B</v>
      </c>
    </row>
    <row r="21" spans="1:59" ht="15" thickBot="1" x14ac:dyDescent="0.4">
      <c r="B21" s="23"/>
      <c r="C21" s="16"/>
      <c r="D21" s="17"/>
      <c r="E21" s="17" t="s">
        <v>388</v>
      </c>
      <c r="F21" s="18" t="str">
        <f t="shared" ref="F21:AE21" si="23">IF(F17=1,IF(CODE(F20)-CODE(F19)&lt;0,VLOOKUP((CODE(F20)-CODE(F19)+26)+(CODE(F16)-nCharOffset),nNum2Let,2,FALSE),VLOOKUP((CODE(F20)-CODE(F19))+(CODE(F16)-nCharOffset),nNum2Let,2,FALSE)),"")</f>
        <v>H</v>
      </c>
      <c r="G21" s="18" t="str">
        <f t="shared" si="23"/>
        <v>C</v>
      </c>
      <c r="H21" s="18" t="str">
        <f t="shared" si="23"/>
        <v>Z</v>
      </c>
      <c r="I21" s="18" t="str">
        <f t="shared" si="23"/>
        <v>M</v>
      </c>
      <c r="J21" s="18" t="str">
        <f t="shared" si="23"/>
        <v>R</v>
      </c>
      <c r="K21" s="18" t="str">
        <f t="shared" si="23"/>
        <v>V</v>
      </c>
      <c r="L21" s="18" t="str">
        <f t="shared" si="23"/>
        <v>J</v>
      </c>
      <c r="M21" s="18" t="str">
        <f t="shared" si="23"/>
        <v>P</v>
      </c>
      <c r="N21" s="18" t="str">
        <f t="shared" si="23"/>
        <v>K</v>
      </c>
      <c r="O21" s="18" t="str">
        <f t="shared" si="23"/>
        <v>S</v>
      </c>
      <c r="P21" s="18" t="str">
        <f t="shared" si="23"/>
        <v>U</v>
      </c>
      <c r="Q21" s="18" t="str">
        <f t="shared" si="23"/>
        <v>D</v>
      </c>
      <c r="R21" s="18" t="str">
        <f t="shared" si="23"/>
        <v>T</v>
      </c>
      <c r="S21" s="18" t="str">
        <f t="shared" si="23"/>
        <v>Q</v>
      </c>
      <c r="T21" s="18" t="str">
        <f t="shared" si="23"/>
        <v>O</v>
      </c>
      <c r="U21" s="18" t="str">
        <f t="shared" si="23"/>
        <v>L</v>
      </c>
      <c r="V21" s="18" t="str">
        <f t="shared" si="23"/>
        <v>W</v>
      </c>
      <c r="W21" s="18" t="str">
        <f t="shared" si="23"/>
        <v>E</v>
      </c>
      <c r="X21" s="18" t="str">
        <f t="shared" si="23"/>
        <v>X</v>
      </c>
      <c r="Y21" s="18" t="str">
        <f t="shared" si="23"/>
        <v>N</v>
      </c>
      <c r="Z21" s="18" t="str">
        <f t="shared" si="23"/>
        <v>Y</v>
      </c>
      <c r="AA21" s="18" t="str">
        <f t="shared" si="23"/>
        <v>F</v>
      </c>
      <c r="AB21" s="18" t="str">
        <f t="shared" si="23"/>
        <v>A</v>
      </c>
      <c r="AC21" s="18" t="str">
        <f t="shared" si="23"/>
        <v>G</v>
      </c>
      <c r="AD21" s="18" t="str">
        <f t="shared" si="23"/>
        <v>I</v>
      </c>
      <c r="AE21" s="18" t="str">
        <f t="shared" si="23"/>
        <v>B</v>
      </c>
      <c r="AF21" s="19" t="str">
        <f>CONCATENATE(F21,G21,H21,I21,J21,K21,L21,M21,N21,O21,P21,Q21,R21,S21,T21&amp;U21,V21,W21,X21,Y21,Z21,AA21,AB21,AC21,AD21,AE21)</f>
        <v>HCZMRVJPKSUDTQOLWEXNYFAGIB</v>
      </c>
      <c r="AH21" s="12" t="str">
        <f>F16&amp;F21</f>
        <v>AH</v>
      </c>
      <c r="AI21" s="12" t="str">
        <f t="shared" ref="AI21:BG21" si="24">G16&amp;G21</f>
        <v>BC</v>
      </c>
      <c r="AJ21" s="12" t="str">
        <f t="shared" si="24"/>
        <v>CZ</v>
      </c>
      <c r="AK21" s="12" t="str">
        <f t="shared" si="24"/>
        <v>DM</v>
      </c>
      <c r="AL21" s="12" t="str">
        <f t="shared" si="24"/>
        <v>ER</v>
      </c>
      <c r="AM21" s="12" t="str">
        <f t="shared" si="24"/>
        <v>FV</v>
      </c>
      <c r="AN21" s="12" t="str">
        <f t="shared" si="24"/>
        <v>GJ</v>
      </c>
      <c r="AO21" s="12" t="str">
        <f t="shared" si="24"/>
        <v>HP</v>
      </c>
      <c r="AP21" s="12" t="str">
        <f t="shared" si="24"/>
        <v>IK</v>
      </c>
      <c r="AQ21" s="12" t="str">
        <f t="shared" si="24"/>
        <v>JS</v>
      </c>
      <c r="AR21" s="12" t="str">
        <f t="shared" si="24"/>
        <v>KU</v>
      </c>
      <c r="AS21" s="12" t="str">
        <f t="shared" si="24"/>
        <v>LD</v>
      </c>
      <c r="AT21" s="12" t="str">
        <f t="shared" si="24"/>
        <v>MT</v>
      </c>
      <c r="AU21" s="12" t="str">
        <f t="shared" si="24"/>
        <v>NQ</v>
      </c>
      <c r="AV21" s="12" t="str">
        <f t="shared" si="24"/>
        <v>OO</v>
      </c>
      <c r="AW21" s="12" t="str">
        <f t="shared" si="24"/>
        <v>PL</v>
      </c>
      <c r="AX21" s="12" t="str">
        <f t="shared" si="24"/>
        <v>QW</v>
      </c>
      <c r="AY21" s="12" t="str">
        <f t="shared" si="24"/>
        <v>RE</v>
      </c>
      <c r="AZ21" s="12" t="str">
        <f t="shared" si="24"/>
        <v>SX</v>
      </c>
      <c r="BA21" s="12" t="str">
        <f t="shared" si="24"/>
        <v>TN</v>
      </c>
      <c r="BB21" s="12" t="str">
        <f t="shared" si="24"/>
        <v>UY</v>
      </c>
      <c r="BC21" s="12" t="str">
        <f t="shared" si="24"/>
        <v>VF</v>
      </c>
      <c r="BD21" s="12" t="str">
        <f t="shared" si="24"/>
        <v>WA</v>
      </c>
      <c r="BE21" s="12" t="str">
        <f t="shared" si="24"/>
        <v>XG</v>
      </c>
      <c r="BF21" s="12" t="str">
        <f t="shared" si="24"/>
        <v>YI</v>
      </c>
      <c r="BG21" s="12" t="str">
        <f t="shared" si="24"/>
        <v>ZB</v>
      </c>
    </row>
    <row r="22" spans="1:59" x14ac:dyDescent="0.35">
      <c r="B22" s="21"/>
      <c r="C22" s="5"/>
      <c r="D22" s="5"/>
      <c r="E22" s="5" t="s">
        <v>385</v>
      </c>
      <c r="F22" s="6" t="s">
        <v>0</v>
      </c>
      <c r="G22" s="6" t="s">
        <v>1</v>
      </c>
      <c r="H22" s="6" t="s">
        <v>2</v>
      </c>
      <c r="I22" s="6" t="s">
        <v>3</v>
      </c>
      <c r="J22" s="6" t="s">
        <v>4</v>
      </c>
      <c r="K22" s="6" t="s">
        <v>5</v>
      </c>
      <c r="L22" s="6" t="s">
        <v>6</v>
      </c>
      <c r="M22" s="6" t="s">
        <v>7</v>
      </c>
      <c r="N22" s="6" t="s">
        <v>8</v>
      </c>
      <c r="O22" s="6" t="s">
        <v>9</v>
      </c>
      <c r="P22" s="6" t="s">
        <v>10</v>
      </c>
      <c r="Q22" s="6" t="s">
        <v>11</v>
      </c>
      <c r="R22" s="6" t="s">
        <v>12</v>
      </c>
      <c r="S22" s="6" t="s">
        <v>13</v>
      </c>
      <c r="T22" s="6" t="s">
        <v>14</v>
      </c>
      <c r="U22" s="6" t="s">
        <v>15</v>
      </c>
      <c r="V22" s="6" t="s">
        <v>16</v>
      </c>
      <c r="W22" s="6" t="s">
        <v>17</v>
      </c>
      <c r="X22" s="6" t="s">
        <v>18</v>
      </c>
      <c r="Y22" s="6" t="s">
        <v>19</v>
      </c>
      <c r="Z22" s="6" t="s">
        <v>20</v>
      </c>
      <c r="AA22" s="6" t="s">
        <v>21</v>
      </c>
      <c r="AB22" s="6" t="s">
        <v>22</v>
      </c>
      <c r="AC22" s="6" t="s">
        <v>23</v>
      </c>
      <c r="AD22" s="6" t="s">
        <v>24</v>
      </c>
      <c r="AE22" s="6" t="s">
        <v>25</v>
      </c>
      <c r="AF22" s="7"/>
      <c r="AH22" s="28" t="str">
        <f>HLOOKUP(AH16,$AH19:$BG20,2,FALSE)</f>
        <v>G</v>
      </c>
      <c r="AI22" s="28" t="str">
        <f>HLOOKUP(AI16,$AH19:$BG20,2,FALSE)</f>
        <v>P</v>
      </c>
      <c r="AJ22" s="28" t="str">
        <f t="shared" ref="AJ22:BG22" si="25">HLOOKUP(AJ16,$AH19:$BG20,2,FALSE)</f>
        <v>B</v>
      </c>
      <c r="AK22" s="28" t="str">
        <f t="shared" si="25"/>
        <v>Q</v>
      </c>
      <c r="AL22" s="28" t="str">
        <f t="shared" si="25"/>
        <v>S</v>
      </c>
      <c r="AM22" s="28" t="str">
        <f t="shared" si="25"/>
        <v>F</v>
      </c>
      <c r="AN22" s="28" t="str">
        <f t="shared" si="25"/>
        <v>N</v>
      </c>
      <c r="AO22" s="28" t="str">
        <f t="shared" si="25"/>
        <v>Z</v>
      </c>
      <c r="AP22" s="28" t="str">
        <f t="shared" si="25"/>
        <v>V</v>
      </c>
      <c r="AQ22" s="28" t="str">
        <f t="shared" si="25"/>
        <v>W</v>
      </c>
      <c r="AR22" s="28" t="str">
        <f t="shared" si="25"/>
        <v>X</v>
      </c>
      <c r="AS22" s="28" t="str">
        <f t="shared" si="25"/>
        <v>R</v>
      </c>
      <c r="AT22" s="28" t="str">
        <f t="shared" si="25"/>
        <v>D</v>
      </c>
      <c r="AU22" s="28" t="str">
        <f t="shared" si="25"/>
        <v>O</v>
      </c>
      <c r="AV22" s="28" t="str">
        <f t="shared" si="25"/>
        <v>A</v>
      </c>
      <c r="AW22" s="28" t="str">
        <f t="shared" si="25"/>
        <v>U</v>
      </c>
      <c r="AX22" s="28" t="str">
        <f t="shared" si="25"/>
        <v>J</v>
      </c>
      <c r="AY22" s="28" t="str">
        <f t="shared" si="25"/>
        <v>H</v>
      </c>
      <c r="AZ22" s="28" t="str">
        <f t="shared" si="25"/>
        <v>K</v>
      </c>
      <c r="BA22" s="28" t="str">
        <f t="shared" si="25"/>
        <v>E</v>
      </c>
      <c r="BB22" s="28" t="str">
        <f t="shared" si="25"/>
        <v>I</v>
      </c>
      <c r="BC22" s="28" t="str">
        <f t="shared" si="25"/>
        <v>M</v>
      </c>
      <c r="BD22" s="28" t="str">
        <f t="shared" si="25"/>
        <v>Y</v>
      </c>
      <c r="BE22" s="28" t="str">
        <f t="shared" si="25"/>
        <v>T</v>
      </c>
      <c r="BF22" s="28" t="str">
        <f t="shared" si="25"/>
        <v>L</v>
      </c>
      <c r="BG22" s="28" t="str">
        <f t="shared" si="25"/>
        <v>C</v>
      </c>
    </row>
    <row r="23" spans="1:59" x14ac:dyDescent="0.35">
      <c r="B23" s="22" t="s">
        <v>26</v>
      </c>
      <c r="C23" s="41" t="str">
        <f>n_Reflector</f>
        <v>B</v>
      </c>
      <c r="D23" s="11" t="str">
        <f>"Wide"&amp;C23</f>
        <v>WideB</v>
      </c>
      <c r="F23" s="1">
        <f>IF(ISERROR(FIND(F22,$AF21)),0,1)</f>
        <v>1</v>
      </c>
      <c r="G23" s="1">
        <f t="shared" ref="G23:AE23" si="26">IF(ISERROR(FIND(G22,$AF21)),0,1)</f>
        <v>1</v>
      </c>
      <c r="H23" s="1">
        <f t="shared" si="26"/>
        <v>1</v>
      </c>
      <c r="I23" s="1">
        <f t="shared" si="26"/>
        <v>1</v>
      </c>
      <c r="J23" s="1">
        <f t="shared" si="26"/>
        <v>1</v>
      </c>
      <c r="K23" s="1">
        <f t="shared" si="26"/>
        <v>1</v>
      </c>
      <c r="L23" s="1">
        <f t="shared" si="26"/>
        <v>1</v>
      </c>
      <c r="M23" s="1">
        <f t="shared" si="26"/>
        <v>1</v>
      </c>
      <c r="N23" s="1">
        <f t="shared" si="26"/>
        <v>1</v>
      </c>
      <c r="O23" s="1">
        <f t="shared" si="26"/>
        <v>1</v>
      </c>
      <c r="P23" s="1">
        <f t="shared" si="26"/>
        <v>1</v>
      </c>
      <c r="Q23" s="1">
        <f t="shared" si="26"/>
        <v>1</v>
      </c>
      <c r="R23" s="1">
        <f t="shared" si="26"/>
        <v>1</v>
      </c>
      <c r="S23" s="1">
        <f t="shared" si="26"/>
        <v>1</v>
      </c>
      <c r="T23" s="1">
        <f t="shared" si="26"/>
        <v>1</v>
      </c>
      <c r="U23" s="1">
        <f t="shared" si="26"/>
        <v>1</v>
      </c>
      <c r="V23" s="1">
        <f t="shared" si="26"/>
        <v>1</v>
      </c>
      <c r="W23" s="1">
        <f t="shared" si="26"/>
        <v>1</v>
      </c>
      <c r="X23" s="1">
        <f t="shared" si="26"/>
        <v>1</v>
      </c>
      <c r="Y23" s="1">
        <f t="shared" si="26"/>
        <v>1</v>
      </c>
      <c r="Z23" s="1">
        <f t="shared" si="26"/>
        <v>1</v>
      </c>
      <c r="AA23" s="1">
        <f t="shared" si="26"/>
        <v>1</v>
      </c>
      <c r="AB23" s="1">
        <f t="shared" si="26"/>
        <v>1</v>
      </c>
      <c r="AC23" s="1">
        <f t="shared" si="26"/>
        <v>1</v>
      </c>
      <c r="AD23" s="1">
        <f t="shared" si="26"/>
        <v>1</v>
      </c>
      <c r="AE23" s="1">
        <f t="shared" si="26"/>
        <v>1</v>
      </c>
      <c r="AF23" s="10"/>
      <c r="AH23" s="28" t="str">
        <f>HLOOKUP(AH22,$AH25:$BG26,2,FALSE)</f>
        <v>L</v>
      </c>
      <c r="AI23" s="28" t="str">
        <f t="shared" ref="AI23:BG23" si="27">HLOOKUP(AI22,$AH25:$BG26,2,FALSE)</f>
        <v>I</v>
      </c>
      <c r="AJ23" s="28" t="str">
        <f t="shared" si="27"/>
        <v>R</v>
      </c>
      <c r="AK23" s="28" t="str">
        <f t="shared" si="27"/>
        <v>E</v>
      </c>
      <c r="AL23" s="28" t="str">
        <f t="shared" si="27"/>
        <v>F</v>
      </c>
      <c r="AM23" s="28" t="str">
        <f t="shared" si="27"/>
        <v>S</v>
      </c>
      <c r="AN23" s="28" t="str">
        <f t="shared" si="27"/>
        <v>K</v>
      </c>
      <c r="AO23" s="28" t="str">
        <f t="shared" si="27"/>
        <v>T</v>
      </c>
      <c r="AP23" s="28" t="str">
        <f t="shared" si="27"/>
        <v>W</v>
      </c>
      <c r="AQ23" s="28" t="str">
        <f t="shared" si="27"/>
        <v>V</v>
      </c>
      <c r="AR23" s="28" t="str">
        <f t="shared" si="27"/>
        <v>J</v>
      </c>
      <c r="AS23" s="28" t="str">
        <f t="shared" si="27"/>
        <v>B</v>
      </c>
      <c r="AT23" s="28" t="str">
        <f t="shared" si="27"/>
        <v>H</v>
      </c>
      <c r="AU23" s="28" t="str">
        <f t="shared" si="27"/>
        <v>M</v>
      </c>
      <c r="AV23" s="28" t="str">
        <f t="shared" si="27"/>
        <v>Y</v>
      </c>
      <c r="AW23" s="28" t="str">
        <f t="shared" si="27"/>
        <v>C</v>
      </c>
      <c r="AX23" s="28" t="str">
        <f t="shared" si="27"/>
        <v>X</v>
      </c>
      <c r="AY23" s="28" t="str">
        <f t="shared" si="27"/>
        <v>D</v>
      </c>
      <c r="AZ23" s="28" t="str">
        <f t="shared" si="27"/>
        <v>N</v>
      </c>
      <c r="BA23" s="28" t="str">
        <f t="shared" si="27"/>
        <v>Q</v>
      </c>
      <c r="BB23" s="28" t="str">
        <f t="shared" si="27"/>
        <v>P</v>
      </c>
      <c r="BC23" s="28" t="str">
        <f t="shared" si="27"/>
        <v>O</v>
      </c>
      <c r="BD23" s="28" t="str">
        <f t="shared" si="27"/>
        <v>A</v>
      </c>
      <c r="BE23" s="28" t="str">
        <f t="shared" si="27"/>
        <v>Z</v>
      </c>
      <c r="BF23" s="28" t="str">
        <f t="shared" si="27"/>
        <v>G</v>
      </c>
      <c r="BG23" s="28" t="str">
        <f t="shared" si="27"/>
        <v>U</v>
      </c>
    </row>
    <row r="24" spans="1:59" ht="15" thickBot="1" x14ac:dyDescent="0.4">
      <c r="B24" s="23"/>
      <c r="C24" s="17"/>
      <c r="D24" s="17"/>
      <c r="E24" s="17"/>
      <c r="F24" s="24" t="str">
        <f t="shared" ref="F24:AE24" si="28">IF(F23=1,VLOOKUP(nReflector&amp;"_"&amp;F22,nReflectorWide,4,FALSE),"")</f>
        <v>Y</v>
      </c>
      <c r="G24" s="24" t="str">
        <f t="shared" si="28"/>
        <v>R</v>
      </c>
      <c r="H24" s="24" t="str">
        <f t="shared" si="28"/>
        <v>U</v>
      </c>
      <c r="I24" s="24" t="str">
        <f t="shared" si="28"/>
        <v>H</v>
      </c>
      <c r="J24" s="24" t="str">
        <f t="shared" si="28"/>
        <v>Q</v>
      </c>
      <c r="K24" s="24" t="str">
        <f t="shared" si="28"/>
        <v>S</v>
      </c>
      <c r="L24" s="24" t="str">
        <f t="shared" si="28"/>
        <v>L</v>
      </c>
      <c r="M24" s="24" t="str">
        <f t="shared" si="28"/>
        <v>D</v>
      </c>
      <c r="N24" s="24" t="str">
        <f t="shared" si="28"/>
        <v>P</v>
      </c>
      <c r="O24" s="24" t="str">
        <f t="shared" si="28"/>
        <v>X</v>
      </c>
      <c r="P24" s="24" t="str">
        <f t="shared" si="28"/>
        <v>N</v>
      </c>
      <c r="Q24" s="24" t="str">
        <f t="shared" si="28"/>
        <v>G</v>
      </c>
      <c r="R24" s="24" t="str">
        <f t="shared" si="28"/>
        <v>O</v>
      </c>
      <c r="S24" s="24" t="str">
        <f t="shared" si="28"/>
        <v>K</v>
      </c>
      <c r="T24" s="24" t="str">
        <f t="shared" si="28"/>
        <v>M</v>
      </c>
      <c r="U24" s="24" t="str">
        <f t="shared" si="28"/>
        <v>I</v>
      </c>
      <c r="V24" s="24" t="str">
        <f t="shared" si="28"/>
        <v>E</v>
      </c>
      <c r="W24" s="24" t="str">
        <f t="shared" si="28"/>
        <v>B</v>
      </c>
      <c r="X24" s="24" t="str">
        <f t="shared" si="28"/>
        <v>F</v>
      </c>
      <c r="Y24" s="24" t="str">
        <f t="shared" si="28"/>
        <v>Z</v>
      </c>
      <c r="Z24" s="24" t="str">
        <f t="shared" si="28"/>
        <v>C</v>
      </c>
      <c r="AA24" s="24" t="str">
        <f t="shared" si="28"/>
        <v>W</v>
      </c>
      <c r="AB24" s="24" t="str">
        <f t="shared" si="28"/>
        <v>V</v>
      </c>
      <c r="AC24" s="24" t="str">
        <f t="shared" si="28"/>
        <v>J</v>
      </c>
      <c r="AD24" s="24" t="str">
        <f t="shared" si="28"/>
        <v>A</v>
      </c>
      <c r="AE24" s="24" t="str">
        <f t="shared" si="28"/>
        <v>T</v>
      </c>
      <c r="AF24" s="25" t="str">
        <f>CONCATENATE(F24,G24,H24,I24,J24,K24,L24,M24,N24,O24,P24,Q24,R24,S24,T24&amp;U24,V24,W24,X24,Y24,Z24,AA24,AB24,AC24,AD24,AE24)</f>
        <v>YRUHQSLDPXNGOKMIEBFZCWVJAT</v>
      </c>
      <c r="AH24" s="27" t="str">
        <f>F22&amp;F24</f>
        <v>AY</v>
      </c>
      <c r="AI24" s="27" t="str">
        <f t="shared" ref="AI24:BG24" si="29">G22&amp;G24</f>
        <v>BR</v>
      </c>
      <c r="AJ24" s="27" t="str">
        <f t="shared" si="29"/>
        <v>CU</v>
      </c>
      <c r="AK24" s="27" t="str">
        <f t="shared" si="29"/>
        <v>DH</v>
      </c>
      <c r="AL24" s="27" t="str">
        <f t="shared" si="29"/>
        <v>EQ</v>
      </c>
      <c r="AM24" s="27" t="str">
        <f t="shared" si="29"/>
        <v>FS</v>
      </c>
      <c r="AN24" s="27" t="str">
        <f t="shared" si="29"/>
        <v>GL</v>
      </c>
      <c r="AO24" s="27" t="str">
        <f t="shared" si="29"/>
        <v>HD</v>
      </c>
      <c r="AP24" s="27" t="str">
        <f t="shared" si="29"/>
        <v>IP</v>
      </c>
      <c r="AQ24" s="27" t="str">
        <f t="shared" si="29"/>
        <v>JX</v>
      </c>
      <c r="AR24" s="27" t="str">
        <f t="shared" si="29"/>
        <v>KN</v>
      </c>
      <c r="AS24" s="27" t="str">
        <f t="shared" si="29"/>
        <v>LG</v>
      </c>
      <c r="AT24" s="27" t="str">
        <f t="shared" si="29"/>
        <v>MO</v>
      </c>
      <c r="AU24" s="27" t="str">
        <f t="shared" si="29"/>
        <v>NK</v>
      </c>
      <c r="AV24" s="27" t="str">
        <f t="shared" si="29"/>
        <v>OM</v>
      </c>
      <c r="AW24" s="27" t="str">
        <f t="shared" si="29"/>
        <v>PI</v>
      </c>
      <c r="AX24" s="27" t="str">
        <f t="shared" si="29"/>
        <v>QE</v>
      </c>
      <c r="AY24" s="27" t="str">
        <f t="shared" si="29"/>
        <v>RB</v>
      </c>
      <c r="AZ24" s="27" t="str">
        <f t="shared" si="29"/>
        <v>SF</v>
      </c>
      <c r="BA24" s="27" t="str">
        <f t="shared" si="29"/>
        <v>TZ</v>
      </c>
      <c r="BB24" s="27" t="str">
        <f t="shared" si="29"/>
        <v>UC</v>
      </c>
      <c r="BC24" s="27" t="str">
        <f t="shared" si="29"/>
        <v>VW</v>
      </c>
      <c r="BD24" s="27" t="str">
        <f t="shared" si="29"/>
        <v>WV</v>
      </c>
      <c r="BE24" s="27" t="str">
        <f t="shared" si="29"/>
        <v>XJ</v>
      </c>
      <c r="BF24" s="27" t="str">
        <f t="shared" si="29"/>
        <v>YA</v>
      </c>
      <c r="BG24" s="27" t="str">
        <f t="shared" si="29"/>
        <v>ZT</v>
      </c>
    </row>
    <row r="25" spans="1:59" x14ac:dyDescent="0.35">
      <c r="B25" s="21"/>
      <c r="C25" s="4"/>
      <c r="D25" s="5"/>
      <c r="E25" s="5" t="s">
        <v>385</v>
      </c>
      <c r="F25" s="6" t="s">
        <v>0</v>
      </c>
      <c r="G25" s="6" t="s">
        <v>1</v>
      </c>
      <c r="H25" s="6" t="s">
        <v>2</v>
      </c>
      <c r="I25" s="6" t="s">
        <v>3</v>
      </c>
      <c r="J25" s="6" t="s">
        <v>4</v>
      </c>
      <c r="K25" s="6" t="s">
        <v>5</v>
      </c>
      <c r="L25" s="6" t="s">
        <v>6</v>
      </c>
      <c r="M25" s="6" t="s">
        <v>7</v>
      </c>
      <c r="N25" s="6" t="s">
        <v>8</v>
      </c>
      <c r="O25" s="6" t="s">
        <v>9</v>
      </c>
      <c r="P25" s="6" t="s">
        <v>10</v>
      </c>
      <c r="Q25" s="6" t="s">
        <v>11</v>
      </c>
      <c r="R25" s="6" t="s">
        <v>12</v>
      </c>
      <c r="S25" s="6" t="s">
        <v>13</v>
      </c>
      <c r="T25" s="6" t="s">
        <v>14</v>
      </c>
      <c r="U25" s="6" t="s">
        <v>15</v>
      </c>
      <c r="V25" s="6" t="s">
        <v>16</v>
      </c>
      <c r="W25" s="6" t="s">
        <v>17</v>
      </c>
      <c r="X25" s="6" t="s">
        <v>18</v>
      </c>
      <c r="Y25" s="6" t="s">
        <v>19</v>
      </c>
      <c r="Z25" s="6" t="s">
        <v>20</v>
      </c>
      <c r="AA25" s="6" t="s">
        <v>21</v>
      </c>
      <c r="AB25" s="6" t="s">
        <v>22</v>
      </c>
      <c r="AC25" s="6" t="s">
        <v>23</v>
      </c>
      <c r="AD25" s="6" t="s">
        <v>24</v>
      </c>
      <c r="AE25" s="6" t="s">
        <v>25</v>
      </c>
      <c r="AF25" s="7"/>
      <c r="AH25" s="28" t="str">
        <f>IF(LEN(AH24)=2,LEFT(AH24,1),"")</f>
        <v>A</v>
      </c>
      <c r="AI25" s="28" t="str">
        <f t="shared" ref="AI25:BG25" si="30">IF(LEN(AI24)=2,LEFT(AI24,1),"")</f>
        <v>B</v>
      </c>
      <c r="AJ25" s="28" t="str">
        <f t="shared" si="30"/>
        <v>C</v>
      </c>
      <c r="AK25" s="28" t="str">
        <f t="shared" si="30"/>
        <v>D</v>
      </c>
      <c r="AL25" s="28" t="str">
        <f t="shared" si="30"/>
        <v>E</v>
      </c>
      <c r="AM25" s="28" t="str">
        <f t="shared" si="30"/>
        <v>F</v>
      </c>
      <c r="AN25" s="28" t="str">
        <f t="shared" si="30"/>
        <v>G</v>
      </c>
      <c r="AO25" s="28" t="str">
        <f t="shared" si="30"/>
        <v>H</v>
      </c>
      <c r="AP25" s="28" t="str">
        <f t="shared" si="30"/>
        <v>I</v>
      </c>
      <c r="AQ25" s="28" t="str">
        <f t="shared" si="30"/>
        <v>J</v>
      </c>
      <c r="AR25" s="28" t="str">
        <f t="shared" si="30"/>
        <v>K</v>
      </c>
      <c r="AS25" s="28" t="str">
        <f t="shared" si="30"/>
        <v>L</v>
      </c>
      <c r="AT25" s="28" t="str">
        <f t="shared" si="30"/>
        <v>M</v>
      </c>
      <c r="AU25" s="28" t="str">
        <f t="shared" si="30"/>
        <v>N</v>
      </c>
      <c r="AV25" s="28" t="str">
        <f t="shared" si="30"/>
        <v>O</v>
      </c>
      <c r="AW25" s="28" t="str">
        <f t="shared" si="30"/>
        <v>P</v>
      </c>
      <c r="AX25" s="28" t="str">
        <f t="shared" si="30"/>
        <v>Q</v>
      </c>
      <c r="AY25" s="28" t="str">
        <f t="shared" si="30"/>
        <v>R</v>
      </c>
      <c r="AZ25" s="28" t="str">
        <f t="shared" si="30"/>
        <v>S</v>
      </c>
      <c r="BA25" s="28" t="str">
        <f t="shared" si="30"/>
        <v>T</v>
      </c>
      <c r="BB25" s="28" t="str">
        <f t="shared" si="30"/>
        <v>U</v>
      </c>
      <c r="BC25" s="28" t="str">
        <f t="shared" si="30"/>
        <v>V</v>
      </c>
      <c r="BD25" s="28" t="str">
        <f t="shared" si="30"/>
        <v>W</v>
      </c>
      <c r="BE25" s="28" t="str">
        <f t="shared" si="30"/>
        <v>X</v>
      </c>
      <c r="BF25" s="28" t="str">
        <f t="shared" si="30"/>
        <v>Y</v>
      </c>
      <c r="BG25" s="28" t="str">
        <f t="shared" si="30"/>
        <v>Z</v>
      </c>
    </row>
    <row r="26" spans="1:59" x14ac:dyDescent="0.35">
      <c r="B26" s="22"/>
      <c r="C26" s="8"/>
      <c r="F26" s="1">
        <f t="shared" ref="F26:AE26" si="31">IF(ISERROR(FIND(F25,$AF24)),0,1)</f>
        <v>1</v>
      </c>
      <c r="G26" s="1">
        <f t="shared" si="31"/>
        <v>1</v>
      </c>
      <c r="H26" s="1">
        <f t="shared" si="31"/>
        <v>1</v>
      </c>
      <c r="I26" s="1">
        <f t="shared" si="31"/>
        <v>1</v>
      </c>
      <c r="J26" s="1">
        <f t="shared" si="31"/>
        <v>1</v>
      </c>
      <c r="K26" s="1">
        <f t="shared" si="31"/>
        <v>1</v>
      </c>
      <c r="L26" s="1">
        <f t="shared" si="31"/>
        <v>1</v>
      </c>
      <c r="M26" s="1">
        <f t="shared" si="31"/>
        <v>1</v>
      </c>
      <c r="N26" s="1">
        <f t="shared" si="31"/>
        <v>1</v>
      </c>
      <c r="O26" s="1">
        <f t="shared" si="31"/>
        <v>1</v>
      </c>
      <c r="P26" s="1">
        <f t="shared" si="31"/>
        <v>1</v>
      </c>
      <c r="Q26" s="1">
        <f t="shared" si="31"/>
        <v>1</v>
      </c>
      <c r="R26" s="1">
        <f t="shared" si="31"/>
        <v>1</v>
      </c>
      <c r="S26" s="1">
        <f t="shared" si="31"/>
        <v>1</v>
      </c>
      <c r="T26" s="1">
        <f t="shared" si="31"/>
        <v>1</v>
      </c>
      <c r="U26" s="1">
        <f t="shared" si="31"/>
        <v>1</v>
      </c>
      <c r="V26" s="1">
        <f t="shared" si="31"/>
        <v>1</v>
      </c>
      <c r="W26" s="1">
        <f t="shared" si="31"/>
        <v>1</v>
      </c>
      <c r="X26" s="1">
        <f t="shared" si="31"/>
        <v>1</v>
      </c>
      <c r="Y26" s="1">
        <f t="shared" si="31"/>
        <v>1</v>
      </c>
      <c r="Z26" s="1">
        <f t="shared" si="31"/>
        <v>1</v>
      </c>
      <c r="AA26" s="1">
        <f t="shared" si="31"/>
        <v>1</v>
      </c>
      <c r="AB26" s="1">
        <f t="shared" si="31"/>
        <v>1</v>
      </c>
      <c r="AC26" s="1">
        <f t="shared" si="31"/>
        <v>1</v>
      </c>
      <c r="AD26" s="1">
        <f t="shared" si="31"/>
        <v>1</v>
      </c>
      <c r="AE26" s="1">
        <f t="shared" si="31"/>
        <v>1</v>
      </c>
      <c r="AF26" s="10"/>
      <c r="AH26" s="28" t="str">
        <f>IF(LEN(AH24)=2,RIGHT(AH24,1),"")</f>
        <v>Y</v>
      </c>
      <c r="AI26" s="28" t="str">
        <f t="shared" ref="AI26:BG26" si="32">IF(LEN(AI24)=2,RIGHT(AI24,1),"")</f>
        <v>R</v>
      </c>
      <c r="AJ26" s="28" t="str">
        <f t="shared" si="32"/>
        <v>U</v>
      </c>
      <c r="AK26" s="28" t="str">
        <f t="shared" si="32"/>
        <v>H</v>
      </c>
      <c r="AL26" s="28" t="str">
        <f t="shared" si="32"/>
        <v>Q</v>
      </c>
      <c r="AM26" s="28" t="str">
        <f t="shared" si="32"/>
        <v>S</v>
      </c>
      <c r="AN26" s="28" t="str">
        <f t="shared" si="32"/>
        <v>L</v>
      </c>
      <c r="AO26" s="28" t="str">
        <f t="shared" si="32"/>
        <v>D</v>
      </c>
      <c r="AP26" s="28" t="str">
        <f t="shared" si="32"/>
        <v>P</v>
      </c>
      <c r="AQ26" s="28" t="str">
        <f t="shared" si="32"/>
        <v>X</v>
      </c>
      <c r="AR26" s="28" t="str">
        <f t="shared" si="32"/>
        <v>N</v>
      </c>
      <c r="AS26" s="28" t="str">
        <f t="shared" si="32"/>
        <v>G</v>
      </c>
      <c r="AT26" s="28" t="str">
        <f t="shared" si="32"/>
        <v>O</v>
      </c>
      <c r="AU26" s="28" t="str">
        <f t="shared" si="32"/>
        <v>K</v>
      </c>
      <c r="AV26" s="28" t="str">
        <f t="shared" si="32"/>
        <v>M</v>
      </c>
      <c r="AW26" s="28" t="str">
        <f t="shared" si="32"/>
        <v>I</v>
      </c>
      <c r="AX26" s="28" t="str">
        <f t="shared" si="32"/>
        <v>E</v>
      </c>
      <c r="AY26" s="28" t="str">
        <f t="shared" si="32"/>
        <v>B</v>
      </c>
      <c r="AZ26" s="28" t="str">
        <f t="shared" si="32"/>
        <v>F</v>
      </c>
      <c r="BA26" s="28" t="str">
        <f t="shared" si="32"/>
        <v>Z</v>
      </c>
      <c r="BB26" s="28" t="str">
        <f t="shared" si="32"/>
        <v>C</v>
      </c>
      <c r="BC26" s="28" t="str">
        <f t="shared" si="32"/>
        <v>W</v>
      </c>
      <c r="BD26" s="28" t="str">
        <f t="shared" si="32"/>
        <v>V</v>
      </c>
      <c r="BE26" s="28" t="str">
        <f t="shared" si="32"/>
        <v>J</v>
      </c>
      <c r="BF26" s="28" t="str">
        <f t="shared" si="32"/>
        <v>A</v>
      </c>
      <c r="BG26" s="28" t="str">
        <f t="shared" si="32"/>
        <v>T</v>
      </c>
    </row>
    <row r="27" spans="1:59" x14ac:dyDescent="0.35">
      <c r="B27" s="22" t="s">
        <v>382</v>
      </c>
      <c r="C27" s="26" t="str">
        <f>"R"&amp;C18</f>
        <v>R1</v>
      </c>
      <c r="D27" s="11">
        <f>D18</f>
        <v>5</v>
      </c>
      <c r="E27" s="11">
        <f>E18</f>
        <v>5</v>
      </c>
      <c r="F27" s="12" t="str">
        <f>F18</f>
        <v>E</v>
      </c>
      <c r="G27" s="13" t="str">
        <f t="shared" ref="G27:AE27" si="33">VLOOKUP(F27,nNextLetter,2,FALSE)</f>
        <v>F</v>
      </c>
      <c r="H27" s="13" t="str">
        <f t="shared" si="33"/>
        <v>G</v>
      </c>
      <c r="I27" s="13" t="str">
        <f t="shared" si="33"/>
        <v>H</v>
      </c>
      <c r="J27" s="13" t="str">
        <f t="shared" si="33"/>
        <v>I</v>
      </c>
      <c r="K27" s="13" t="str">
        <f t="shared" si="33"/>
        <v>J</v>
      </c>
      <c r="L27" s="13" t="str">
        <f t="shared" si="33"/>
        <v>K</v>
      </c>
      <c r="M27" s="13" t="str">
        <f t="shared" si="33"/>
        <v>L</v>
      </c>
      <c r="N27" s="13" t="str">
        <f t="shared" si="33"/>
        <v>M</v>
      </c>
      <c r="O27" s="13" t="str">
        <f t="shared" si="33"/>
        <v>N</v>
      </c>
      <c r="P27" s="13" t="str">
        <f t="shared" si="33"/>
        <v>O</v>
      </c>
      <c r="Q27" s="13" t="str">
        <f t="shared" si="33"/>
        <v>P</v>
      </c>
      <c r="R27" s="13" t="str">
        <f t="shared" si="33"/>
        <v>Q</v>
      </c>
      <c r="S27" s="13" t="str">
        <f t="shared" si="33"/>
        <v>R</v>
      </c>
      <c r="T27" s="13" t="str">
        <f t="shared" si="33"/>
        <v>S</v>
      </c>
      <c r="U27" s="13" t="str">
        <f t="shared" si="33"/>
        <v>T</v>
      </c>
      <c r="V27" s="13" t="str">
        <f t="shared" si="33"/>
        <v>U</v>
      </c>
      <c r="W27" s="13" t="str">
        <f t="shared" si="33"/>
        <v>V</v>
      </c>
      <c r="X27" s="13" t="str">
        <f t="shared" si="33"/>
        <v>W</v>
      </c>
      <c r="Y27" s="13" t="str">
        <f t="shared" si="33"/>
        <v>X</v>
      </c>
      <c r="Z27" s="13" t="str">
        <f t="shared" si="33"/>
        <v>Y</v>
      </c>
      <c r="AA27" s="13" t="str">
        <f t="shared" si="33"/>
        <v>Z</v>
      </c>
      <c r="AB27" s="13" t="str">
        <f t="shared" si="33"/>
        <v>A</v>
      </c>
      <c r="AC27" s="13" t="str">
        <f t="shared" si="33"/>
        <v>B</v>
      </c>
      <c r="AD27" s="13" t="str">
        <f t="shared" si="33"/>
        <v>C</v>
      </c>
      <c r="AE27" s="13" t="str">
        <f t="shared" si="33"/>
        <v>D</v>
      </c>
      <c r="AF27" s="10"/>
    </row>
    <row r="28" spans="1:59" x14ac:dyDescent="0.35">
      <c r="B28" s="22"/>
      <c r="C28" s="8"/>
      <c r="E28" t="s">
        <v>386</v>
      </c>
      <c r="F28" s="14" t="str">
        <f t="shared" ref="F28:AE28" si="34">IF(F26=1,VLOOKUP(nCurPosL+nRingOffsetL+(CODE(F25)-nCharOffset)-1,nNum2Let,2,FALSE),"")</f>
        <v>E</v>
      </c>
      <c r="G28" s="14" t="str">
        <f t="shared" si="34"/>
        <v>F</v>
      </c>
      <c r="H28" s="14" t="str">
        <f t="shared" si="34"/>
        <v>G</v>
      </c>
      <c r="I28" s="14" t="str">
        <f t="shared" si="34"/>
        <v>H</v>
      </c>
      <c r="J28" s="14" t="str">
        <f t="shared" si="34"/>
        <v>I</v>
      </c>
      <c r="K28" s="14" t="str">
        <f t="shared" si="34"/>
        <v>J</v>
      </c>
      <c r="L28" s="14" t="str">
        <f t="shared" si="34"/>
        <v>K</v>
      </c>
      <c r="M28" s="14" t="str">
        <f t="shared" si="34"/>
        <v>L</v>
      </c>
      <c r="N28" s="14" t="str">
        <f t="shared" si="34"/>
        <v>M</v>
      </c>
      <c r="O28" s="14" t="str">
        <f t="shared" si="34"/>
        <v>N</v>
      </c>
      <c r="P28" s="14" t="str">
        <f t="shared" si="34"/>
        <v>O</v>
      </c>
      <c r="Q28" s="14" t="str">
        <f t="shared" si="34"/>
        <v>P</v>
      </c>
      <c r="R28" s="14" t="str">
        <f t="shared" si="34"/>
        <v>Q</v>
      </c>
      <c r="S28" s="14" t="str">
        <f t="shared" si="34"/>
        <v>R</v>
      </c>
      <c r="T28" s="14" t="str">
        <f t="shared" si="34"/>
        <v>S</v>
      </c>
      <c r="U28" s="14" t="str">
        <f t="shared" si="34"/>
        <v>T</v>
      </c>
      <c r="V28" s="14" t="str">
        <f t="shared" si="34"/>
        <v>U</v>
      </c>
      <c r="W28" s="14" t="str">
        <f t="shared" si="34"/>
        <v>V</v>
      </c>
      <c r="X28" s="14" t="str">
        <f t="shared" si="34"/>
        <v>W</v>
      </c>
      <c r="Y28" s="14" t="str">
        <f t="shared" si="34"/>
        <v>X</v>
      </c>
      <c r="Z28" s="14" t="str">
        <f t="shared" si="34"/>
        <v>Y</v>
      </c>
      <c r="AA28" s="14" t="str">
        <f t="shared" si="34"/>
        <v>Z</v>
      </c>
      <c r="AB28" s="14" t="str">
        <f t="shared" si="34"/>
        <v>A</v>
      </c>
      <c r="AC28" s="14" t="str">
        <f t="shared" si="34"/>
        <v>B</v>
      </c>
      <c r="AD28" s="14" t="str">
        <f t="shared" si="34"/>
        <v>C</v>
      </c>
      <c r="AE28" s="14" t="str">
        <f t="shared" si="34"/>
        <v>D</v>
      </c>
      <c r="AF28" s="10"/>
      <c r="AH28" s="28" t="str">
        <f t="shared" ref="AH28:BG28" si="35">IF(LEN(AH30)=2,LEFT(AH30,1),"")</f>
        <v>A</v>
      </c>
      <c r="AI28" s="28" t="str">
        <f t="shared" si="35"/>
        <v>B</v>
      </c>
      <c r="AJ28" s="28" t="str">
        <f t="shared" si="35"/>
        <v>C</v>
      </c>
      <c r="AK28" s="28" t="str">
        <f t="shared" si="35"/>
        <v>D</v>
      </c>
      <c r="AL28" s="28" t="str">
        <f t="shared" si="35"/>
        <v>E</v>
      </c>
      <c r="AM28" s="28" t="str">
        <f t="shared" si="35"/>
        <v>F</v>
      </c>
      <c r="AN28" s="28" t="str">
        <f t="shared" si="35"/>
        <v>G</v>
      </c>
      <c r="AO28" s="28" t="str">
        <f t="shared" si="35"/>
        <v>H</v>
      </c>
      <c r="AP28" s="28" t="str">
        <f t="shared" si="35"/>
        <v>I</v>
      </c>
      <c r="AQ28" s="28" t="str">
        <f t="shared" si="35"/>
        <v>J</v>
      </c>
      <c r="AR28" s="28" t="str">
        <f t="shared" si="35"/>
        <v>K</v>
      </c>
      <c r="AS28" s="28" t="str">
        <f t="shared" si="35"/>
        <v>L</v>
      </c>
      <c r="AT28" s="28" t="str">
        <f t="shared" si="35"/>
        <v>M</v>
      </c>
      <c r="AU28" s="28" t="str">
        <f t="shared" si="35"/>
        <v>N</v>
      </c>
      <c r="AV28" s="28" t="str">
        <f t="shared" si="35"/>
        <v>O</v>
      </c>
      <c r="AW28" s="28" t="str">
        <f t="shared" si="35"/>
        <v>P</v>
      </c>
      <c r="AX28" s="28" t="str">
        <f t="shared" si="35"/>
        <v>Q</v>
      </c>
      <c r="AY28" s="28" t="str">
        <f t="shared" si="35"/>
        <v>R</v>
      </c>
      <c r="AZ28" s="28" t="str">
        <f t="shared" si="35"/>
        <v>S</v>
      </c>
      <c r="BA28" s="28" t="str">
        <f t="shared" si="35"/>
        <v>T</v>
      </c>
      <c r="BB28" s="28" t="str">
        <f t="shared" si="35"/>
        <v>U</v>
      </c>
      <c r="BC28" s="28" t="str">
        <f t="shared" si="35"/>
        <v>V</v>
      </c>
      <c r="BD28" s="28" t="str">
        <f t="shared" si="35"/>
        <v>W</v>
      </c>
      <c r="BE28" s="28" t="str">
        <f t="shared" si="35"/>
        <v>X</v>
      </c>
      <c r="BF28" s="28" t="str">
        <f t="shared" si="35"/>
        <v>Y</v>
      </c>
      <c r="BG28" s="28" t="str">
        <f t="shared" si="35"/>
        <v>Z</v>
      </c>
    </row>
    <row r="29" spans="1:59" x14ac:dyDescent="0.35">
      <c r="B29" s="22"/>
      <c r="C29" s="8"/>
      <c r="E29" t="s">
        <v>387</v>
      </c>
      <c r="F29" s="15" t="str">
        <f t="shared" ref="F29:AE29" si="36">IF(F26=1,VLOOKUP(nRotorL_Rev&amp;F28,nRotorRev,4,FALSE),"")</f>
        <v>A</v>
      </c>
      <c r="G29" s="15" t="str">
        <f t="shared" si="36"/>
        <v>D</v>
      </c>
      <c r="H29" s="15" t="str">
        <f t="shared" si="36"/>
        <v>F</v>
      </c>
      <c r="I29" s="15" t="str">
        <f t="shared" si="36"/>
        <v>P</v>
      </c>
      <c r="J29" s="15" t="str">
        <f t="shared" si="36"/>
        <v>V</v>
      </c>
      <c r="K29" s="15" t="str">
        <f t="shared" si="36"/>
        <v>Z</v>
      </c>
      <c r="L29" s="15" t="str">
        <f t="shared" si="36"/>
        <v>B</v>
      </c>
      <c r="M29" s="15" t="str">
        <f t="shared" si="36"/>
        <v>E</v>
      </c>
      <c r="N29" s="15" t="str">
        <f t="shared" si="36"/>
        <v>C</v>
      </c>
      <c r="O29" s="15" t="str">
        <f t="shared" si="36"/>
        <v>K</v>
      </c>
      <c r="P29" s="15" t="str">
        <f t="shared" si="36"/>
        <v>M</v>
      </c>
      <c r="Q29" s="15" t="str">
        <f t="shared" si="36"/>
        <v>T</v>
      </c>
      <c r="R29" s="15" t="str">
        <f t="shared" si="36"/>
        <v>H</v>
      </c>
      <c r="S29" s="15" t="str">
        <f t="shared" si="36"/>
        <v>X</v>
      </c>
      <c r="T29" s="15" t="str">
        <f t="shared" si="36"/>
        <v>S</v>
      </c>
      <c r="U29" s="15" t="str">
        <f t="shared" si="36"/>
        <v>L</v>
      </c>
      <c r="V29" s="15" t="str">
        <f t="shared" si="36"/>
        <v>R</v>
      </c>
      <c r="W29" s="15" t="str">
        <f t="shared" si="36"/>
        <v>I</v>
      </c>
      <c r="X29" s="15" t="str">
        <f t="shared" si="36"/>
        <v>N</v>
      </c>
      <c r="Y29" s="15" t="str">
        <f t="shared" si="36"/>
        <v>Q</v>
      </c>
      <c r="Z29" s="15" t="str">
        <f t="shared" si="36"/>
        <v>O</v>
      </c>
      <c r="AA29" s="15" t="str">
        <f t="shared" si="36"/>
        <v>J</v>
      </c>
      <c r="AB29" s="15" t="str">
        <f t="shared" si="36"/>
        <v>U</v>
      </c>
      <c r="AC29" s="15" t="str">
        <f t="shared" si="36"/>
        <v>W</v>
      </c>
      <c r="AD29" s="15" t="str">
        <f t="shared" si="36"/>
        <v>Y</v>
      </c>
      <c r="AE29" s="15" t="str">
        <f t="shared" si="36"/>
        <v>G</v>
      </c>
      <c r="AF29" s="10"/>
      <c r="AH29" s="28" t="str">
        <f t="shared" ref="AH29:BG29" si="37">IF(LEN(AH30)=2,RIGHT(AH30,1),"")</f>
        <v>W</v>
      </c>
      <c r="AI29" s="28" t="str">
        <f t="shared" si="37"/>
        <v>Z</v>
      </c>
      <c r="AJ29" s="28" t="str">
        <f t="shared" si="37"/>
        <v>B</v>
      </c>
      <c r="AK29" s="28" t="str">
        <f t="shared" si="37"/>
        <v>L</v>
      </c>
      <c r="AL29" s="28" t="str">
        <f t="shared" si="37"/>
        <v>R</v>
      </c>
      <c r="AM29" s="28" t="str">
        <f t="shared" si="37"/>
        <v>V</v>
      </c>
      <c r="AN29" s="28" t="str">
        <f t="shared" si="37"/>
        <v>X</v>
      </c>
      <c r="AO29" s="28" t="str">
        <f t="shared" si="37"/>
        <v>A</v>
      </c>
      <c r="AP29" s="28" t="str">
        <f t="shared" si="37"/>
        <v>Y</v>
      </c>
      <c r="AQ29" s="28" t="str">
        <f t="shared" si="37"/>
        <v>G</v>
      </c>
      <c r="AR29" s="28" t="str">
        <f t="shared" si="37"/>
        <v>I</v>
      </c>
      <c r="AS29" s="28" t="str">
        <f t="shared" si="37"/>
        <v>P</v>
      </c>
      <c r="AT29" s="28" t="str">
        <f t="shared" si="37"/>
        <v>D</v>
      </c>
      <c r="AU29" s="28" t="str">
        <f t="shared" si="37"/>
        <v>T</v>
      </c>
      <c r="AV29" s="28" t="str">
        <f t="shared" si="37"/>
        <v>O</v>
      </c>
      <c r="AW29" s="28" t="str">
        <f t="shared" si="37"/>
        <v>H</v>
      </c>
      <c r="AX29" s="28" t="str">
        <f t="shared" si="37"/>
        <v>N</v>
      </c>
      <c r="AY29" s="28" t="str">
        <f t="shared" si="37"/>
        <v>E</v>
      </c>
      <c r="AZ29" s="28" t="str">
        <f t="shared" si="37"/>
        <v>J</v>
      </c>
      <c r="BA29" s="28" t="str">
        <f t="shared" si="37"/>
        <v>M</v>
      </c>
      <c r="BB29" s="28" t="str">
        <f t="shared" si="37"/>
        <v>K</v>
      </c>
      <c r="BC29" s="28" t="str">
        <f t="shared" si="37"/>
        <v>F</v>
      </c>
      <c r="BD29" s="28" t="str">
        <f t="shared" si="37"/>
        <v>Q</v>
      </c>
      <c r="BE29" s="28" t="str">
        <f t="shared" si="37"/>
        <v>S</v>
      </c>
      <c r="BF29" s="28" t="str">
        <f t="shared" si="37"/>
        <v>U</v>
      </c>
      <c r="BG29" s="28" t="str">
        <f t="shared" si="37"/>
        <v>C</v>
      </c>
    </row>
    <row r="30" spans="1:59" ht="15" thickBot="1" x14ac:dyDescent="0.4">
      <c r="B30" s="23"/>
      <c r="C30" s="16"/>
      <c r="D30" s="17"/>
      <c r="E30" s="17" t="s">
        <v>388</v>
      </c>
      <c r="F30" s="18" t="str">
        <f t="shared" ref="F30:AE30" si="38">IF(F26=1,IF(CODE(F29)-CODE(F28)&lt;0,VLOOKUP((CODE(F29)-CODE(F28)+26)+(CODE(F25)-nCharOffset),nNum2Let,2,FALSE),VLOOKUP((CODE(F29)-CODE(F28))+(CODE(F25)-nCharOffset),nNum2Let,2,FALSE)),"")</f>
        <v>W</v>
      </c>
      <c r="G30" s="18" t="str">
        <f t="shared" si="38"/>
        <v>Z</v>
      </c>
      <c r="H30" s="18" t="str">
        <f t="shared" si="38"/>
        <v>B</v>
      </c>
      <c r="I30" s="18" t="str">
        <f t="shared" si="38"/>
        <v>L</v>
      </c>
      <c r="J30" s="18" t="str">
        <f t="shared" si="38"/>
        <v>R</v>
      </c>
      <c r="K30" s="18" t="str">
        <f t="shared" si="38"/>
        <v>V</v>
      </c>
      <c r="L30" s="18" t="str">
        <f t="shared" si="38"/>
        <v>X</v>
      </c>
      <c r="M30" s="18" t="str">
        <f t="shared" si="38"/>
        <v>A</v>
      </c>
      <c r="N30" s="18" t="str">
        <f t="shared" si="38"/>
        <v>Y</v>
      </c>
      <c r="O30" s="18" t="str">
        <f t="shared" si="38"/>
        <v>G</v>
      </c>
      <c r="P30" s="18" t="str">
        <f t="shared" si="38"/>
        <v>I</v>
      </c>
      <c r="Q30" s="18" t="str">
        <f t="shared" si="38"/>
        <v>P</v>
      </c>
      <c r="R30" s="18" t="str">
        <f t="shared" si="38"/>
        <v>D</v>
      </c>
      <c r="S30" s="18" t="str">
        <f t="shared" si="38"/>
        <v>T</v>
      </c>
      <c r="T30" s="18" t="str">
        <f t="shared" si="38"/>
        <v>O</v>
      </c>
      <c r="U30" s="18" t="str">
        <f t="shared" si="38"/>
        <v>H</v>
      </c>
      <c r="V30" s="18" t="str">
        <f t="shared" si="38"/>
        <v>N</v>
      </c>
      <c r="W30" s="18" t="str">
        <f t="shared" si="38"/>
        <v>E</v>
      </c>
      <c r="X30" s="18" t="str">
        <f t="shared" si="38"/>
        <v>J</v>
      </c>
      <c r="Y30" s="18" t="str">
        <f t="shared" si="38"/>
        <v>M</v>
      </c>
      <c r="Z30" s="18" t="str">
        <f t="shared" si="38"/>
        <v>K</v>
      </c>
      <c r="AA30" s="18" t="str">
        <f t="shared" si="38"/>
        <v>F</v>
      </c>
      <c r="AB30" s="18" t="str">
        <f t="shared" si="38"/>
        <v>Q</v>
      </c>
      <c r="AC30" s="18" t="str">
        <f t="shared" si="38"/>
        <v>S</v>
      </c>
      <c r="AD30" s="18" t="str">
        <f t="shared" si="38"/>
        <v>U</v>
      </c>
      <c r="AE30" s="18" t="str">
        <f t="shared" si="38"/>
        <v>C</v>
      </c>
      <c r="AF30" s="19" t="str">
        <f>CONCATENATE(F30,G30,H30,I30,J30,K30,L30,M30,N30,O30,P30,Q30,R30,S30,T30&amp;U30,V30,W30,X30,Y30,Z30,AA30,AB30,AC30,AD30,AE30)</f>
        <v>WZBLRVXAYGIPDTOHNEJMKFQSUC</v>
      </c>
      <c r="AH30" s="12" t="str">
        <f>F25&amp;F30</f>
        <v>AW</v>
      </c>
      <c r="AI30" s="12" t="str">
        <f t="shared" ref="AI30:BG30" si="39">G25&amp;G30</f>
        <v>BZ</v>
      </c>
      <c r="AJ30" s="12" t="str">
        <f t="shared" si="39"/>
        <v>CB</v>
      </c>
      <c r="AK30" s="12" t="str">
        <f t="shared" si="39"/>
        <v>DL</v>
      </c>
      <c r="AL30" s="12" t="str">
        <f t="shared" si="39"/>
        <v>ER</v>
      </c>
      <c r="AM30" s="12" t="str">
        <f t="shared" si="39"/>
        <v>FV</v>
      </c>
      <c r="AN30" s="12" t="str">
        <f t="shared" si="39"/>
        <v>GX</v>
      </c>
      <c r="AO30" s="12" t="str">
        <f t="shared" si="39"/>
        <v>HA</v>
      </c>
      <c r="AP30" s="12" t="str">
        <f t="shared" si="39"/>
        <v>IY</v>
      </c>
      <c r="AQ30" s="12" t="str">
        <f t="shared" si="39"/>
        <v>JG</v>
      </c>
      <c r="AR30" s="12" t="str">
        <f t="shared" si="39"/>
        <v>KI</v>
      </c>
      <c r="AS30" s="12" t="str">
        <f t="shared" si="39"/>
        <v>LP</v>
      </c>
      <c r="AT30" s="12" t="str">
        <f t="shared" si="39"/>
        <v>MD</v>
      </c>
      <c r="AU30" s="12" t="str">
        <f t="shared" si="39"/>
        <v>NT</v>
      </c>
      <c r="AV30" s="12" t="str">
        <f t="shared" si="39"/>
        <v>OO</v>
      </c>
      <c r="AW30" s="12" t="str">
        <f t="shared" si="39"/>
        <v>PH</v>
      </c>
      <c r="AX30" s="12" t="str">
        <f t="shared" si="39"/>
        <v>QN</v>
      </c>
      <c r="AY30" s="12" t="str">
        <f t="shared" si="39"/>
        <v>RE</v>
      </c>
      <c r="AZ30" s="12" t="str">
        <f t="shared" si="39"/>
        <v>SJ</v>
      </c>
      <c r="BA30" s="12" t="str">
        <f t="shared" si="39"/>
        <v>TM</v>
      </c>
      <c r="BB30" s="12" t="str">
        <f t="shared" si="39"/>
        <v>UK</v>
      </c>
      <c r="BC30" s="12" t="str">
        <f t="shared" si="39"/>
        <v>VF</v>
      </c>
      <c r="BD30" s="12" t="str">
        <f t="shared" si="39"/>
        <v>WQ</v>
      </c>
      <c r="BE30" s="12" t="str">
        <f t="shared" si="39"/>
        <v>XS</v>
      </c>
      <c r="BF30" s="12" t="str">
        <f t="shared" si="39"/>
        <v>YU</v>
      </c>
      <c r="BG30" s="12" t="str">
        <f t="shared" si="39"/>
        <v>ZC</v>
      </c>
    </row>
    <row r="31" spans="1:59" x14ac:dyDescent="0.35">
      <c r="B31" s="21"/>
      <c r="C31" s="4"/>
      <c r="D31" s="5"/>
      <c r="E31" s="5" t="s">
        <v>385</v>
      </c>
      <c r="F31" s="6" t="s">
        <v>0</v>
      </c>
      <c r="G31" s="6" t="s">
        <v>1</v>
      </c>
      <c r="H31" s="6" t="s">
        <v>2</v>
      </c>
      <c r="I31" s="6" t="s">
        <v>3</v>
      </c>
      <c r="J31" s="6" t="s">
        <v>4</v>
      </c>
      <c r="K31" s="6" t="s">
        <v>5</v>
      </c>
      <c r="L31" s="6" t="s">
        <v>6</v>
      </c>
      <c r="M31" s="6" t="s">
        <v>7</v>
      </c>
      <c r="N31" s="6" t="s">
        <v>8</v>
      </c>
      <c r="O31" s="6" t="s">
        <v>9</v>
      </c>
      <c r="P31" s="6" t="s">
        <v>10</v>
      </c>
      <c r="Q31" s="6" t="s">
        <v>11</v>
      </c>
      <c r="R31" s="6" t="s">
        <v>12</v>
      </c>
      <c r="S31" s="6" t="s">
        <v>13</v>
      </c>
      <c r="T31" s="6" t="s">
        <v>14</v>
      </c>
      <c r="U31" s="6" t="s">
        <v>15</v>
      </c>
      <c r="V31" s="6" t="s">
        <v>16</v>
      </c>
      <c r="W31" s="6" t="s">
        <v>17</v>
      </c>
      <c r="X31" s="6" t="s">
        <v>18</v>
      </c>
      <c r="Y31" s="6" t="s">
        <v>19</v>
      </c>
      <c r="Z31" s="6" t="s">
        <v>20</v>
      </c>
      <c r="AA31" s="6" t="s">
        <v>21</v>
      </c>
      <c r="AB31" s="6" t="s">
        <v>22</v>
      </c>
      <c r="AC31" s="6" t="s">
        <v>23</v>
      </c>
      <c r="AD31" s="6" t="s">
        <v>24</v>
      </c>
      <c r="AE31" s="6" t="s">
        <v>25</v>
      </c>
      <c r="AF31" s="7"/>
      <c r="AH31" s="28" t="str">
        <f>HLOOKUP(AH23,$AH28:$BG29,2,FALSE)</f>
        <v>P</v>
      </c>
      <c r="AI31" s="28" t="str">
        <f>HLOOKUP(AI23,$AH28:$BG29,2,FALSE)</f>
        <v>Y</v>
      </c>
      <c r="AJ31" s="28" t="str">
        <f t="shared" ref="AJ31:BG31" si="40">HLOOKUP(AJ23,$AH28:$BG29,2,FALSE)</f>
        <v>E</v>
      </c>
      <c r="AK31" s="28" t="str">
        <f t="shared" si="40"/>
        <v>R</v>
      </c>
      <c r="AL31" s="28" t="str">
        <f t="shared" si="40"/>
        <v>V</v>
      </c>
      <c r="AM31" s="28" t="str">
        <f t="shared" si="40"/>
        <v>J</v>
      </c>
      <c r="AN31" s="28" t="str">
        <f t="shared" si="40"/>
        <v>I</v>
      </c>
      <c r="AO31" s="28" t="str">
        <f t="shared" si="40"/>
        <v>M</v>
      </c>
      <c r="AP31" s="28" t="str">
        <f t="shared" si="40"/>
        <v>Q</v>
      </c>
      <c r="AQ31" s="28" t="str">
        <f t="shared" si="40"/>
        <v>F</v>
      </c>
      <c r="AR31" s="28" t="str">
        <f t="shared" si="40"/>
        <v>G</v>
      </c>
      <c r="AS31" s="28" t="str">
        <f t="shared" si="40"/>
        <v>Z</v>
      </c>
      <c r="AT31" s="28" t="str">
        <f t="shared" si="40"/>
        <v>A</v>
      </c>
      <c r="AU31" s="28" t="str">
        <f t="shared" si="40"/>
        <v>D</v>
      </c>
      <c r="AV31" s="28" t="str">
        <f t="shared" si="40"/>
        <v>U</v>
      </c>
      <c r="AW31" s="28" t="str">
        <f t="shared" si="40"/>
        <v>B</v>
      </c>
      <c r="AX31" s="28" t="str">
        <f t="shared" si="40"/>
        <v>S</v>
      </c>
      <c r="AY31" s="28" t="str">
        <f t="shared" si="40"/>
        <v>L</v>
      </c>
      <c r="AZ31" s="28" t="str">
        <f t="shared" si="40"/>
        <v>T</v>
      </c>
      <c r="BA31" s="28" t="str">
        <f t="shared" si="40"/>
        <v>N</v>
      </c>
      <c r="BB31" s="28" t="str">
        <f t="shared" si="40"/>
        <v>H</v>
      </c>
      <c r="BC31" s="28" t="str">
        <f t="shared" si="40"/>
        <v>O</v>
      </c>
      <c r="BD31" s="28" t="str">
        <f t="shared" si="40"/>
        <v>W</v>
      </c>
      <c r="BE31" s="28" t="str">
        <f t="shared" si="40"/>
        <v>C</v>
      </c>
      <c r="BF31" s="28" t="str">
        <f t="shared" si="40"/>
        <v>X</v>
      </c>
      <c r="BG31" s="28" t="str">
        <f t="shared" si="40"/>
        <v>K</v>
      </c>
    </row>
    <row r="32" spans="1:59" x14ac:dyDescent="0.35">
      <c r="B32" s="22"/>
      <c r="C32" s="8"/>
      <c r="F32" s="1">
        <f>IF(ISERROR(FIND(F31,$AF30)),0,1)</f>
        <v>1</v>
      </c>
      <c r="G32" s="1">
        <f t="shared" ref="G32:AE32" si="41">IF(ISERROR(FIND(G31,$AF30)),0,1)</f>
        <v>1</v>
      </c>
      <c r="H32" s="1">
        <f t="shared" si="41"/>
        <v>1</v>
      </c>
      <c r="I32" s="1">
        <f t="shared" si="41"/>
        <v>1</v>
      </c>
      <c r="J32" s="1">
        <f t="shared" si="41"/>
        <v>1</v>
      </c>
      <c r="K32" s="1">
        <f t="shared" si="41"/>
        <v>1</v>
      </c>
      <c r="L32" s="1">
        <f t="shared" si="41"/>
        <v>1</v>
      </c>
      <c r="M32" s="1">
        <f t="shared" si="41"/>
        <v>1</v>
      </c>
      <c r="N32" s="1">
        <f t="shared" si="41"/>
        <v>1</v>
      </c>
      <c r="O32" s="1">
        <f t="shared" si="41"/>
        <v>1</v>
      </c>
      <c r="P32" s="1">
        <f t="shared" si="41"/>
        <v>1</v>
      </c>
      <c r="Q32" s="1">
        <f t="shared" si="41"/>
        <v>1</v>
      </c>
      <c r="R32" s="1">
        <f t="shared" si="41"/>
        <v>1</v>
      </c>
      <c r="S32" s="1">
        <f t="shared" si="41"/>
        <v>1</v>
      </c>
      <c r="T32" s="1">
        <f t="shared" si="41"/>
        <v>1</v>
      </c>
      <c r="U32" s="1">
        <f t="shared" si="41"/>
        <v>1</v>
      </c>
      <c r="V32" s="1">
        <f t="shared" si="41"/>
        <v>1</v>
      </c>
      <c r="W32" s="1">
        <f t="shared" si="41"/>
        <v>1</v>
      </c>
      <c r="X32" s="1">
        <f t="shared" si="41"/>
        <v>1</v>
      </c>
      <c r="Y32" s="1">
        <f t="shared" si="41"/>
        <v>1</v>
      </c>
      <c r="Z32" s="1">
        <f t="shared" si="41"/>
        <v>1</v>
      </c>
      <c r="AA32" s="1">
        <f t="shared" si="41"/>
        <v>1</v>
      </c>
      <c r="AB32" s="1">
        <f t="shared" si="41"/>
        <v>1</v>
      </c>
      <c r="AC32" s="1">
        <f t="shared" si="41"/>
        <v>1</v>
      </c>
      <c r="AD32" s="1">
        <f t="shared" si="41"/>
        <v>1</v>
      </c>
      <c r="AE32" s="1">
        <f t="shared" si="41"/>
        <v>1</v>
      </c>
      <c r="AF32" s="10"/>
    </row>
    <row r="33" spans="2:59" x14ac:dyDescent="0.35">
      <c r="B33" s="22" t="s">
        <v>383</v>
      </c>
      <c r="C33" s="26" t="str">
        <f>"R"&amp;C12</f>
        <v>R4</v>
      </c>
      <c r="D33" s="11">
        <f>D12</f>
        <v>142</v>
      </c>
      <c r="E33" s="11">
        <f>E12</f>
        <v>12</v>
      </c>
      <c r="F33" s="12" t="str">
        <f>F12</f>
        <v>L</v>
      </c>
      <c r="G33" s="13" t="str">
        <f t="shared" ref="G33:AE33" si="42">VLOOKUP(F33,nNextLetter,2,FALSE)</f>
        <v>M</v>
      </c>
      <c r="H33" s="13" t="str">
        <f t="shared" si="42"/>
        <v>N</v>
      </c>
      <c r="I33" s="13" t="str">
        <f t="shared" si="42"/>
        <v>O</v>
      </c>
      <c r="J33" s="13" t="str">
        <f t="shared" si="42"/>
        <v>P</v>
      </c>
      <c r="K33" s="13" t="str">
        <f t="shared" si="42"/>
        <v>Q</v>
      </c>
      <c r="L33" s="13" t="str">
        <f t="shared" si="42"/>
        <v>R</v>
      </c>
      <c r="M33" s="13" t="str">
        <f t="shared" si="42"/>
        <v>S</v>
      </c>
      <c r="N33" s="13" t="str">
        <f t="shared" si="42"/>
        <v>T</v>
      </c>
      <c r="O33" s="13" t="str">
        <f t="shared" si="42"/>
        <v>U</v>
      </c>
      <c r="P33" s="13" t="str">
        <f t="shared" si="42"/>
        <v>V</v>
      </c>
      <c r="Q33" s="13" t="str">
        <f t="shared" si="42"/>
        <v>W</v>
      </c>
      <c r="R33" s="13" t="str">
        <f t="shared" si="42"/>
        <v>X</v>
      </c>
      <c r="S33" s="13" t="str">
        <f t="shared" si="42"/>
        <v>Y</v>
      </c>
      <c r="T33" s="13" t="str">
        <f t="shared" si="42"/>
        <v>Z</v>
      </c>
      <c r="U33" s="13" t="str">
        <f t="shared" si="42"/>
        <v>A</v>
      </c>
      <c r="V33" s="13" t="str">
        <f t="shared" si="42"/>
        <v>B</v>
      </c>
      <c r="W33" s="13" t="str">
        <f t="shared" si="42"/>
        <v>C</v>
      </c>
      <c r="X33" s="13" t="str">
        <f t="shared" si="42"/>
        <v>D</v>
      </c>
      <c r="Y33" s="13" t="str">
        <f t="shared" si="42"/>
        <v>E</v>
      </c>
      <c r="Z33" s="13" t="str">
        <f t="shared" si="42"/>
        <v>F</v>
      </c>
      <c r="AA33" s="13" t="str">
        <f t="shared" si="42"/>
        <v>G</v>
      </c>
      <c r="AB33" s="13" t="str">
        <f t="shared" si="42"/>
        <v>H</v>
      </c>
      <c r="AC33" s="13" t="str">
        <f t="shared" si="42"/>
        <v>I</v>
      </c>
      <c r="AD33" s="13" t="str">
        <f t="shared" si="42"/>
        <v>J</v>
      </c>
      <c r="AE33" s="13" t="str">
        <f t="shared" si="42"/>
        <v>K</v>
      </c>
      <c r="AF33" s="10"/>
    </row>
    <row r="34" spans="2:59" x14ac:dyDescent="0.35">
      <c r="B34" s="22"/>
      <c r="C34" s="8"/>
      <c r="E34" t="s">
        <v>386</v>
      </c>
      <c r="F34" s="14" t="str">
        <f t="shared" ref="F34:AE34" si="43">IF(F32=1,VLOOKUP(nCurPosM+nRingOffsetM+(CODE(F31)-nCharOffset)-1,nNum2Let,2,FALSE),"")</f>
        <v>L</v>
      </c>
      <c r="G34" s="14" t="str">
        <f t="shared" si="43"/>
        <v>M</v>
      </c>
      <c r="H34" s="14" t="str">
        <f t="shared" si="43"/>
        <v>N</v>
      </c>
      <c r="I34" s="14" t="str">
        <f t="shared" si="43"/>
        <v>O</v>
      </c>
      <c r="J34" s="14" t="str">
        <f t="shared" si="43"/>
        <v>P</v>
      </c>
      <c r="K34" s="14" t="str">
        <f t="shared" si="43"/>
        <v>Q</v>
      </c>
      <c r="L34" s="14" t="str">
        <f t="shared" si="43"/>
        <v>R</v>
      </c>
      <c r="M34" s="14" t="str">
        <f t="shared" si="43"/>
        <v>S</v>
      </c>
      <c r="N34" s="14" t="str">
        <f t="shared" si="43"/>
        <v>T</v>
      </c>
      <c r="O34" s="14" t="str">
        <f t="shared" si="43"/>
        <v>U</v>
      </c>
      <c r="P34" s="14" t="str">
        <f t="shared" si="43"/>
        <v>V</v>
      </c>
      <c r="Q34" s="14" t="str">
        <f t="shared" si="43"/>
        <v>W</v>
      </c>
      <c r="R34" s="14" t="str">
        <f t="shared" si="43"/>
        <v>X</v>
      </c>
      <c r="S34" s="14" t="str">
        <f t="shared" si="43"/>
        <v>Y</v>
      </c>
      <c r="T34" s="14" t="str">
        <f t="shared" si="43"/>
        <v>Z</v>
      </c>
      <c r="U34" s="14" t="str">
        <f t="shared" si="43"/>
        <v>A</v>
      </c>
      <c r="V34" s="14" t="str">
        <f t="shared" si="43"/>
        <v>B</v>
      </c>
      <c r="W34" s="14" t="str">
        <f t="shared" si="43"/>
        <v>C</v>
      </c>
      <c r="X34" s="14" t="str">
        <f t="shared" si="43"/>
        <v>D</v>
      </c>
      <c r="Y34" s="14" t="str">
        <f t="shared" si="43"/>
        <v>E</v>
      </c>
      <c r="Z34" s="14" t="str">
        <f t="shared" si="43"/>
        <v>F</v>
      </c>
      <c r="AA34" s="14" t="str">
        <f t="shared" si="43"/>
        <v>G</v>
      </c>
      <c r="AB34" s="14" t="str">
        <f t="shared" si="43"/>
        <v>H</v>
      </c>
      <c r="AC34" s="14" t="str">
        <f t="shared" si="43"/>
        <v>I</v>
      </c>
      <c r="AD34" s="14" t="str">
        <f t="shared" si="43"/>
        <v>J</v>
      </c>
      <c r="AE34" s="14" t="str">
        <f t="shared" si="43"/>
        <v>K</v>
      </c>
      <c r="AF34" s="10"/>
      <c r="AH34" s="28" t="str">
        <f t="shared" ref="AH34:BG34" si="44">IF(LEN(AH36)=2,LEFT(AH36,1),"")</f>
        <v>A</v>
      </c>
      <c r="AI34" s="28" t="str">
        <f t="shared" si="44"/>
        <v>B</v>
      </c>
      <c r="AJ34" s="28" t="str">
        <f t="shared" si="44"/>
        <v>C</v>
      </c>
      <c r="AK34" s="28" t="str">
        <f t="shared" si="44"/>
        <v>D</v>
      </c>
      <c r="AL34" s="28" t="str">
        <f t="shared" si="44"/>
        <v>E</v>
      </c>
      <c r="AM34" s="28" t="str">
        <f t="shared" si="44"/>
        <v>F</v>
      </c>
      <c r="AN34" s="28" t="str">
        <f t="shared" si="44"/>
        <v>G</v>
      </c>
      <c r="AO34" s="28" t="str">
        <f t="shared" si="44"/>
        <v>H</v>
      </c>
      <c r="AP34" s="28" t="str">
        <f t="shared" si="44"/>
        <v>I</v>
      </c>
      <c r="AQ34" s="28" t="str">
        <f t="shared" si="44"/>
        <v>J</v>
      </c>
      <c r="AR34" s="28" t="str">
        <f t="shared" si="44"/>
        <v>K</v>
      </c>
      <c r="AS34" s="28" t="str">
        <f t="shared" si="44"/>
        <v>L</v>
      </c>
      <c r="AT34" s="28" t="str">
        <f t="shared" si="44"/>
        <v>M</v>
      </c>
      <c r="AU34" s="28" t="str">
        <f t="shared" si="44"/>
        <v>N</v>
      </c>
      <c r="AV34" s="28" t="str">
        <f t="shared" si="44"/>
        <v>O</v>
      </c>
      <c r="AW34" s="28" t="str">
        <f t="shared" si="44"/>
        <v>P</v>
      </c>
      <c r="AX34" s="28" t="str">
        <f t="shared" si="44"/>
        <v>Q</v>
      </c>
      <c r="AY34" s="28" t="str">
        <f t="shared" si="44"/>
        <v>R</v>
      </c>
      <c r="AZ34" s="28" t="str">
        <f t="shared" si="44"/>
        <v>S</v>
      </c>
      <c r="BA34" s="28" t="str">
        <f t="shared" si="44"/>
        <v>T</v>
      </c>
      <c r="BB34" s="28" t="str">
        <f t="shared" si="44"/>
        <v>U</v>
      </c>
      <c r="BC34" s="28" t="str">
        <f t="shared" si="44"/>
        <v>V</v>
      </c>
      <c r="BD34" s="28" t="str">
        <f t="shared" si="44"/>
        <v>W</v>
      </c>
      <c r="BE34" s="28" t="str">
        <f t="shared" si="44"/>
        <v>X</v>
      </c>
      <c r="BF34" s="28" t="str">
        <f t="shared" si="44"/>
        <v>Y</v>
      </c>
      <c r="BG34" s="28" t="str">
        <f t="shared" si="44"/>
        <v>Z</v>
      </c>
    </row>
    <row r="35" spans="2:59" x14ac:dyDescent="0.35">
      <c r="B35" s="22"/>
      <c r="C35" s="8"/>
      <c r="E35" t="s">
        <v>387</v>
      </c>
      <c r="F35" s="15" t="str">
        <f t="shared" ref="F35:AE35" si="45">IF(F32=1,VLOOKUP(nRotorM_Rev&amp;F34,nRotorRev,4,FALSE),"")</f>
        <v>P</v>
      </c>
      <c r="G35" s="15" t="str">
        <f t="shared" si="45"/>
        <v>X</v>
      </c>
      <c r="H35" s="15" t="str">
        <f t="shared" si="45"/>
        <v>Q</v>
      </c>
      <c r="I35" s="15" t="str">
        <f t="shared" si="45"/>
        <v>C</v>
      </c>
      <c r="J35" s="15" t="str">
        <f t="shared" si="45"/>
        <v>E</v>
      </c>
      <c r="K35" s="15" t="str">
        <f t="shared" si="45"/>
        <v>J</v>
      </c>
      <c r="L35" s="15" t="str">
        <f t="shared" si="45"/>
        <v>M</v>
      </c>
      <c r="M35" s="15" t="str">
        <f t="shared" si="45"/>
        <v>B</v>
      </c>
      <c r="N35" s="15" t="str">
        <f t="shared" si="45"/>
        <v>S</v>
      </c>
      <c r="O35" s="15" t="str">
        <f t="shared" si="45"/>
        <v>K</v>
      </c>
      <c r="P35" s="15" t="str">
        <f t="shared" si="45"/>
        <v>D</v>
      </c>
      <c r="Q35" s="15" t="str">
        <f t="shared" si="45"/>
        <v>Y</v>
      </c>
      <c r="R35" s="15" t="str">
        <f t="shared" si="45"/>
        <v>O</v>
      </c>
      <c r="S35" s="15" t="str">
        <f t="shared" si="45"/>
        <v>I</v>
      </c>
      <c r="T35" s="15" t="str">
        <f t="shared" si="45"/>
        <v>F</v>
      </c>
      <c r="U35" s="15" t="str">
        <f t="shared" si="45"/>
        <v>H</v>
      </c>
      <c r="V35" s="15" t="str">
        <f t="shared" si="45"/>
        <v>Z</v>
      </c>
      <c r="W35" s="15" t="str">
        <f t="shared" si="45"/>
        <v>W</v>
      </c>
      <c r="X35" s="15" t="str">
        <f t="shared" si="45"/>
        <v>V</v>
      </c>
      <c r="Y35" s="15" t="str">
        <f t="shared" si="45"/>
        <v>A</v>
      </c>
      <c r="Z35" s="15" t="str">
        <f t="shared" si="45"/>
        <v>R</v>
      </c>
      <c r="AA35" s="15" t="str">
        <f t="shared" si="45"/>
        <v>T</v>
      </c>
      <c r="AB35" s="15" t="str">
        <f t="shared" si="45"/>
        <v>N</v>
      </c>
      <c r="AC35" s="15" t="str">
        <f t="shared" si="45"/>
        <v>L</v>
      </c>
      <c r="AD35" s="15" t="str">
        <f t="shared" si="45"/>
        <v>G</v>
      </c>
      <c r="AE35" s="15" t="str">
        <f t="shared" si="45"/>
        <v>U</v>
      </c>
      <c r="AF35" s="10"/>
      <c r="AH35" s="28" t="str">
        <f t="shared" ref="AH35:BG35" si="46">IF(LEN(AH36)=2,RIGHT(AH36,1),"")</f>
        <v>E</v>
      </c>
      <c r="AI35" s="28" t="str">
        <f t="shared" si="46"/>
        <v>M</v>
      </c>
      <c r="AJ35" s="28" t="str">
        <f t="shared" si="46"/>
        <v>F</v>
      </c>
      <c r="AK35" s="28" t="str">
        <f t="shared" si="46"/>
        <v>R</v>
      </c>
      <c r="AL35" s="28" t="str">
        <f t="shared" si="46"/>
        <v>T</v>
      </c>
      <c r="AM35" s="28" t="str">
        <f t="shared" si="46"/>
        <v>Y</v>
      </c>
      <c r="AN35" s="28" t="str">
        <f t="shared" si="46"/>
        <v>B</v>
      </c>
      <c r="AO35" s="28" t="str">
        <f t="shared" si="46"/>
        <v>Q</v>
      </c>
      <c r="AP35" s="28" t="str">
        <f t="shared" si="46"/>
        <v>H</v>
      </c>
      <c r="AQ35" s="28" t="str">
        <f t="shared" si="46"/>
        <v>Z</v>
      </c>
      <c r="AR35" s="28" t="str">
        <f t="shared" si="46"/>
        <v>S</v>
      </c>
      <c r="AS35" s="28" t="str">
        <f t="shared" si="46"/>
        <v>N</v>
      </c>
      <c r="AT35" s="28" t="str">
        <f t="shared" si="46"/>
        <v>D</v>
      </c>
      <c r="AU35" s="28" t="str">
        <f t="shared" si="46"/>
        <v>X</v>
      </c>
      <c r="AV35" s="28" t="str">
        <f t="shared" si="46"/>
        <v>U</v>
      </c>
      <c r="AW35" s="28" t="str">
        <f t="shared" si="46"/>
        <v>W</v>
      </c>
      <c r="AX35" s="28" t="str">
        <f t="shared" si="46"/>
        <v>O</v>
      </c>
      <c r="AY35" s="28" t="str">
        <f t="shared" si="46"/>
        <v>L</v>
      </c>
      <c r="AZ35" s="28" t="str">
        <f t="shared" si="46"/>
        <v>K</v>
      </c>
      <c r="BA35" s="28" t="str">
        <f t="shared" si="46"/>
        <v>P</v>
      </c>
      <c r="BB35" s="28" t="str">
        <f t="shared" si="46"/>
        <v>G</v>
      </c>
      <c r="BC35" s="28" t="str">
        <f t="shared" si="46"/>
        <v>I</v>
      </c>
      <c r="BD35" s="28" t="str">
        <f t="shared" si="46"/>
        <v>C</v>
      </c>
      <c r="BE35" s="28" t="str">
        <f t="shared" si="46"/>
        <v>A</v>
      </c>
      <c r="BF35" s="28" t="str">
        <f t="shared" si="46"/>
        <v>V</v>
      </c>
      <c r="BG35" s="28" t="str">
        <f t="shared" si="46"/>
        <v>J</v>
      </c>
    </row>
    <row r="36" spans="2:59" ht="15" thickBot="1" x14ac:dyDescent="0.4">
      <c r="B36" s="23"/>
      <c r="C36" s="16"/>
      <c r="D36" s="17"/>
      <c r="E36" s="17" t="s">
        <v>388</v>
      </c>
      <c r="F36" s="18" t="str">
        <f t="shared" ref="F36:AE36" si="47">IF(F32=1,IF(CODE(F35)-CODE(F34)&lt;0,VLOOKUP((CODE(F35)-CODE(F34)+26)+(CODE(F31)-nCharOffset),nNum2Let,2,FALSE),VLOOKUP((CODE(F35)-CODE(F34))+(CODE(F31)-nCharOffset),nNum2Let,2,FALSE)),"")</f>
        <v>E</v>
      </c>
      <c r="G36" s="18" t="str">
        <f t="shared" si="47"/>
        <v>M</v>
      </c>
      <c r="H36" s="18" t="str">
        <f t="shared" si="47"/>
        <v>F</v>
      </c>
      <c r="I36" s="18" t="str">
        <f t="shared" si="47"/>
        <v>R</v>
      </c>
      <c r="J36" s="18" t="str">
        <f t="shared" si="47"/>
        <v>T</v>
      </c>
      <c r="K36" s="18" t="str">
        <f t="shared" si="47"/>
        <v>Y</v>
      </c>
      <c r="L36" s="18" t="str">
        <f t="shared" si="47"/>
        <v>B</v>
      </c>
      <c r="M36" s="18" t="str">
        <f t="shared" si="47"/>
        <v>Q</v>
      </c>
      <c r="N36" s="18" t="str">
        <f t="shared" si="47"/>
        <v>H</v>
      </c>
      <c r="O36" s="18" t="str">
        <f t="shared" si="47"/>
        <v>Z</v>
      </c>
      <c r="P36" s="18" t="str">
        <f t="shared" si="47"/>
        <v>S</v>
      </c>
      <c r="Q36" s="18" t="str">
        <f t="shared" si="47"/>
        <v>N</v>
      </c>
      <c r="R36" s="18" t="str">
        <f t="shared" si="47"/>
        <v>D</v>
      </c>
      <c r="S36" s="18" t="str">
        <f t="shared" si="47"/>
        <v>X</v>
      </c>
      <c r="T36" s="18" t="str">
        <f t="shared" si="47"/>
        <v>U</v>
      </c>
      <c r="U36" s="18" t="str">
        <f t="shared" si="47"/>
        <v>W</v>
      </c>
      <c r="V36" s="18" t="str">
        <f t="shared" si="47"/>
        <v>O</v>
      </c>
      <c r="W36" s="18" t="str">
        <f t="shared" si="47"/>
        <v>L</v>
      </c>
      <c r="X36" s="18" t="str">
        <f t="shared" si="47"/>
        <v>K</v>
      </c>
      <c r="Y36" s="18" t="str">
        <f t="shared" si="47"/>
        <v>P</v>
      </c>
      <c r="Z36" s="18" t="str">
        <f t="shared" si="47"/>
        <v>G</v>
      </c>
      <c r="AA36" s="18" t="str">
        <f t="shared" si="47"/>
        <v>I</v>
      </c>
      <c r="AB36" s="18" t="str">
        <f t="shared" si="47"/>
        <v>C</v>
      </c>
      <c r="AC36" s="18" t="str">
        <f t="shared" si="47"/>
        <v>A</v>
      </c>
      <c r="AD36" s="18" t="str">
        <f t="shared" si="47"/>
        <v>V</v>
      </c>
      <c r="AE36" s="18" t="str">
        <f t="shared" si="47"/>
        <v>J</v>
      </c>
      <c r="AF36" s="19" t="str">
        <f>CONCATENATE(F36,G36,H36,I36,J36,K36,L36,M36,N36,O36,P36,Q36,R36,S36,T36&amp;U36,V36,W36,X36,Y36,Z36,AA36,AB36,AC36,AD36,AE36)</f>
        <v>EMFRTYBQHZSNDXUWOLKPGICAVJ</v>
      </c>
      <c r="AH36" s="12" t="str">
        <f>F31&amp;F36</f>
        <v>AE</v>
      </c>
      <c r="AI36" s="12" t="str">
        <f t="shared" ref="AI36:BG36" si="48">G31&amp;G36</f>
        <v>BM</v>
      </c>
      <c r="AJ36" s="12" t="str">
        <f t="shared" si="48"/>
        <v>CF</v>
      </c>
      <c r="AK36" s="12" t="str">
        <f t="shared" si="48"/>
        <v>DR</v>
      </c>
      <c r="AL36" s="12" t="str">
        <f t="shared" si="48"/>
        <v>ET</v>
      </c>
      <c r="AM36" s="12" t="str">
        <f t="shared" si="48"/>
        <v>FY</v>
      </c>
      <c r="AN36" s="12" t="str">
        <f t="shared" si="48"/>
        <v>GB</v>
      </c>
      <c r="AO36" s="12" t="str">
        <f t="shared" si="48"/>
        <v>HQ</v>
      </c>
      <c r="AP36" s="12" t="str">
        <f t="shared" si="48"/>
        <v>IH</v>
      </c>
      <c r="AQ36" s="12" t="str">
        <f t="shared" si="48"/>
        <v>JZ</v>
      </c>
      <c r="AR36" s="12" t="str">
        <f t="shared" si="48"/>
        <v>KS</v>
      </c>
      <c r="AS36" s="12" t="str">
        <f t="shared" si="48"/>
        <v>LN</v>
      </c>
      <c r="AT36" s="12" t="str">
        <f t="shared" si="48"/>
        <v>MD</v>
      </c>
      <c r="AU36" s="12" t="str">
        <f t="shared" si="48"/>
        <v>NX</v>
      </c>
      <c r="AV36" s="12" t="str">
        <f t="shared" si="48"/>
        <v>OU</v>
      </c>
      <c r="AW36" s="12" t="str">
        <f t="shared" si="48"/>
        <v>PW</v>
      </c>
      <c r="AX36" s="12" t="str">
        <f t="shared" si="48"/>
        <v>QO</v>
      </c>
      <c r="AY36" s="12" t="str">
        <f t="shared" si="48"/>
        <v>RL</v>
      </c>
      <c r="AZ36" s="12" t="str">
        <f t="shared" si="48"/>
        <v>SK</v>
      </c>
      <c r="BA36" s="12" t="str">
        <f t="shared" si="48"/>
        <v>TP</v>
      </c>
      <c r="BB36" s="12" t="str">
        <f t="shared" si="48"/>
        <v>UG</v>
      </c>
      <c r="BC36" s="12" t="str">
        <f t="shared" si="48"/>
        <v>VI</v>
      </c>
      <c r="BD36" s="12" t="str">
        <f t="shared" si="48"/>
        <v>WC</v>
      </c>
      <c r="BE36" s="12" t="str">
        <f t="shared" si="48"/>
        <v>XA</v>
      </c>
      <c r="BF36" s="12" t="str">
        <f t="shared" si="48"/>
        <v>YV</v>
      </c>
      <c r="BG36" s="12" t="str">
        <f t="shared" si="48"/>
        <v>ZJ</v>
      </c>
    </row>
    <row r="37" spans="2:59" x14ac:dyDescent="0.35">
      <c r="B37" s="21"/>
      <c r="C37" s="4"/>
      <c r="D37" s="5"/>
      <c r="E37" s="5" t="s">
        <v>385</v>
      </c>
      <c r="F37" s="6" t="s">
        <v>0</v>
      </c>
      <c r="G37" s="6" t="s">
        <v>1</v>
      </c>
      <c r="H37" s="6" t="s">
        <v>2</v>
      </c>
      <c r="I37" s="6" t="s">
        <v>3</v>
      </c>
      <c r="J37" s="6" t="s">
        <v>4</v>
      </c>
      <c r="K37" s="6" t="s">
        <v>5</v>
      </c>
      <c r="L37" s="6" t="s">
        <v>6</v>
      </c>
      <c r="M37" s="6" t="s">
        <v>7</v>
      </c>
      <c r="N37" s="6" t="s">
        <v>8</v>
      </c>
      <c r="O37" s="6" t="s">
        <v>9</v>
      </c>
      <c r="P37" s="6" t="s">
        <v>10</v>
      </c>
      <c r="Q37" s="6" t="s">
        <v>11</v>
      </c>
      <c r="R37" s="6" t="s">
        <v>12</v>
      </c>
      <c r="S37" s="6" t="s">
        <v>13</v>
      </c>
      <c r="T37" s="6" t="s">
        <v>14</v>
      </c>
      <c r="U37" s="6" t="s">
        <v>15</v>
      </c>
      <c r="V37" s="6" t="s">
        <v>16</v>
      </c>
      <c r="W37" s="6" t="s">
        <v>17</v>
      </c>
      <c r="X37" s="6" t="s">
        <v>18</v>
      </c>
      <c r="Y37" s="6" t="s">
        <v>19</v>
      </c>
      <c r="Z37" s="6" t="s">
        <v>20</v>
      </c>
      <c r="AA37" s="6" t="s">
        <v>21</v>
      </c>
      <c r="AB37" s="6" t="s">
        <v>22</v>
      </c>
      <c r="AC37" s="6" t="s">
        <v>23</v>
      </c>
      <c r="AD37" s="6" t="s">
        <v>24</v>
      </c>
      <c r="AE37" s="6" t="s">
        <v>25</v>
      </c>
      <c r="AF37" s="20"/>
      <c r="AH37" s="28" t="str">
        <f>HLOOKUP(AH31,$AH34:$BG35,2,FALSE)</f>
        <v>W</v>
      </c>
      <c r="AI37" s="28" t="str">
        <f>HLOOKUP(AI31,$AH34:$BG35,2,FALSE)</f>
        <v>V</v>
      </c>
      <c r="AJ37" s="28" t="str">
        <f>HLOOKUP(AJ31,$AH34:$BG35,2,FALSE)</f>
        <v>T</v>
      </c>
      <c r="AK37" s="28" t="str">
        <f t="shared" ref="AK37:BG37" si="49">HLOOKUP(AK31,$AH34:$BG35,2,FALSE)</f>
        <v>L</v>
      </c>
      <c r="AL37" s="28" t="str">
        <f t="shared" si="49"/>
        <v>I</v>
      </c>
      <c r="AM37" s="28" t="str">
        <f t="shared" si="49"/>
        <v>Z</v>
      </c>
      <c r="AN37" s="28" t="str">
        <f t="shared" si="49"/>
        <v>H</v>
      </c>
      <c r="AO37" s="28" t="str">
        <f t="shared" si="49"/>
        <v>D</v>
      </c>
      <c r="AP37" s="28" t="str">
        <f t="shared" si="49"/>
        <v>O</v>
      </c>
      <c r="AQ37" s="28" t="str">
        <f t="shared" si="49"/>
        <v>Y</v>
      </c>
      <c r="AR37" s="28" t="str">
        <f t="shared" si="49"/>
        <v>B</v>
      </c>
      <c r="AS37" s="28" t="str">
        <f t="shared" si="49"/>
        <v>J</v>
      </c>
      <c r="AT37" s="28" t="str">
        <f t="shared" si="49"/>
        <v>E</v>
      </c>
      <c r="AU37" s="28" t="str">
        <f t="shared" si="49"/>
        <v>R</v>
      </c>
      <c r="AV37" s="28" t="str">
        <f t="shared" si="49"/>
        <v>G</v>
      </c>
      <c r="AW37" s="28" t="str">
        <f t="shared" si="49"/>
        <v>M</v>
      </c>
      <c r="AX37" s="28" t="str">
        <f t="shared" si="49"/>
        <v>K</v>
      </c>
      <c r="AY37" s="28" t="str">
        <f t="shared" si="49"/>
        <v>N</v>
      </c>
      <c r="AZ37" s="28" t="str">
        <f t="shared" si="49"/>
        <v>P</v>
      </c>
      <c r="BA37" s="28" t="str">
        <f t="shared" si="49"/>
        <v>X</v>
      </c>
      <c r="BB37" s="28" t="str">
        <f t="shared" si="49"/>
        <v>Q</v>
      </c>
      <c r="BC37" s="28" t="str">
        <f t="shared" si="49"/>
        <v>U</v>
      </c>
      <c r="BD37" s="28" t="str">
        <f t="shared" si="49"/>
        <v>C</v>
      </c>
      <c r="BE37" s="28" t="str">
        <f t="shared" si="49"/>
        <v>F</v>
      </c>
      <c r="BF37" s="28" t="str">
        <f t="shared" si="49"/>
        <v>A</v>
      </c>
      <c r="BG37" s="28" t="str">
        <f t="shared" si="49"/>
        <v>S</v>
      </c>
    </row>
    <row r="38" spans="2:59" x14ac:dyDescent="0.35">
      <c r="B38" s="22"/>
      <c r="C38" s="8"/>
      <c r="F38" s="1">
        <f t="shared" ref="F38:AE38" si="50">IF(ISERROR(FIND(F37,$AF36)),0,1)</f>
        <v>1</v>
      </c>
      <c r="G38" s="1">
        <f t="shared" si="50"/>
        <v>1</v>
      </c>
      <c r="H38" s="1">
        <f t="shared" si="50"/>
        <v>1</v>
      </c>
      <c r="I38" s="1">
        <f t="shared" si="50"/>
        <v>1</v>
      </c>
      <c r="J38" s="1">
        <f t="shared" si="50"/>
        <v>1</v>
      </c>
      <c r="K38" s="1">
        <f t="shared" si="50"/>
        <v>1</v>
      </c>
      <c r="L38" s="1">
        <f t="shared" si="50"/>
        <v>1</v>
      </c>
      <c r="M38" s="1">
        <f t="shared" si="50"/>
        <v>1</v>
      </c>
      <c r="N38" s="1">
        <f t="shared" si="50"/>
        <v>1</v>
      </c>
      <c r="O38" s="1">
        <f t="shared" si="50"/>
        <v>1</v>
      </c>
      <c r="P38" s="1">
        <f t="shared" si="50"/>
        <v>1</v>
      </c>
      <c r="Q38" s="1">
        <f t="shared" si="50"/>
        <v>1</v>
      </c>
      <c r="R38" s="1">
        <f t="shared" si="50"/>
        <v>1</v>
      </c>
      <c r="S38" s="1">
        <f t="shared" si="50"/>
        <v>1</v>
      </c>
      <c r="T38" s="1">
        <f t="shared" si="50"/>
        <v>1</v>
      </c>
      <c r="U38" s="1">
        <f t="shared" si="50"/>
        <v>1</v>
      </c>
      <c r="V38" s="1">
        <f t="shared" si="50"/>
        <v>1</v>
      </c>
      <c r="W38" s="1">
        <f t="shared" si="50"/>
        <v>1</v>
      </c>
      <c r="X38" s="1">
        <f t="shared" si="50"/>
        <v>1</v>
      </c>
      <c r="Y38" s="1">
        <f t="shared" si="50"/>
        <v>1</v>
      </c>
      <c r="Z38" s="1">
        <f t="shared" si="50"/>
        <v>1</v>
      </c>
      <c r="AA38" s="1">
        <f t="shared" si="50"/>
        <v>1</v>
      </c>
      <c r="AB38" s="1">
        <f t="shared" si="50"/>
        <v>1</v>
      </c>
      <c r="AC38" s="1">
        <f t="shared" si="50"/>
        <v>1</v>
      </c>
      <c r="AD38" s="1">
        <f t="shared" si="50"/>
        <v>1</v>
      </c>
      <c r="AE38" s="1">
        <f t="shared" si="50"/>
        <v>1</v>
      </c>
      <c r="AF38" s="10"/>
    </row>
    <row r="39" spans="2:59" x14ac:dyDescent="0.35">
      <c r="B39" s="22" t="s">
        <v>384</v>
      </c>
      <c r="C39" s="26" t="str">
        <f>"R"&amp;C6</f>
        <v>R2</v>
      </c>
      <c r="D39" s="11">
        <f>D6</f>
        <v>3709</v>
      </c>
      <c r="E39" s="11">
        <f>E6</f>
        <v>17</v>
      </c>
      <c r="F39" s="12" t="str">
        <f>F6</f>
        <v>Q</v>
      </c>
      <c r="G39" s="13" t="str">
        <f t="shared" ref="G39:AE39" si="51">VLOOKUP(F39,nNextLetter,2,FALSE)</f>
        <v>R</v>
      </c>
      <c r="H39" s="13" t="str">
        <f t="shared" si="51"/>
        <v>S</v>
      </c>
      <c r="I39" s="13" t="str">
        <f t="shared" si="51"/>
        <v>T</v>
      </c>
      <c r="J39" s="13" t="str">
        <f t="shared" si="51"/>
        <v>U</v>
      </c>
      <c r="K39" s="13" t="str">
        <f t="shared" si="51"/>
        <v>V</v>
      </c>
      <c r="L39" s="13" t="str">
        <f t="shared" si="51"/>
        <v>W</v>
      </c>
      <c r="M39" s="13" t="str">
        <f t="shared" si="51"/>
        <v>X</v>
      </c>
      <c r="N39" s="13" t="str">
        <f t="shared" si="51"/>
        <v>Y</v>
      </c>
      <c r="O39" s="13" t="str">
        <f t="shared" si="51"/>
        <v>Z</v>
      </c>
      <c r="P39" s="13" t="str">
        <f t="shared" si="51"/>
        <v>A</v>
      </c>
      <c r="Q39" s="13" t="str">
        <f t="shared" si="51"/>
        <v>B</v>
      </c>
      <c r="R39" s="13" t="str">
        <f t="shared" si="51"/>
        <v>C</v>
      </c>
      <c r="S39" s="13" t="str">
        <f t="shared" si="51"/>
        <v>D</v>
      </c>
      <c r="T39" s="13" t="str">
        <f t="shared" si="51"/>
        <v>E</v>
      </c>
      <c r="U39" s="13" t="str">
        <f t="shared" si="51"/>
        <v>F</v>
      </c>
      <c r="V39" s="13" t="str">
        <f t="shared" si="51"/>
        <v>G</v>
      </c>
      <c r="W39" s="13" t="str">
        <f t="shared" si="51"/>
        <v>H</v>
      </c>
      <c r="X39" s="13" t="str">
        <f t="shared" si="51"/>
        <v>I</v>
      </c>
      <c r="Y39" s="13" t="str">
        <f t="shared" si="51"/>
        <v>J</v>
      </c>
      <c r="Z39" s="13" t="str">
        <f t="shared" si="51"/>
        <v>K</v>
      </c>
      <c r="AA39" s="13" t="str">
        <f t="shared" si="51"/>
        <v>L</v>
      </c>
      <c r="AB39" s="13" t="str">
        <f t="shared" si="51"/>
        <v>M</v>
      </c>
      <c r="AC39" s="13" t="str">
        <f t="shared" si="51"/>
        <v>N</v>
      </c>
      <c r="AD39" s="13" t="str">
        <f t="shared" si="51"/>
        <v>O</v>
      </c>
      <c r="AE39" s="13" t="str">
        <f t="shared" si="51"/>
        <v>P</v>
      </c>
      <c r="AF39" s="10"/>
    </row>
    <row r="40" spans="2:59" x14ac:dyDescent="0.35">
      <c r="B40" s="22"/>
      <c r="C40" s="8"/>
      <c r="E40" t="s">
        <v>386</v>
      </c>
      <c r="F40" s="14" t="str">
        <f t="shared" ref="F40:AE40" si="52">IF(F38=1,VLOOKUP(nCurPosR+nRingOffsetR+(CODE(F37)-nCharOffset)-1,nNum2Let,2,FALSE),"")</f>
        <v>Q</v>
      </c>
      <c r="G40" s="14" t="str">
        <f t="shared" si="52"/>
        <v>R</v>
      </c>
      <c r="H40" s="14" t="str">
        <f t="shared" si="52"/>
        <v>S</v>
      </c>
      <c r="I40" s="14" t="str">
        <f t="shared" si="52"/>
        <v>T</v>
      </c>
      <c r="J40" s="14" t="str">
        <f t="shared" si="52"/>
        <v>U</v>
      </c>
      <c r="K40" s="14" t="str">
        <f t="shared" si="52"/>
        <v>V</v>
      </c>
      <c r="L40" s="14" t="str">
        <f t="shared" si="52"/>
        <v>W</v>
      </c>
      <c r="M40" s="14" t="str">
        <f t="shared" si="52"/>
        <v>X</v>
      </c>
      <c r="N40" s="14" t="str">
        <f t="shared" si="52"/>
        <v>Y</v>
      </c>
      <c r="O40" s="14" t="str">
        <f t="shared" si="52"/>
        <v>Z</v>
      </c>
      <c r="P40" s="14" t="str">
        <f t="shared" si="52"/>
        <v>A</v>
      </c>
      <c r="Q40" s="14" t="str">
        <f t="shared" si="52"/>
        <v>B</v>
      </c>
      <c r="R40" s="14" t="str">
        <f t="shared" si="52"/>
        <v>C</v>
      </c>
      <c r="S40" s="14" t="str">
        <f t="shared" si="52"/>
        <v>D</v>
      </c>
      <c r="T40" s="14" t="str">
        <f t="shared" si="52"/>
        <v>E</v>
      </c>
      <c r="U40" s="14" t="str">
        <f t="shared" si="52"/>
        <v>F</v>
      </c>
      <c r="V40" s="14" t="str">
        <f t="shared" si="52"/>
        <v>G</v>
      </c>
      <c r="W40" s="14" t="str">
        <f t="shared" si="52"/>
        <v>H</v>
      </c>
      <c r="X40" s="14" t="str">
        <f t="shared" si="52"/>
        <v>I</v>
      </c>
      <c r="Y40" s="14" t="str">
        <f t="shared" si="52"/>
        <v>J</v>
      </c>
      <c r="Z40" s="14" t="str">
        <f t="shared" si="52"/>
        <v>K</v>
      </c>
      <c r="AA40" s="14" t="str">
        <f t="shared" si="52"/>
        <v>L</v>
      </c>
      <c r="AB40" s="14" t="str">
        <f t="shared" si="52"/>
        <v>M</v>
      </c>
      <c r="AC40" s="14" t="str">
        <f t="shared" si="52"/>
        <v>N</v>
      </c>
      <c r="AD40" s="14" t="str">
        <f t="shared" si="52"/>
        <v>O</v>
      </c>
      <c r="AE40" s="14" t="str">
        <f t="shared" si="52"/>
        <v>P</v>
      </c>
      <c r="AF40" s="10"/>
      <c r="AH40" s="28" t="str">
        <f t="shared" ref="AH40:BG40" si="53">IF(LEN(AH42)=2,LEFT(AH42,1),"")</f>
        <v>A</v>
      </c>
      <c r="AI40" s="28" t="str">
        <f t="shared" si="53"/>
        <v>B</v>
      </c>
      <c r="AJ40" s="28" t="str">
        <f t="shared" si="53"/>
        <v>C</v>
      </c>
      <c r="AK40" s="28" t="str">
        <f t="shared" si="53"/>
        <v>D</v>
      </c>
      <c r="AL40" s="28" t="str">
        <f t="shared" si="53"/>
        <v>E</v>
      </c>
      <c r="AM40" s="28" t="str">
        <f t="shared" si="53"/>
        <v>F</v>
      </c>
      <c r="AN40" s="28" t="str">
        <f t="shared" si="53"/>
        <v>G</v>
      </c>
      <c r="AO40" s="28" t="str">
        <f t="shared" si="53"/>
        <v>H</v>
      </c>
      <c r="AP40" s="28" t="str">
        <f t="shared" si="53"/>
        <v>I</v>
      </c>
      <c r="AQ40" s="28" t="str">
        <f t="shared" si="53"/>
        <v>J</v>
      </c>
      <c r="AR40" s="28" t="str">
        <f t="shared" si="53"/>
        <v>K</v>
      </c>
      <c r="AS40" s="28" t="str">
        <f t="shared" si="53"/>
        <v>L</v>
      </c>
      <c r="AT40" s="28" t="str">
        <f t="shared" si="53"/>
        <v>M</v>
      </c>
      <c r="AU40" s="28" t="str">
        <f t="shared" si="53"/>
        <v>N</v>
      </c>
      <c r="AV40" s="28" t="str">
        <f t="shared" si="53"/>
        <v>O</v>
      </c>
      <c r="AW40" s="28" t="str">
        <f t="shared" si="53"/>
        <v>P</v>
      </c>
      <c r="AX40" s="28" t="str">
        <f t="shared" si="53"/>
        <v>Q</v>
      </c>
      <c r="AY40" s="28" t="str">
        <f t="shared" si="53"/>
        <v>R</v>
      </c>
      <c r="AZ40" s="28" t="str">
        <f t="shared" si="53"/>
        <v>S</v>
      </c>
      <c r="BA40" s="28" t="str">
        <f t="shared" si="53"/>
        <v>T</v>
      </c>
      <c r="BB40" s="28" t="str">
        <f t="shared" si="53"/>
        <v>U</v>
      </c>
      <c r="BC40" s="28" t="str">
        <f t="shared" si="53"/>
        <v>V</v>
      </c>
      <c r="BD40" s="28" t="str">
        <f t="shared" si="53"/>
        <v>W</v>
      </c>
      <c r="BE40" s="28" t="str">
        <f t="shared" si="53"/>
        <v>X</v>
      </c>
      <c r="BF40" s="28" t="str">
        <f t="shared" si="53"/>
        <v>Y</v>
      </c>
      <c r="BG40" s="28" t="str">
        <f t="shared" si="53"/>
        <v>Z</v>
      </c>
    </row>
    <row r="41" spans="2:59" x14ac:dyDescent="0.35">
      <c r="B41" s="22"/>
      <c r="C41" s="8"/>
      <c r="E41" t="s">
        <v>387</v>
      </c>
      <c r="F41" s="15" t="str">
        <f t="shared" ref="F41:AE41" si="54">IF(F38=1,VLOOKUP(nRotorR_Rev&amp;F40,nRotorRev,4,FALSE),"")</f>
        <v>Q</v>
      </c>
      <c r="G41" s="15" t="str">
        <f t="shared" si="54"/>
        <v>G</v>
      </c>
      <c r="H41" s="15" t="str">
        <f t="shared" si="54"/>
        <v>E</v>
      </c>
      <c r="I41" s="15" t="str">
        <f t="shared" si="54"/>
        <v>N</v>
      </c>
      <c r="J41" s="15" t="str">
        <f t="shared" si="54"/>
        <v>H</v>
      </c>
      <c r="K41" s="15" t="str">
        <f t="shared" si="54"/>
        <v>X</v>
      </c>
      <c r="L41" s="15" t="str">
        <f t="shared" si="54"/>
        <v>M</v>
      </c>
      <c r="M41" s="15" t="str">
        <f t="shared" si="54"/>
        <v>I</v>
      </c>
      <c r="N41" s="15" t="str">
        <f t="shared" si="54"/>
        <v>V</v>
      </c>
      <c r="O41" s="15" t="str">
        <f t="shared" si="54"/>
        <v>S</v>
      </c>
      <c r="P41" s="15" t="str">
        <f t="shared" si="54"/>
        <v>A</v>
      </c>
      <c r="Q41" s="15" t="str">
        <f t="shared" si="54"/>
        <v>J</v>
      </c>
      <c r="R41" s="15" t="str">
        <f t="shared" si="54"/>
        <v>P</v>
      </c>
      <c r="S41" s="15" t="str">
        <f t="shared" si="54"/>
        <v>C</v>
      </c>
      <c r="T41" s="15" t="str">
        <f t="shared" si="54"/>
        <v>Z</v>
      </c>
      <c r="U41" s="15" t="str">
        <f t="shared" si="54"/>
        <v>W</v>
      </c>
      <c r="V41" s="15" t="str">
        <f t="shared" si="54"/>
        <v>R</v>
      </c>
      <c r="W41" s="15" t="str">
        <f t="shared" si="54"/>
        <v>L</v>
      </c>
      <c r="X41" s="15" t="str">
        <f t="shared" si="54"/>
        <v>F</v>
      </c>
      <c r="Y41" s="15" t="str">
        <f t="shared" si="54"/>
        <v>B</v>
      </c>
      <c r="Z41" s="15" t="str">
        <f t="shared" si="54"/>
        <v>D</v>
      </c>
      <c r="AA41" s="15" t="str">
        <f t="shared" si="54"/>
        <v>K</v>
      </c>
      <c r="AB41" s="15" t="str">
        <f t="shared" si="54"/>
        <v>O</v>
      </c>
      <c r="AC41" s="15" t="str">
        <f t="shared" si="54"/>
        <v>T</v>
      </c>
      <c r="AD41" s="15" t="str">
        <f t="shared" si="54"/>
        <v>Y</v>
      </c>
      <c r="AE41" s="15" t="str">
        <f t="shared" si="54"/>
        <v>U</v>
      </c>
      <c r="AF41" s="10"/>
      <c r="AH41" s="28" t="str">
        <f t="shared" ref="AH41:BG41" si="55">IF(LEN(AH42)=2,RIGHT(AH42,1),"")</f>
        <v>A</v>
      </c>
      <c r="AI41" s="28" t="str">
        <f t="shared" si="55"/>
        <v>Q</v>
      </c>
      <c r="AJ41" s="28" t="str">
        <f t="shared" si="55"/>
        <v>O</v>
      </c>
      <c r="AK41" s="28" t="str">
        <f t="shared" si="55"/>
        <v>X</v>
      </c>
      <c r="AL41" s="28" t="str">
        <f t="shared" si="55"/>
        <v>R</v>
      </c>
      <c r="AM41" s="28" t="str">
        <f t="shared" si="55"/>
        <v>H</v>
      </c>
      <c r="AN41" s="28" t="str">
        <f t="shared" si="55"/>
        <v>W</v>
      </c>
      <c r="AO41" s="28" t="str">
        <f t="shared" si="55"/>
        <v>S</v>
      </c>
      <c r="AP41" s="28" t="str">
        <f t="shared" si="55"/>
        <v>F</v>
      </c>
      <c r="AQ41" s="28" t="str">
        <f t="shared" si="55"/>
        <v>C</v>
      </c>
      <c r="AR41" s="28" t="str">
        <f t="shared" si="55"/>
        <v>K</v>
      </c>
      <c r="AS41" s="28" t="str">
        <f t="shared" si="55"/>
        <v>T</v>
      </c>
      <c r="AT41" s="28" t="str">
        <f t="shared" si="55"/>
        <v>Z</v>
      </c>
      <c r="AU41" s="28" t="str">
        <f t="shared" si="55"/>
        <v>M</v>
      </c>
      <c r="AV41" s="28" t="str">
        <f t="shared" si="55"/>
        <v>J</v>
      </c>
      <c r="AW41" s="28" t="str">
        <f t="shared" si="55"/>
        <v>G</v>
      </c>
      <c r="AX41" s="28" t="str">
        <f t="shared" si="55"/>
        <v>B</v>
      </c>
      <c r="AY41" s="28" t="str">
        <f t="shared" si="55"/>
        <v>V</v>
      </c>
      <c r="AZ41" s="28" t="str">
        <f t="shared" si="55"/>
        <v>P</v>
      </c>
      <c r="BA41" s="28" t="str">
        <f t="shared" si="55"/>
        <v>L</v>
      </c>
      <c r="BB41" s="28" t="str">
        <f t="shared" si="55"/>
        <v>N</v>
      </c>
      <c r="BC41" s="28" t="str">
        <f t="shared" si="55"/>
        <v>U</v>
      </c>
      <c r="BD41" s="28" t="str">
        <f t="shared" si="55"/>
        <v>Y</v>
      </c>
      <c r="BE41" s="28" t="str">
        <f t="shared" si="55"/>
        <v>D</v>
      </c>
      <c r="BF41" s="28" t="str">
        <f t="shared" si="55"/>
        <v>I</v>
      </c>
      <c r="BG41" s="28" t="str">
        <f t="shared" si="55"/>
        <v>E</v>
      </c>
    </row>
    <row r="42" spans="2:59" ht="15" thickBot="1" x14ac:dyDescent="0.4">
      <c r="B42" s="23"/>
      <c r="C42" s="16"/>
      <c r="D42" s="17"/>
      <c r="E42" s="17" t="s">
        <v>388</v>
      </c>
      <c r="F42" s="18" t="str">
        <f t="shared" ref="F42:AE42" si="56">IF(F38=1,IF(CODE(F41)-CODE(F40)&lt;0,VLOOKUP((CODE(F41)-CODE(F40)+26)+(CODE(F37)-nCharOffset),nNum2Let,2,FALSE),VLOOKUP((CODE(F41)-CODE(F40))+(CODE(F37)-nCharOffset),nNum2Let,2,FALSE)),"")</f>
        <v>A</v>
      </c>
      <c r="G42" s="18" t="str">
        <f t="shared" si="56"/>
        <v>Q</v>
      </c>
      <c r="H42" s="18" t="str">
        <f t="shared" si="56"/>
        <v>O</v>
      </c>
      <c r="I42" s="18" t="str">
        <f t="shared" si="56"/>
        <v>X</v>
      </c>
      <c r="J42" s="18" t="str">
        <f t="shared" si="56"/>
        <v>R</v>
      </c>
      <c r="K42" s="18" t="str">
        <f t="shared" si="56"/>
        <v>H</v>
      </c>
      <c r="L42" s="18" t="str">
        <f t="shared" si="56"/>
        <v>W</v>
      </c>
      <c r="M42" s="18" t="str">
        <f t="shared" si="56"/>
        <v>S</v>
      </c>
      <c r="N42" s="18" t="str">
        <f t="shared" si="56"/>
        <v>F</v>
      </c>
      <c r="O42" s="18" t="str">
        <f t="shared" si="56"/>
        <v>C</v>
      </c>
      <c r="P42" s="18" t="str">
        <f t="shared" si="56"/>
        <v>K</v>
      </c>
      <c r="Q42" s="18" t="str">
        <f t="shared" si="56"/>
        <v>T</v>
      </c>
      <c r="R42" s="18" t="str">
        <f t="shared" si="56"/>
        <v>Z</v>
      </c>
      <c r="S42" s="18" t="str">
        <f t="shared" si="56"/>
        <v>M</v>
      </c>
      <c r="T42" s="18" t="str">
        <f t="shared" si="56"/>
        <v>J</v>
      </c>
      <c r="U42" s="18" t="str">
        <f t="shared" si="56"/>
        <v>G</v>
      </c>
      <c r="V42" s="18" t="str">
        <f t="shared" si="56"/>
        <v>B</v>
      </c>
      <c r="W42" s="18" t="str">
        <f t="shared" si="56"/>
        <v>V</v>
      </c>
      <c r="X42" s="18" t="str">
        <f t="shared" si="56"/>
        <v>P</v>
      </c>
      <c r="Y42" s="18" t="str">
        <f t="shared" si="56"/>
        <v>L</v>
      </c>
      <c r="Z42" s="18" t="str">
        <f t="shared" si="56"/>
        <v>N</v>
      </c>
      <c r="AA42" s="18" t="str">
        <f t="shared" si="56"/>
        <v>U</v>
      </c>
      <c r="AB42" s="18" t="str">
        <f t="shared" si="56"/>
        <v>Y</v>
      </c>
      <c r="AC42" s="18" t="str">
        <f t="shared" si="56"/>
        <v>D</v>
      </c>
      <c r="AD42" s="18" t="str">
        <f t="shared" si="56"/>
        <v>I</v>
      </c>
      <c r="AE42" s="18" t="str">
        <f t="shared" si="56"/>
        <v>E</v>
      </c>
      <c r="AF42" s="19" t="str">
        <f>CONCATENATE(F42,G42,H42,I42,J42,K42,L42,M42,N42,O42,P42,Q42,R42,S42,T42&amp;U42,V42,W42,X42,Y42,Z42,AA42,AB42,AC42,AD42,AE42)</f>
        <v>AQOXRHWSFCKTZMJGBVPLNUYDIE</v>
      </c>
      <c r="AH42" s="12" t="str">
        <f>F37&amp;F42</f>
        <v>AA</v>
      </c>
      <c r="AI42" s="12" t="str">
        <f t="shared" ref="AI42:BG42" si="57">G37&amp;G42</f>
        <v>BQ</v>
      </c>
      <c r="AJ42" s="12" t="str">
        <f t="shared" si="57"/>
        <v>CO</v>
      </c>
      <c r="AK42" s="12" t="str">
        <f t="shared" si="57"/>
        <v>DX</v>
      </c>
      <c r="AL42" s="12" t="str">
        <f t="shared" si="57"/>
        <v>ER</v>
      </c>
      <c r="AM42" s="12" t="str">
        <f t="shared" si="57"/>
        <v>FH</v>
      </c>
      <c r="AN42" s="12" t="str">
        <f t="shared" si="57"/>
        <v>GW</v>
      </c>
      <c r="AO42" s="12" t="str">
        <f t="shared" si="57"/>
        <v>HS</v>
      </c>
      <c r="AP42" s="12" t="str">
        <f t="shared" si="57"/>
        <v>IF</v>
      </c>
      <c r="AQ42" s="12" t="str">
        <f t="shared" si="57"/>
        <v>JC</v>
      </c>
      <c r="AR42" s="12" t="str">
        <f t="shared" si="57"/>
        <v>KK</v>
      </c>
      <c r="AS42" s="12" t="str">
        <f t="shared" si="57"/>
        <v>LT</v>
      </c>
      <c r="AT42" s="12" t="str">
        <f t="shared" si="57"/>
        <v>MZ</v>
      </c>
      <c r="AU42" s="12" t="str">
        <f t="shared" si="57"/>
        <v>NM</v>
      </c>
      <c r="AV42" s="12" t="str">
        <f t="shared" si="57"/>
        <v>OJ</v>
      </c>
      <c r="AW42" s="12" t="str">
        <f t="shared" si="57"/>
        <v>PG</v>
      </c>
      <c r="AX42" s="12" t="str">
        <f t="shared" si="57"/>
        <v>QB</v>
      </c>
      <c r="AY42" s="12" t="str">
        <f t="shared" si="57"/>
        <v>RV</v>
      </c>
      <c r="AZ42" s="12" t="str">
        <f t="shared" si="57"/>
        <v>SP</v>
      </c>
      <c r="BA42" s="12" t="str">
        <f t="shared" si="57"/>
        <v>TL</v>
      </c>
      <c r="BB42" s="12" t="str">
        <f t="shared" si="57"/>
        <v>UN</v>
      </c>
      <c r="BC42" s="12" t="str">
        <f t="shared" si="57"/>
        <v>VU</v>
      </c>
      <c r="BD42" s="12" t="str">
        <f t="shared" si="57"/>
        <v>WY</v>
      </c>
      <c r="BE42" s="12" t="str">
        <f t="shared" si="57"/>
        <v>XD</v>
      </c>
      <c r="BF42" s="12" t="str">
        <f t="shared" si="57"/>
        <v>YI</v>
      </c>
      <c r="BG42" s="12" t="str">
        <f t="shared" si="57"/>
        <v>ZE</v>
      </c>
    </row>
    <row r="43" spans="2:59" x14ac:dyDescent="0.35">
      <c r="F43" s="3" t="s">
        <v>0</v>
      </c>
      <c r="G43" s="3" t="s">
        <v>1</v>
      </c>
      <c r="H43" s="3" t="s">
        <v>2</v>
      </c>
      <c r="I43" s="3" t="s">
        <v>3</v>
      </c>
      <c r="J43" s="3" t="s">
        <v>4</v>
      </c>
      <c r="K43" s="3" t="s">
        <v>5</v>
      </c>
      <c r="L43" s="3" t="s">
        <v>6</v>
      </c>
      <c r="M43" s="3" t="s">
        <v>7</v>
      </c>
      <c r="N43" s="3" t="s">
        <v>8</v>
      </c>
      <c r="O43" s="3" t="s">
        <v>9</v>
      </c>
      <c r="P43" s="3" t="s">
        <v>10</v>
      </c>
      <c r="Q43" s="3" t="s">
        <v>11</v>
      </c>
      <c r="R43" s="3" t="s">
        <v>12</v>
      </c>
      <c r="S43" s="3" t="s">
        <v>13</v>
      </c>
      <c r="T43" s="3" t="s">
        <v>14</v>
      </c>
      <c r="U43" s="3" t="s">
        <v>15</v>
      </c>
      <c r="V43" s="3" t="s">
        <v>16</v>
      </c>
      <c r="W43" s="3" t="s">
        <v>17</v>
      </c>
      <c r="X43" s="3" t="s">
        <v>18</v>
      </c>
      <c r="Y43" s="3" t="s">
        <v>19</v>
      </c>
      <c r="Z43" s="3" t="s">
        <v>20</v>
      </c>
      <c r="AA43" s="3" t="s">
        <v>21</v>
      </c>
      <c r="AB43" s="3" t="s">
        <v>22</v>
      </c>
      <c r="AC43" s="3" t="s">
        <v>23</v>
      </c>
      <c r="AD43" s="3" t="s">
        <v>24</v>
      </c>
      <c r="AE43" s="3" t="s">
        <v>25</v>
      </c>
      <c r="AH43" s="42" t="str">
        <f>HLOOKUP(AH37,$AH40:$BG41,2,FALSE)</f>
        <v>Y</v>
      </c>
      <c r="AI43" s="42" t="str">
        <f>HLOOKUP(AI37,$AH40:$BG41,2,FALSE)</f>
        <v>U</v>
      </c>
      <c r="AJ43" s="42" t="str">
        <f t="shared" ref="AJ43:BG43" si="58">HLOOKUP(AJ37,$AH40:$BG41,2,FALSE)</f>
        <v>L</v>
      </c>
      <c r="AK43" s="42" t="str">
        <f t="shared" si="58"/>
        <v>T</v>
      </c>
      <c r="AL43" s="42" t="str">
        <f t="shared" si="58"/>
        <v>F</v>
      </c>
      <c r="AM43" s="42" t="str">
        <f t="shared" si="58"/>
        <v>E</v>
      </c>
      <c r="AN43" s="42" t="str">
        <f t="shared" si="58"/>
        <v>S</v>
      </c>
      <c r="AO43" s="42" t="str">
        <f t="shared" si="58"/>
        <v>X</v>
      </c>
      <c r="AP43" s="42" t="str">
        <f t="shared" si="58"/>
        <v>J</v>
      </c>
      <c r="AQ43" s="42" t="str">
        <f t="shared" si="58"/>
        <v>I</v>
      </c>
      <c r="AR43" s="42" t="str">
        <f t="shared" si="58"/>
        <v>Q</v>
      </c>
      <c r="AS43" s="42" t="str">
        <f t="shared" si="58"/>
        <v>C</v>
      </c>
      <c r="AT43" s="42" t="str">
        <f t="shared" si="58"/>
        <v>R</v>
      </c>
      <c r="AU43" s="42" t="str">
        <f t="shared" si="58"/>
        <v>V</v>
      </c>
      <c r="AV43" s="42" t="str">
        <f t="shared" si="58"/>
        <v>W</v>
      </c>
      <c r="AW43" s="42" t="str">
        <f t="shared" si="58"/>
        <v>Z</v>
      </c>
      <c r="AX43" s="42" t="str">
        <f t="shared" si="58"/>
        <v>K</v>
      </c>
      <c r="AY43" s="42" t="str">
        <f t="shared" si="58"/>
        <v>M</v>
      </c>
      <c r="AZ43" s="42" t="str">
        <f t="shared" si="58"/>
        <v>G</v>
      </c>
      <c r="BA43" s="42" t="str">
        <f t="shared" si="58"/>
        <v>D</v>
      </c>
      <c r="BB43" s="42" t="str">
        <f t="shared" si="58"/>
        <v>B</v>
      </c>
      <c r="BC43" s="42" t="str">
        <f t="shared" si="58"/>
        <v>N</v>
      </c>
      <c r="BD43" s="42" t="str">
        <f t="shared" si="58"/>
        <v>O</v>
      </c>
      <c r="BE43" s="42" t="str">
        <f t="shared" si="58"/>
        <v>H</v>
      </c>
      <c r="BF43" s="42" t="str">
        <f t="shared" si="58"/>
        <v>A</v>
      </c>
      <c r="BG43" s="42" t="str">
        <f t="shared" si="58"/>
        <v>P</v>
      </c>
    </row>
    <row r="44" spans="2:59" x14ac:dyDescent="0.35"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H44" s="95" t="s">
        <v>608</v>
      </c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U44" s="96"/>
      <c r="AV44" s="96"/>
      <c r="AW44" s="96"/>
      <c r="AX44" s="96"/>
      <c r="AY44" s="96"/>
      <c r="AZ44" s="96"/>
      <c r="BA44" s="96"/>
      <c r="BB44" s="96"/>
      <c r="BC44" s="96"/>
      <c r="BD44" s="96"/>
      <c r="BE44" s="96"/>
      <c r="BF44" s="96"/>
      <c r="BG44" s="97"/>
    </row>
  </sheetData>
  <sheetProtection sheet="1" objects="1" scenarios="1"/>
  <mergeCells count="2">
    <mergeCell ref="AH6:BG6"/>
    <mergeCell ref="AH44:BG44"/>
  </mergeCells>
  <pageMargins left="0.70866141732283472" right="0.70866141732283472" top="0.74803149606299213" bottom="0.74803149606299213" header="0.31496062992125984" footer="0.31496062992125984"/>
  <pageSetup paperSize="8" scale="6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pageSetUpPr fitToPage="1"/>
  </sheetPr>
  <dimension ref="A1:BG44"/>
  <sheetViews>
    <sheetView showGridLines="0" showRowColHeaders="0" zoomScale="80" zoomScaleNormal="80" workbookViewId="0"/>
  </sheetViews>
  <sheetFormatPr defaultRowHeight="14.5" x14ac:dyDescent="0.35"/>
  <cols>
    <col min="2" max="2" width="20.54296875" bestFit="1" customWidth="1"/>
    <col min="3" max="3" width="4.54296875" customWidth="1"/>
    <col min="4" max="4" width="8.1796875" bestFit="1" customWidth="1"/>
    <col min="5" max="5" width="15.54296875" bestFit="1" customWidth="1"/>
    <col min="6" max="6" width="3.453125" customWidth="1"/>
    <col min="7" max="7" width="4" customWidth="1"/>
    <col min="8" max="8" width="3.26953125" customWidth="1"/>
    <col min="9" max="9" width="4.1796875" customWidth="1"/>
    <col min="10" max="10" width="3.453125" customWidth="1"/>
    <col min="11" max="31" width="3.26953125" customWidth="1"/>
    <col min="32" max="32" width="32.26953125" bestFit="1" customWidth="1"/>
    <col min="34" max="59" width="3.453125" customWidth="1"/>
  </cols>
  <sheetData>
    <row r="1" spans="1:59" x14ac:dyDescent="0.35">
      <c r="B1" s="29" t="s">
        <v>378</v>
      </c>
      <c r="C1" s="75">
        <v>64</v>
      </c>
      <c r="D1" s="76" t="str">
        <f>nRotorL&amp;nRotorM&amp;nRotorR</f>
        <v>142</v>
      </c>
      <c r="E1" s="76" t="str">
        <f>F18&amp;F12&amp;F6</f>
        <v>ELR</v>
      </c>
      <c r="J1" s="44" t="s">
        <v>4</v>
      </c>
      <c r="K1" s="44" t="s">
        <v>13</v>
      </c>
      <c r="L1" s="44" t="s">
        <v>8</v>
      </c>
      <c r="M1" s="44" t="s">
        <v>6</v>
      </c>
      <c r="N1" s="44" t="s">
        <v>12</v>
      </c>
      <c r="O1" s="44" t="s">
        <v>0</v>
      </c>
      <c r="P1" s="44" t="s">
        <v>18</v>
      </c>
      <c r="Q1" s="44" t="s">
        <v>2</v>
      </c>
      <c r="R1" s="44" t="s">
        <v>17</v>
      </c>
      <c r="S1" s="44" t="s">
        <v>0</v>
      </c>
      <c r="T1" s="44" t="s">
        <v>12</v>
      </c>
      <c r="U1" s="44" t="s">
        <v>1</v>
      </c>
      <c r="V1" s="44" t="s">
        <v>11</v>
      </c>
      <c r="W1" s="44" t="s">
        <v>4</v>
      </c>
      <c r="X1" s="44" t="s">
        <v>17</v>
      </c>
      <c r="Y1" s="44">
        <v>0</v>
      </c>
      <c r="Z1" s="44">
        <v>3</v>
      </c>
    </row>
    <row r="2" spans="1:59" x14ac:dyDescent="0.35">
      <c r="D2" s="77">
        <f>nCounter</f>
        <v>3707</v>
      </c>
    </row>
    <row r="3" spans="1:59" ht="15" thickBot="1" x14ac:dyDescent="0.4">
      <c r="D3" s="78">
        <f>n_RO03</f>
        <v>3</v>
      </c>
      <c r="F3" s="1"/>
      <c r="AF3" s="79" t="s">
        <v>423</v>
      </c>
    </row>
    <row r="4" spans="1:59" x14ac:dyDescent="0.35">
      <c r="B4" s="21"/>
      <c r="C4" s="4"/>
      <c r="E4" s="5" t="s">
        <v>385</v>
      </c>
      <c r="F4" s="6" t="s">
        <v>0</v>
      </c>
      <c r="G4" s="6" t="s">
        <v>1</v>
      </c>
      <c r="H4" s="6" t="s">
        <v>2</v>
      </c>
      <c r="I4" s="6" t="s">
        <v>3</v>
      </c>
      <c r="J4" s="6" t="s">
        <v>4</v>
      </c>
      <c r="K4" s="6" t="s">
        <v>5</v>
      </c>
      <c r="L4" s="6" t="s">
        <v>6</v>
      </c>
      <c r="M4" s="6" t="s">
        <v>7</v>
      </c>
      <c r="N4" s="6" t="s">
        <v>8</v>
      </c>
      <c r="O4" s="6" t="s">
        <v>9</v>
      </c>
      <c r="P4" s="6" t="s">
        <v>10</v>
      </c>
      <c r="Q4" s="6" t="s">
        <v>11</v>
      </c>
      <c r="R4" s="6" t="s">
        <v>12</v>
      </c>
      <c r="S4" s="6" t="s">
        <v>13</v>
      </c>
      <c r="T4" s="6" t="s">
        <v>14</v>
      </c>
      <c r="U4" s="6" t="s">
        <v>15</v>
      </c>
      <c r="V4" s="6" t="s">
        <v>16</v>
      </c>
      <c r="W4" s="6" t="s">
        <v>17</v>
      </c>
      <c r="X4" s="6" t="s">
        <v>18</v>
      </c>
      <c r="Y4" s="6" t="s">
        <v>19</v>
      </c>
      <c r="Z4" s="6" t="s">
        <v>20</v>
      </c>
      <c r="AA4" s="6" t="s">
        <v>21</v>
      </c>
      <c r="AB4" s="6" t="s">
        <v>22</v>
      </c>
      <c r="AC4" s="6" t="s">
        <v>23</v>
      </c>
      <c r="AD4" s="6" t="s">
        <v>24</v>
      </c>
      <c r="AE4" s="6" t="s">
        <v>25</v>
      </c>
      <c r="AF4" s="10"/>
    </row>
    <row r="5" spans="1:59" x14ac:dyDescent="0.35">
      <c r="B5" s="22"/>
      <c r="C5" s="8"/>
      <c r="D5" s="9" t="s">
        <v>28</v>
      </c>
      <c r="E5" s="9" t="s">
        <v>27</v>
      </c>
      <c r="F5" s="1">
        <f t="shared" ref="F5:AE5" si="0">IF(ISERROR(FIND(F4,$AF3)),0,1)</f>
        <v>1</v>
      </c>
      <c r="G5" s="1">
        <f t="shared" si="0"/>
        <v>1</v>
      </c>
      <c r="H5" s="1">
        <f t="shared" si="0"/>
        <v>1</v>
      </c>
      <c r="I5" s="1">
        <f t="shared" si="0"/>
        <v>1</v>
      </c>
      <c r="J5" s="1">
        <f t="shared" si="0"/>
        <v>1</v>
      </c>
      <c r="K5" s="1">
        <f t="shared" si="0"/>
        <v>1</v>
      </c>
      <c r="L5" s="1">
        <f t="shared" si="0"/>
        <v>1</v>
      </c>
      <c r="M5" s="1">
        <f t="shared" si="0"/>
        <v>1</v>
      </c>
      <c r="N5" s="1">
        <f t="shared" si="0"/>
        <v>1</v>
      </c>
      <c r="O5" s="1">
        <f t="shared" si="0"/>
        <v>1</v>
      </c>
      <c r="P5" s="1">
        <f t="shared" si="0"/>
        <v>1</v>
      </c>
      <c r="Q5" s="1">
        <f t="shared" si="0"/>
        <v>1</v>
      </c>
      <c r="R5" s="1">
        <f t="shared" si="0"/>
        <v>1</v>
      </c>
      <c r="S5" s="1">
        <f t="shared" si="0"/>
        <v>1</v>
      </c>
      <c r="T5" s="1">
        <f t="shared" si="0"/>
        <v>1</v>
      </c>
      <c r="U5" s="1">
        <f t="shared" si="0"/>
        <v>1</v>
      </c>
      <c r="V5" s="1">
        <f t="shared" si="0"/>
        <v>1</v>
      </c>
      <c r="W5" s="1">
        <f t="shared" si="0"/>
        <v>1</v>
      </c>
      <c r="X5" s="1">
        <f t="shared" si="0"/>
        <v>1</v>
      </c>
      <c r="Y5" s="1">
        <f t="shared" si="0"/>
        <v>1</v>
      </c>
      <c r="Z5" s="1">
        <f t="shared" si="0"/>
        <v>1</v>
      </c>
      <c r="AA5" s="1">
        <f t="shared" si="0"/>
        <v>1</v>
      </c>
      <c r="AB5" s="1">
        <f t="shared" si="0"/>
        <v>1</v>
      </c>
      <c r="AC5" s="1">
        <f t="shared" si="0"/>
        <v>1</v>
      </c>
      <c r="AD5" s="1">
        <f t="shared" si="0"/>
        <v>1</v>
      </c>
      <c r="AE5" s="1">
        <f t="shared" si="0"/>
        <v>1</v>
      </c>
      <c r="AF5" s="10"/>
    </row>
    <row r="6" spans="1:59" x14ac:dyDescent="0.35">
      <c r="B6" s="22" t="s">
        <v>379</v>
      </c>
      <c r="C6" s="41">
        <f>n_RotorR</f>
        <v>2</v>
      </c>
      <c r="D6" s="11">
        <f>D3+D2</f>
        <v>3710</v>
      </c>
      <c r="E6" s="11">
        <f>IF(MOD(D6,26)=0,26,MOD(D6,26))</f>
        <v>18</v>
      </c>
      <c r="F6" s="12" t="str">
        <f>CHAR(E6+nCharOffset)</f>
        <v>R</v>
      </c>
      <c r="G6" s="13" t="str">
        <f t="shared" ref="G6:AE6" si="1">VLOOKUP(F6,nNextLetter,2,FALSE)</f>
        <v>S</v>
      </c>
      <c r="H6" s="13" t="str">
        <f t="shared" si="1"/>
        <v>T</v>
      </c>
      <c r="I6" s="13" t="str">
        <f t="shared" si="1"/>
        <v>U</v>
      </c>
      <c r="J6" s="13" t="str">
        <f t="shared" si="1"/>
        <v>V</v>
      </c>
      <c r="K6" s="13" t="str">
        <f t="shared" si="1"/>
        <v>W</v>
      </c>
      <c r="L6" s="13" t="str">
        <f t="shared" si="1"/>
        <v>X</v>
      </c>
      <c r="M6" s="13" t="str">
        <f t="shared" si="1"/>
        <v>Y</v>
      </c>
      <c r="N6" s="13" t="str">
        <f t="shared" si="1"/>
        <v>Z</v>
      </c>
      <c r="O6" s="13" t="str">
        <f t="shared" si="1"/>
        <v>A</v>
      </c>
      <c r="P6" s="13" t="str">
        <f t="shared" si="1"/>
        <v>B</v>
      </c>
      <c r="Q6" s="13" t="str">
        <f t="shared" si="1"/>
        <v>C</v>
      </c>
      <c r="R6" s="13" t="str">
        <f t="shared" si="1"/>
        <v>D</v>
      </c>
      <c r="S6" s="13" t="str">
        <f t="shared" si="1"/>
        <v>E</v>
      </c>
      <c r="T6" s="13" t="str">
        <f t="shared" si="1"/>
        <v>F</v>
      </c>
      <c r="U6" s="13" t="str">
        <f t="shared" si="1"/>
        <v>G</v>
      </c>
      <c r="V6" s="13" t="str">
        <f t="shared" si="1"/>
        <v>H</v>
      </c>
      <c r="W6" s="13" t="str">
        <f t="shared" si="1"/>
        <v>I</v>
      </c>
      <c r="X6" s="13" t="str">
        <f t="shared" si="1"/>
        <v>J</v>
      </c>
      <c r="Y6" s="13" t="str">
        <f t="shared" si="1"/>
        <v>K</v>
      </c>
      <c r="Z6" s="13" t="str">
        <f t="shared" si="1"/>
        <v>L</v>
      </c>
      <c r="AA6" s="13" t="str">
        <f t="shared" si="1"/>
        <v>M</v>
      </c>
      <c r="AB6" s="13" t="str">
        <f t="shared" si="1"/>
        <v>N</v>
      </c>
      <c r="AC6" s="13" t="str">
        <f t="shared" si="1"/>
        <v>O</v>
      </c>
      <c r="AD6" s="13" t="str">
        <f t="shared" si="1"/>
        <v>P</v>
      </c>
      <c r="AE6" s="13" t="str">
        <f t="shared" si="1"/>
        <v>Q</v>
      </c>
      <c r="AF6" s="10"/>
      <c r="AH6" s="95" t="s">
        <v>607</v>
      </c>
      <c r="AI6" s="96"/>
      <c r="AJ6" s="96"/>
      <c r="AK6" s="96"/>
      <c r="AL6" s="96"/>
      <c r="AM6" s="96"/>
      <c r="AN6" s="96"/>
      <c r="AO6" s="96"/>
      <c r="AP6" s="96"/>
      <c r="AQ6" s="96"/>
      <c r="AR6" s="96"/>
      <c r="AS6" s="96"/>
      <c r="AT6" s="96"/>
      <c r="AU6" s="96"/>
      <c r="AV6" s="96"/>
      <c r="AW6" s="96"/>
      <c r="AX6" s="96"/>
      <c r="AY6" s="96"/>
      <c r="AZ6" s="96"/>
      <c r="BA6" s="96"/>
      <c r="BB6" s="96"/>
      <c r="BC6" s="96"/>
      <c r="BD6" s="96"/>
      <c r="BE6" s="96"/>
      <c r="BF6" s="96"/>
      <c r="BG6" s="97"/>
    </row>
    <row r="7" spans="1:59" x14ac:dyDescent="0.35">
      <c r="B7" s="22" t="s">
        <v>389</v>
      </c>
      <c r="C7" s="41" t="str">
        <f>n_RingPosR</f>
        <v>A</v>
      </c>
      <c r="D7" s="11">
        <f>VLOOKUP(C7,nRingOffset,2,FALSE)</f>
        <v>0</v>
      </c>
      <c r="E7" t="s">
        <v>386</v>
      </c>
      <c r="F7" s="14" t="str">
        <f t="shared" ref="F7:AE7" si="2">IF(F5=1,VLOOKUP(nCurPosR+nRingOffsetR+(CODE(F4)-nCharOffset)-1,nNum2Let,2,FALSE),"")</f>
        <v>R</v>
      </c>
      <c r="G7" s="14" t="str">
        <f t="shared" si="2"/>
        <v>S</v>
      </c>
      <c r="H7" s="14" t="str">
        <f t="shared" si="2"/>
        <v>T</v>
      </c>
      <c r="I7" s="14" t="str">
        <f t="shared" si="2"/>
        <v>U</v>
      </c>
      <c r="J7" s="14" t="str">
        <f t="shared" si="2"/>
        <v>V</v>
      </c>
      <c r="K7" s="14" t="str">
        <f t="shared" si="2"/>
        <v>W</v>
      </c>
      <c r="L7" s="14" t="str">
        <f t="shared" si="2"/>
        <v>X</v>
      </c>
      <c r="M7" s="14" t="str">
        <f t="shared" si="2"/>
        <v>Y</v>
      </c>
      <c r="N7" s="14" t="str">
        <f t="shared" si="2"/>
        <v>Z</v>
      </c>
      <c r="O7" s="14" t="str">
        <f t="shared" si="2"/>
        <v>A</v>
      </c>
      <c r="P7" s="14" t="str">
        <f t="shared" si="2"/>
        <v>B</v>
      </c>
      <c r="Q7" s="14" t="str">
        <f t="shared" si="2"/>
        <v>C</v>
      </c>
      <c r="R7" s="14" t="str">
        <f t="shared" si="2"/>
        <v>D</v>
      </c>
      <c r="S7" s="14" t="str">
        <f t="shared" si="2"/>
        <v>E</v>
      </c>
      <c r="T7" s="14" t="str">
        <f t="shared" si="2"/>
        <v>F</v>
      </c>
      <c r="U7" s="14" t="str">
        <f t="shared" si="2"/>
        <v>G</v>
      </c>
      <c r="V7" s="14" t="str">
        <f t="shared" si="2"/>
        <v>H</v>
      </c>
      <c r="W7" s="14" t="str">
        <f t="shared" si="2"/>
        <v>I</v>
      </c>
      <c r="X7" s="14" t="str">
        <f t="shared" si="2"/>
        <v>J</v>
      </c>
      <c r="Y7" s="14" t="str">
        <f t="shared" si="2"/>
        <v>K</v>
      </c>
      <c r="Z7" s="14" t="str">
        <f t="shared" si="2"/>
        <v>L</v>
      </c>
      <c r="AA7" s="14" t="str">
        <f t="shared" si="2"/>
        <v>M</v>
      </c>
      <c r="AB7" s="14" t="str">
        <f t="shared" si="2"/>
        <v>N</v>
      </c>
      <c r="AC7" s="14" t="str">
        <f t="shared" si="2"/>
        <v>O</v>
      </c>
      <c r="AD7" s="14" t="str">
        <f t="shared" si="2"/>
        <v>P</v>
      </c>
      <c r="AE7" s="14" t="str">
        <f t="shared" si="2"/>
        <v>Q</v>
      </c>
      <c r="AF7" s="10"/>
      <c r="AH7" s="42" t="str">
        <f t="shared" ref="AH7:BG7" si="3">IF(LEN(AH9)=2,LEFT(AH9,1),"")</f>
        <v>A</v>
      </c>
      <c r="AI7" s="42" t="str">
        <f t="shared" si="3"/>
        <v>B</v>
      </c>
      <c r="AJ7" s="42" t="str">
        <f t="shared" si="3"/>
        <v>C</v>
      </c>
      <c r="AK7" s="42" t="str">
        <f t="shared" si="3"/>
        <v>D</v>
      </c>
      <c r="AL7" s="42" t="str">
        <f t="shared" si="3"/>
        <v>E</v>
      </c>
      <c r="AM7" s="42" t="str">
        <f t="shared" si="3"/>
        <v>F</v>
      </c>
      <c r="AN7" s="42" t="str">
        <f t="shared" si="3"/>
        <v>G</v>
      </c>
      <c r="AO7" s="42" t="str">
        <f t="shared" si="3"/>
        <v>H</v>
      </c>
      <c r="AP7" s="42" t="str">
        <f t="shared" si="3"/>
        <v>I</v>
      </c>
      <c r="AQ7" s="42" t="str">
        <f t="shared" si="3"/>
        <v>J</v>
      </c>
      <c r="AR7" s="42" t="str">
        <f t="shared" si="3"/>
        <v>K</v>
      </c>
      <c r="AS7" s="42" t="str">
        <f t="shared" si="3"/>
        <v>L</v>
      </c>
      <c r="AT7" s="42" t="str">
        <f t="shared" si="3"/>
        <v>M</v>
      </c>
      <c r="AU7" s="42" t="str">
        <f t="shared" si="3"/>
        <v>N</v>
      </c>
      <c r="AV7" s="42" t="str">
        <f t="shared" si="3"/>
        <v>O</v>
      </c>
      <c r="AW7" s="42" t="str">
        <f t="shared" si="3"/>
        <v>P</v>
      </c>
      <c r="AX7" s="42" t="str">
        <f t="shared" si="3"/>
        <v>Q</v>
      </c>
      <c r="AY7" s="42" t="str">
        <f t="shared" si="3"/>
        <v>R</v>
      </c>
      <c r="AZ7" s="42" t="str">
        <f t="shared" si="3"/>
        <v>S</v>
      </c>
      <c r="BA7" s="42" t="str">
        <f t="shared" si="3"/>
        <v>T</v>
      </c>
      <c r="BB7" s="42" t="str">
        <f t="shared" si="3"/>
        <v>U</v>
      </c>
      <c r="BC7" s="42" t="str">
        <f t="shared" si="3"/>
        <v>V</v>
      </c>
      <c r="BD7" s="42" t="str">
        <f t="shared" si="3"/>
        <v>W</v>
      </c>
      <c r="BE7" s="42" t="str">
        <f t="shared" si="3"/>
        <v>X</v>
      </c>
      <c r="BF7" s="42" t="str">
        <f t="shared" si="3"/>
        <v>Y</v>
      </c>
      <c r="BG7" s="42" t="str">
        <f t="shared" si="3"/>
        <v>Z</v>
      </c>
    </row>
    <row r="8" spans="1:59" x14ac:dyDescent="0.35">
      <c r="B8" s="22"/>
      <c r="C8" s="8"/>
      <c r="E8" t="s">
        <v>387</v>
      </c>
      <c r="F8" s="15" t="str">
        <f t="shared" ref="F8:AE8" si="4">IF(F5=1,VLOOKUP(nRotorR&amp;F7,nRotor,4,FALSE),"")</f>
        <v>G</v>
      </c>
      <c r="G8" s="15" t="str">
        <f t="shared" si="4"/>
        <v>Z</v>
      </c>
      <c r="H8" s="15" t="str">
        <f t="shared" si="4"/>
        <v>N</v>
      </c>
      <c r="I8" s="15" t="str">
        <f t="shared" si="4"/>
        <v>P</v>
      </c>
      <c r="J8" s="15" t="str">
        <f t="shared" si="4"/>
        <v>Y</v>
      </c>
      <c r="K8" s="15" t="str">
        <f t="shared" si="4"/>
        <v>F</v>
      </c>
      <c r="L8" s="15" t="str">
        <f t="shared" si="4"/>
        <v>V</v>
      </c>
      <c r="M8" s="15" t="str">
        <f t="shared" si="4"/>
        <v>O</v>
      </c>
      <c r="N8" s="15" t="str">
        <f t="shared" si="4"/>
        <v>E</v>
      </c>
      <c r="O8" s="15" t="str">
        <f t="shared" si="4"/>
        <v>A</v>
      </c>
      <c r="P8" s="15" t="str">
        <f t="shared" si="4"/>
        <v>J</v>
      </c>
      <c r="Q8" s="15" t="str">
        <f t="shared" si="4"/>
        <v>D</v>
      </c>
      <c r="R8" s="15" t="str">
        <f t="shared" si="4"/>
        <v>K</v>
      </c>
      <c r="S8" s="15" t="str">
        <f t="shared" si="4"/>
        <v>S</v>
      </c>
      <c r="T8" s="15" t="str">
        <f t="shared" si="4"/>
        <v>I</v>
      </c>
      <c r="U8" s="15" t="str">
        <f t="shared" si="4"/>
        <v>R</v>
      </c>
      <c r="V8" s="15" t="str">
        <f t="shared" si="4"/>
        <v>U</v>
      </c>
      <c r="W8" s="15" t="str">
        <f t="shared" si="4"/>
        <v>X</v>
      </c>
      <c r="X8" s="15" t="str">
        <f t="shared" si="4"/>
        <v>B</v>
      </c>
      <c r="Y8" s="15" t="str">
        <f t="shared" si="4"/>
        <v>L</v>
      </c>
      <c r="Z8" s="15" t="str">
        <f t="shared" si="4"/>
        <v>H</v>
      </c>
      <c r="AA8" s="15" t="str">
        <f t="shared" si="4"/>
        <v>W</v>
      </c>
      <c r="AB8" s="15" t="str">
        <f t="shared" si="4"/>
        <v>T</v>
      </c>
      <c r="AC8" s="15" t="str">
        <f t="shared" si="4"/>
        <v>M</v>
      </c>
      <c r="AD8" s="15" t="str">
        <f t="shared" si="4"/>
        <v>C</v>
      </c>
      <c r="AE8" s="15" t="str">
        <f t="shared" si="4"/>
        <v>Q</v>
      </c>
      <c r="AF8" s="10"/>
      <c r="AH8" s="28" t="str">
        <f t="shared" ref="AH8:BG8" si="5">IF(LEN(AH9)=2,RIGHT(AH9,1),"")</f>
        <v>P</v>
      </c>
      <c r="AI8" s="28" t="str">
        <f t="shared" si="5"/>
        <v>I</v>
      </c>
      <c r="AJ8" s="28" t="str">
        <f t="shared" si="5"/>
        <v>W</v>
      </c>
      <c r="AK8" s="28" t="str">
        <f t="shared" si="5"/>
        <v>Y</v>
      </c>
      <c r="AL8" s="28" t="str">
        <f t="shared" si="5"/>
        <v>H</v>
      </c>
      <c r="AM8" s="28" t="str">
        <f t="shared" si="5"/>
        <v>O</v>
      </c>
      <c r="AN8" s="28" t="str">
        <f t="shared" si="5"/>
        <v>E</v>
      </c>
      <c r="AO8" s="28" t="str">
        <f t="shared" si="5"/>
        <v>X</v>
      </c>
      <c r="AP8" s="28" t="str">
        <f t="shared" si="5"/>
        <v>N</v>
      </c>
      <c r="AQ8" s="28" t="str">
        <f t="shared" si="5"/>
        <v>J</v>
      </c>
      <c r="AR8" s="28" t="str">
        <f t="shared" si="5"/>
        <v>S</v>
      </c>
      <c r="AS8" s="28" t="str">
        <f t="shared" si="5"/>
        <v>M</v>
      </c>
      <c r="AT8" s="28" t="str">
        <f t="shared" si="5"/>
        <v>T</v>
      </c>
      <c r="AU8" s="28" t="str">
        <f t="shared" si="5"/>
        <v>B</v>
      </c>
      <c r="AV8" s="28" t="str">
        <f t="shared" si="5"/>
        <v>R</v>
      </c>
      <c r="AW8" s="28" t="str">
        <f t="shared" si="5"/>
        <v>A</v>
      </c>
      <c r="AX8" s="28" t="str">
        <f t="shared" si="5"/>
        <v>D</v>
      </c>
      <c r="AY8" s="28" t="str">
        <f t="shared" si="5"/>
        <v>G</v>
      </c>
      <c r="AZ8" s="28" t="str">
        <f t="shared" si="5"/>
        <v>K</v>
      </c>
      <c r="BA8" s="28" t="str">
        <f t="shared" si="5"/>
        <v>U</v>
      </c>
      <c r="BB8" s="28" t="str">
        <f t="shared" si="5"/>
        <v>Q</v>
      </c>
      <c r="BC8" s="28" t="str">
        <f t="shared" si="5"/>
        <v>F</v>
      </c>
      <c r="BD8" s="28" t="str">
        <f t="shared" si="5"/>
        <v>C</v>
      </c>
      <c r="BE8" s="28" t="str">
        <f t="shared" si="5"/>
        <v>V</v>
      </c>
      <c r="BF8" s="28" t="str">
        <f t="shared" si="5"/>
        <v>L</v>
      </c>
      <c r="BG8" s="28" t="str">
        <f t="shared" si="5"/>
        <v>Z</v>
      </c>
    </row>
    <row r="9" spans="1:59" ht="15" thickBot="1" x14ac:dyDescent="0.4">
      <c r="B9" s="23"/>
      <c r="C9" s="16"/>
      <c r="D9" s="17"/>
      <c r="E9" s="17" t="s">
        <v>388</v>
      </c>
      <c r="F9" s="18" t="str">
        <f t="shared" ref="F9:AE9" si="6">IF(F5=1,IF(CODE(F8)-CODE(F7)&lt;0,VLOOKUP((CODE(F8)-CODE(F7)+26)+(CODE(F4)-nCharOffset),nNum2Let,2,FALSE),VLOOKUP((CODE(F8)-CODE(F7))+(CODE(F4)-nCharOffset),nNum2Let,2,FALSE)),"")</f>
        <v>P</v>
      </c>
      <c r="G9" s="18" t="str">
        <f t="shared" si="6"/>
        <v>I</v>
      </c>
      <c r="H9" s="18" t="str">
        <f t="shared" si="6"/>
        <v>W</v>
      </c>
      <c r="I9" s="18" t="str">
        <f t="shared" si="6"/>
        <v>Y</v>
      </c>
      <c r="J9" s="18" t="str">
        <f t="shared" si="6"/>
        <v>H</v>
      </c>
      <c r="K9" s="18" t="str">
        <f t="shared" si="6"/>
        <v>O</v>
      </c>
      <c r="L9" s="18" t="str">
        <f t="shared" si="6"/>
        <v>E</v>
      </c>
      <c r="M9" s="18" t="str">
        <f t="shared" si="6"/>
        <v>X</v>
      </c>
      <c r="N9" s="18" t="str">
        <f t="shared" si="6"/>
        <v>N</v>
      </c>
      <c r="O9" s="18" t="str">
        <f t="shared" si="6"/>
        <v>J</v>
      </c>
      <c r="P9" s="18" t="str">
        <f t="shared" si="6"/>
        <v>S</v>
      </c>
      <c r="Q9" s="18" t="str">
        <f t="shared" si="6"/>
        <v>M</v>
      </c>
      <c r="R9" s="18" t="str">
        <f t="shared" si="6"/>
        <v>T</v>
      </c>
      <c r="S9" s="18" t="str">
        <f t="shared" si="6"/>
        <v>B</v>
      </c>
      <c r="T9" s="18" t="str">
        <f t="shared" si="6"/>
        <v>R</v>
      </c>
      <c r="U9" s="18" t="str">
        <f t="shared" si="6"/>
        <v>A</v>
      </c>
      <c r="V9" s="18" t="str">
        <f t="shared" si="6"/>
        <v>D</v>
      </c>
      <c r="W9" s="18" t="str">
        <f t="shared" si="6"/>
        <v>G</v>
      </c>
      <c r="X9" s="18" t="str">
        <f t="shared" si="6"/>
        <v>K</v>
      </c>
      <c r="Y9" s="18" t="str">
        <f t="shared" si="6"/>
        <v>U</v>
      </c>
      <c r="Z9" s="18" t="str">
        <f t="shared" si="6"/>
        <v>Q</v>
      </c>
      <c r="AA9" s="18" t="str">
        <f t="shared" si="6"/>
        <v>F</v>
      </c>
      <c r="AB9" s="18" t="str">
        <f t="shared" si="6"/>
        <v>C</v>
      </c>
      <c r="AC9" s="18" t="str">
        <f t="shared" si="6"/>
        <v>V</v>
      </c>
      <c r="AD9" s="18" t="str">
        <f t="shared" si="6"/>
        <v>L</v>
      </c>
      <c r="AE9" s="18" t="str">
        <f t="shared" si="6"/>
        <v>Z</v>
      </c>
      <c r="AF9" s="19" t="str">
        <f>CONCATENATE(F9,G9,H9,I9,J9,K9,L9,M9,N9,O9,P9,Q9,R9,S9,T9&amp;U9,V9,W9,X9,Y9,Z9,AA9,AB9,AC9,AD9,AE9)</f>
        <v>PIWYHOEXNJSMTBRADGKUQFCVLZ</v>
      </c>
      <c r="AH9" s="12" t="str">
        <f>F4&amp;F9</f>
        <v>AP</v>
      </c>
      <c r="AI9" s="12" t="str">
        <f t="shared" ref="AI9:BG9" si="7">G4&amp;G9</f>
        <v>BI</v>
      </c>
      <c r="AJ9" s="12" t="str">
        <f t="shared" si="7"/>
        <v>CW</v>
      </c>
      <c r="AK9" s="12" t="str">
        <f t="shared" si="7"/>
        <v>DY</v>
      </c>
      <c r="AL9" s="12" t="str">
        <f t="shared" si="7"/>
        <v>EH</v>
      </c>
      <c r="AM9" s="12" t="str">
        <f t="shared" si="7"/>
        <v>FO</v>
      </c>
      <c r="AN9" s="12" t="str">
        <f t="shared" si="7"/>
        <v>GE</v>
      </c>
      <c r="AO9" s="12" t="str">
        <f t="shared" si="7"/>
        <v>HX</v>
      </c>
      <c r="AP9" s="12" t="str">
        <f t="shared" si="7"/>
        <v>IN</v>
      </c>
      <c r="AQ9" s="12" t="str">
        <f t="shared" si="7"/>
        <v>JJ</v>
      </c>
      <c r="AR9" s="12" t="str">
        <f t="shared" si="7"/>
        <v>KS</v>
      </c>
      <c r="AS9" s="12" t="str">
        <f t="shared" si="7"/>
        <v>LM</v>
      </c>
      <c r="AT9" s="12" t="str">
        <f t="shared" si="7"/>
        <v>MT</v>
      </c>
      <c r="AU9" s="12" t="str">
        <f t="shared" si="7"/>
        <v>NB</v>
      </c>
      <c r="AV9" s="12" t="str">
        <f t="shared" si="7"/>
        <v>OR</v>
      </c>
      <c r="AW9" s="12" t="str">
        <f t="shared" si="7"/>
        <v>PA</v>
      </c>
      <c r="AX9" s="12" t="str">
        <f t="shared" si="7"/>
        <v>QD</v>
      </c>
      <c r="AY9" s="12" t="str">
        <f t="shared" si="7"/>
        <v>RG</v>
      </c>
      <c r="AZ9" s="12" t="str">
        <f t="shared" si="7"/>
        <v>SK</v>
      </c>
      <c r="BA9" s="12" t="str">
        <f t="shared" si="7"/>
        <v>TU</v>
      </c>
      <c r="BB9" s="12" t="str">
        <f t="shared" si="7"/>
        <v>UQ</v>
      </c>
      <c r="BC9" s="12" t="str">
        <f t="shared" si="7"/>
        <v>VF</v>
      </c>
      <c r="BD9" s="12" t="str">
        <f t="shared" si="7"/>
        <v>WC</v>
      </c>
      <c r="BE9" s="12" t="str">
        <f t="shared" si="7"/>
        <v>XV</v>
      </c>
      <c r="BF9" s="12" t="str">
        <f t="shared" si="7"/>
        <v>YL</v>
      </c>
      <c r="BG9" s="12" t="str">
        <f t="shared" si="7"/>
        <v>ZZ</v>
      </c>
    </row>
    <row r="10" spans="1:59" x14ac:dyDescent="0.35">
      <c r="B10" s="21"/>
      <c r="C10" s="4"/>
      <c r="D10" s="5"/>
      <c r="E10" s="5" t="s">
        <v>385</v>
      </c>
      <c r="F10" s="6" t="s">
        <v>0</v>
      </c>
      <c r="G10" s="6" t="s">
        <v>1</v>
      </c>
      <c r="H10" s="6" t="s">
        <v>2</v>
      </c>
      <c r="I10" s="6" t="s">
        <v>3</v>
      </c>
      <c r="J10" s="6" t="s">
        <v>4</v>
      </c>
      <c r="K10" s="6" t="s">
        <v>5</v>
      </c>
      <c r="L10" s="6" t="s">
        <v>6</v>
      </c>
      <c r="M10" s="6" t="s">
        <v>7</v>
      </c>
      <c r="N10" s="6" t="s">
        <v>8</v>
      </c>
      <c r="O10" s="6" t="s">
        <v>9</v>
      </c>
      <c r="P10" s="6" t="s">
        <v>10</v>
      </c>
      <c r="Q10" s="6" t="s">
        <v>11</v>
      </c>
      <c r="R10" s="6" t="s">
        <v>12</v>
      </c>
      <c r="S10" s="6" t="s">
        <v>13</v>
      </c>
      <c r="T10" s="6" t="s">
        <v>14</v>
      </c>
      <c r="U10" s="6" t="s">
        <v>15</v>
      </c>
      <c r="V10" s="6" t="s">
        <v>16</v>
      </c>
      <c r="W10" s="6" t="s">
        <v>17</v>
      </c>
      <c r="X10" s="6" t="s">
        <v>18</v>
      </c>
      <c r="Y10" s="6" t="s">
        <v>19</v>
      </c>
      <c r="Z10" s="6" t="s">
        <v>20</v>
      </c>
      <c r="AA10" s="6" t="s">
        <v>21</v>
      </c>
      <c r="AB10" s="6" t="s">
        <v>22</v>
      </c>
      <c r="AC10" s="6" t="s">
        <v>23</v>
      </c>
      <c r="AD10" s="6" t="s">
        <v>24</v>
      </c>
      <c r="AE10" s="6" t="s">
        <v>25</v>
      </c>
      <c r="AF10" s="20"/>
    </row>
    <row r="11" spans="1:59" x14ac:dyDescent="0.35">
      <c r="A11" s="43">
        <f>INT(D2/26)</f>
        <v>142</v>
      </c>
      <c r="B11" s="10"/>
      <c r="C11" s="8"/>
      <c r="F11" s="1">
        <f>IF(ISERROR(FIND(F10,$AF9)),0,1)</f>
        <v>1</v>
      </c>
      <c r="G11" s="1">
        <f t="shared" ref="G11:AE11" si="8">IF(ISERROR(FIND(G10,$AF9)),0,1)</f>
        <v>1</v>
      </c>
      <c r="H11" s="1">
        <f t="shared" si="8"/>
        <v>1</v>
      </c>
      <c r="I11" s="1">
        <f t="shared" si="8"/>
        <v>1</v>
      </c>
      <c r="J11" s="1">
        <f t="shared" si="8"/>
        <v>1</v>
      </c>
      <c r="K11" s="1">
        <f t="shared" si="8"/>
        <v>1</v>
      </c>
      <c r="L11" s="1">
        <f t="shared" si="8"/>
        <v>1</v>
      </c>
      <c r="M11" s="1">
        <f t="shared" si="8"/>
        <v>1</v>
      </c>
      <c r="N11" s="1">
        <f t="shared" si="8"/>
        <v>1</v>
      </c>
      <c r="O11" s="1">
        <f t="shared" si="8"/>
        <v>1</v>
      </c>
      <c r="P11" s="1">
        <f t="shared" si="8"/>
        <v>1</v>
      </c>
      <c r="Q11" s="1">
        <f t="shared" si="8"/>
        <v>1</v>
      </c>
      <c r="R11" s="1">
        <f t="shared" si="8"/>
        <v>1</v>
      </c>
      <c r="S11" s="1">
        <f t="shared" si="8"/>
        <v>1</v>
      </c>
      <c r="T11" s="1">
        <f t="shared" si="8"/>
        <v>1</v>
      </c>
      <c r="U11" s="1">
        <f t="shared" si="8"/>
        <v>1</v>
      </c>
      <c r="V11" s="1">
        <f t="shared" si="8"/>
        <v>1</v>
      </c>
      <c r="W11" s="1">
        <f t="shared" si="8"/>
        <v>1</v>
      </c>
      <c r="X11" s="1">
        <f t="shared" si="8"/>
        <v>1</v>
      </c>
      <c r="Y11" s="1">
        <f t="shared" si="8"/>
        <v>1</v>
      </c>
      <c r="Z11" s="1">
        <f t="shared" si="8"/>
        <v>1</v>
      </c>
      <c r="AA11" s="1">
        <f t="shared" si="8"/>
        <v>1</v>
      </c>
      <c r="AB11" s="1">
        <f t="shared" si="8"/>
        <v>1</v>
      </c>
      <c r="AC11" s="1">
        <f t="shared" si="8"/>
        <v>1</v>
      </c>
      <c r="AD11" s="1">
        <f t="shared" si="8"/>
        <v>1</v>
      </c>
      <c r="AE11" s="1">
        <f t="shared" si="8"/>
        <v>1</v>
      </c>
      <c r="AF11" s="10"/>
    </row>
    <row r="12" spans="1:59" x14ac:dyDescent="0.35">
      <c r="A12" s="43">
        <f>IF(A11=0,26,A11)</f>
        <v>142</v>
      </c>
      <c r="B12" s="10" t="s">
        <v>380</v>
      </c>
      <c r="C12" s="41">
        <f>n_RotorM</f>
        <v>4</v>
      </c>
      <c r="D12" s="11">
        <f>A12</f>
        <v>142</v>
      </c>
      <c r="E12" s="11">
        <f>IF(MOD(D12,26)=0,26,MOD(D12,26))</f>
        <v>12</v>
      </c>
      <c r="F12" s="12" t="str">
        <f>CHAR(E12+nCharOffset)</f>
        <v>L</v>
      </c>
      <c r="G12" s="13" t="str">
        <f t="shared" ref="G12:AE12" si="9">VLOOKUP(F12,nNextLetter,2,FALSE)</f>
        <v>M</v>
      </c>
      <c r="H12" s="13" t="str">
        <f t="shared" si="9"/>
        <v>N</v>
      </c>
      <c r="I12" s="13" t="str">
        <f t="shared" si="9"/>
        <v>O</v>
      </c>
      <c r="J12" s="13" t="str">
        <f t="shared" si="9"/>
        <v>P</v>
      </c>
      <c r="K12" s="13" t="str">
        <f t="shared" si="9"/>
        <v>Q</v>
      </c>
      <c r="L12" s="13" t="str">
        <f t="shared" si="9"/>
        <v>R</v>
      </c>
      <c r="M12" s="13" t="str">
        <f t="shared" si="9"/>
        <v>S</v>
      </c>
      <c r="N12" s="13" t="str">
        <f t="shared" si="9"/>
        <v>T</v>
      </c>
      <c r="O12" s="13" t="str">
        <f t="shared" si="9"/>
        <v>U</v>
      </c>
      <c r="P12" s="13" t="str">
        <f t="shared" si="9"/>
        <v>V</v>
      </c>
      <c r="Q12" s="13" t="str">
        <f t="shared" si="9"/>
        <v>W</v>
      </c>
      <c r="R12" s="13" t="str">
        <f t="shared" si="9"/>
        <v>X</v>
      </c>
      <c r="S12" s="13" t="str">
        <f t="shared" si="9"/>
        <v>Y</v>
      </c>
      <c r="T12" s="13" t="str">
        <f t="shared" si="9"/>
        <v>Z</v>
      </c>
      <c r="U12" s="13" t="str">
        <f t="shared" si="9"/>
        <v>A</v>
      </c>
      <c r="V12" s="13" t="str">
        <f t="shared" si="9"/>
        <v>B</v>
      </c>
      <c r="W12" s="13" t="str">
        <f t="shared" si="9"/>
        <v>C</v>
      </c>
      <c r="X12" s="13" t="str">
        <f t="shared" si="9"/>
        <v>D</v>
      </c>
      <c r="Y12" s="13" t="str">
        <f t="shared" si="9"/>
        <v>E</v>
      </c>
      <c r="Z12" s="13" t="str">
        <f t="shared" si="9"/>
        <v>F</v>
      </c>
      <c r="AA12" s="13" t="str">
        <f t="shared" si="9"/>
        <v>G</v>
      </c>
      <c r="AB12" s="13" t="str">
        <f t="shared" si="9"/>
        <v>H</v>
      </c>
      <c r="AC12" s="13" t="str">
        <f t="shared" si="9"/>
        <v>I</v>
      </c>
      <c r="AD12" s="13" t="str">
        <f t="shared" si="9"/>
        <v>J</v>
      </c>
      <c r="AE12" s="13" t="str">
        <f t="shared" si="9"/>
        <v>K</v>
      </c>
      <c r="AF12" s="10"/>
    </row>
    <row r="13" spans="1:59" x14ac:dyDescent="0.35">
      <c r="B13" s="22" t="s">
        <v>390</v>
      </c>
      <c r="C13" s="41" t="str">
        <f>n_RingPosM</f>
        <v>A</v>
      </c>
      <c r="D13" s="11">
        <f>VLOOKUP(C13,nRingOffset,2,FALSE)</f>
        <v>0</v>
      </c>
      <c r="E13" t="s">
        <v>386</v>
      </c>
      <c r="F13" s="14" t="str">
        <f t="shared" ref="F13:AE13" si="10">IF(F11=1,VLOOKUP(nCurPosM+nRingOffsetM+(CODE(F10)-nCharOffset)-1,nNum2Let,2,FALSE),"")</f>
        <v>L</v>
      </c>
      <c r="G13" s="14" t="str">
        <f t="shared" si="10"/>
        <v>M</v>
      </c>
      <c r="H13" s="14" t="str">
        <f t="shared" si="10"/>
        <v>N</v>
      </c>
      <c r="I13" s="14" t="str">
        <f t="shared" si="10"/>
        <v>O</v>
      </c>
      <c r="J13" s="14" t="str">
        <f t="shared" si="10"/>
        <v>P</v>
      </c>
      <c r="K13" s="14" t="str">
        <f t="shared" si="10"/>
        <v>Q</v>
      </c>
      <c r="L13" s="14" t="str">
        <f t="shared" si="10"/>
        <v>R</v>
      </c>
      <c r="M13" s="14" t="str">
        <f t="shared" si="10"/>
        <v>S</v>
      </c>
      <c r="N13" s="14" t="str">
        <f t="shared" si="10"/>
        <v>T</v>
      </c>
      <c r="O13" s="14" t="str">
        <f t="shared" si="10"/>
        <v>U</v>
      </c>
      <c r="P13" s="14" t="str">
        <f t="shared" si="10"/>
        <v>V</v>
      </c>
      <c r="Q13" s="14" t="str">
        <f t="shared" si="10"/>
        <v>W</v>
      </c>
      <c r="R13" s="14" t="str">
        <f t="shared" si="10"/>
        <v>X</v>
      </c>
      <c r="S13" s="14" t="str">
        <f t="shared" si="10"/>
        <v>Y</v>
      </c>
      <c r="T13" s="14" t="str">
        <f t="shared" si="10"/>
        <v>Z</v>
      </c>
      <c r="U13" s="14" t="str">
        <f t="shared" si="10"/>
        <v>A</v>
      </c>
      <c r="V13" s="14" t="str">
        <f t="shared" si="10"/>
        <v>B</v>
      </c>
      <c r="W13" s="14" t="str">
        <f t="shared" si="10"/>
        <v>C</v>
      </c>
      <c r="X13" s="14" t="str">
        <f t="shared" si="10"/>
        <v>D</v>
      </c>
      <c r="Y13" s="14" t="str">
        <f t="shared" si="10"/>
        <v>E</v>
      </c>
      <c r="Z13" s="14" t="str">
        <f t="shared" si="10"/>
        <v>F</v>
      </c>
      <c r="AA13" s="14" t="str">
        <f t="shared" si="10"/>
        <v>G</v>
      </c>
      <c r="AB13" s="14" t="str">
        <f t="shared" si="10"/>
        <v>H</v>
      </c>
      <c r="AC13" s="14" t="str">
        <f t="shared" si="10"/>
        <v>I</v>
      </c>
      <c r="AD13" s="14" t="str">
        <f t="shared" si="10"/>
        <v>J</v>
      </c>
      <c r="AE13" s="14" t="str">
        <f t="shared" si="10"/>
        <v>K</v>
      </c>
      <c r="AF13" s="10"/>
      <c r="AH13" s="28" t="str">
        <f t="shared" ref="AH13:BG13" si="11">IF(LEN(AH15)=2,LEFT(AH15,1),"")</f>
        <v>A</v>
      </c>
      <c r="AI13" s="28" t="str">
        <f t="shared" si="11"/>
        <v>B</v>
      </c>
      <c r="AJ13" s="28" t="str">
        <f t="shared" si="11"/>
        <v>C</v>
      </c>
      <c r="AK13" s="28" t="str">
        <f t="shared" si="11"/>
        <v>D</v>
      </c>
      <c r="AL13" s="28" t="str">
        <f t="shared" si="11"/>
        <v>E</v>
      </c>
      <c r="AM13" s="28" t="str">
        <f t="shared" si="11"/>
        <v>F</v>
      </c>
      <c r="AN13" s="28" t="str">
        <f t="shared" si="11"/>
        <v>G</v>
      </c>
      <c r="AO13" s="28" t="str">
        <f t="shared" si="11"/>
        <v>H</v>
      </c>
      <c r="AP13" s="28" t="str">
        <f t="shared" si="11"/>
        <v>I</v>
      </c>
      <c r="AQ13" s="28" t="str">
        <f t="shared" si="11"/>
        <v>J</v>
      </c>
      <c r="AR13" s="28" t="str">
        <f t="shared" si="11"/>
        <v>K</v>
      </c>
      <c r="AS13" s="28" t="str">
        <f t="shared" si="11"/>
        <v>L</v>
      </c>
      <c r="AT13" s="28" t="str">
        <f t="shared" si="11"/>
        <v>M</v>
      </c>
      <c r="AU13" s="28" t="str">
        <f t="shared" si="11"/>
        <v>N</v>
      </c>
      <c r="AV13" s="28" t="str">
        <f t="shared" si="11"/>
        <v>O</v>
      </c>
      <c r="AW13" s="28" t="str">
        <f t="shared" si="11"/>
        <v>P</v>
      </c>
      <c r="AX13" s="28" t="str">
        <f t="shared" si="11"/>
        <v>Q</v>
      </c>
      <c r="AY13" s="28" t="str">
        <f t="shared" si="11"/>
        <v>R</v>
      </c>
      <c r="AZ13" s="28" t="str">
        <f t="shared" si="11"/>
        <v>S</v>
      </c>
      <c r="BA13" s="28" t="str">
        <f t="shared" si="11"/>
        <v>T</v>
      </c>
      <c r="BB13" s="28" t="str">
        <f t="shared" si="11"/>
        <v>U</v>
      </c>
      <c r="BC13" s="28" t="str">
        <f t="shared" si="11"/>
        <v>V</v>
      </c>
      <c r="BD13" s="28" t="str">
        <f t="shared" si="11"/>
        <v>W</v>
      </c>
      <c r="BE13" s="28" t="str">
        <f t="shared" si="11"/>
        <v>X</v>
      </c>
      <c r="BF13" s="28" t="str">
        <f t="shared" si="11"/>
        <v>Y</v>
      </c>
      <c r="BG13" s="28" t="str">
        <f t="shared" si="11"/>
        <v>Z</v>
      </c>
    </row>
    <row r="14" spans="1:59" x14ac:dyDescent="0.35">
      <c r="B14" s="22"/>
      <c r="C14" s="8"/>
      <c r="E14" t="s">
        <v>387</v>
      </c>
      <c r="F14" s="15" t="str">
        <f t="shared" ref="F14:AE14" si="12">IF(F11=1,VLOOKUP(nRotorM&amp;F13,nRotor,4,FALSE),"")</f>
        <v>I</v>
      </c>
      <c r="G14" s="15" t="str">
        <f t="shared" si="12"/>
        <v>R</v>
      </c>
      <c r="H14" s="15" t="str">
        <f t="shared" si="12"/>
        <v>H</v>
      </c>
      <c r="I14" s="15" t="str">
        <f t="shared" si="12"/>
        <v>X</v>
      </c>
      <c r="J14" s="15" t="str">
        <f t="shared" si="12"/>
        <v>L</v>
      </c>
      <c r="K14" s="15" t="str">
        <f t="shared" si="12"/>
        <v>N</v>
      </c>
      <c r="L14" s="15" t="str">
        <f t="shared" si="12"/>
        <v>F</v>
      </c>
      <c r="M14" s="15" t="str">
        <f t="shared" si="12"/>
        <v>T</v>
      </c>
      <c r="N14" s="15" t="str">
        <f t="shared" si="12"/>
        <v>G</v>
      </c>
      <c r="O14" s="15" t="str">
        <f t="shared" si="12"/>
        <v>K</v>
      </c>
      <c r="P14" s="15" t="str">
        <f t="shared" si="12"/>
        <v>D</v>
      </c>
      <c r="Q14" s="15" t="str">
        <f t="shared" si="12"/>
        <v>C</v>
      </c>
      <c r="R14" s="15" t="str">
        <f t="shared" si="12"/>
        <v>M</v>
      </c>
      <c r="S14" s="15" t="str">
        <f t="shared" si="12"/>
        <v>W</v>
      </c>
      <c r="T14" s="15" t="str">
        <f t="shared" si="12"/>
        <v>B</v>
      </c>
      <c r="U14" s="15" t="str">
        <f t="shared" si="12"/>
        <v>E</v>
      </c>
      <c r="V14" s="15" t="str">
        <f t="shared" si="12"/>
        <v>S</v>
      </c>
      <c r="W14" s="15" t="str">
        <f t="shared" si="12"/>
        <v>O</v>
      </c>
      <c r="X14" s="15" t="str">
        <f t="shared" si="12"/>
        <v>V</v>
      </c>
      <c r="Y14" s="15" t="str">
        <f t="shared" si="12"/>
        <v>P</v>
      </c>
      <c r="Z14" s="15" t="str">
        <f t="shared" si="12"/>
        <v>Z</v>
      </c>
      <c r="AA14" s="15" t="str">
        <f t="shared" si="12"/>
        <v>J</v>
      </c>
      <c r="AB14" s="15" t="str">
        <f t="shared" si="12"/>
        <v>A</v>
      </c>
      <c r="AC14" s="15" t="str">
        <f t="shared" si="12"/>
        <v>Y</v>
      </c>
      <c r="AD14" s="15" t="str">
        <f t="shared" si="12"/>
        <v>Q</v>
      </c>
      <c r="AE14" s="15" t="str">
        <f t="shared" si="12"/>
        <v>U</v>
      </c>
      <c r="AF14" s="10"/>
      <c r="AH14" s="28" t="str">
        <f t="shared" ref="AH14:BG14" si="13">IF(LEN(AH15)=2,RIGHT(AH15,1),"")</f>
        <v>X</v>
      </c>
      <c r="AI14" s="28" t="str">
        <f t="shared" si="13"/>
        <v>G</v>
      </c>
      <c r="AJ14" s="28" t="str">
        <f t="shared" si="13"/>
        <v>W</v>
      </c>
      <c r="AK14" s="28" t="str">
        <f t="shared" si="13"/>
        <v>M</v>
      </c>
      <c r="AL14" s="28" t="str">
        <f t="shared" si="13"/>
        <v>A</v>
      </c>
      <c r="AM14" s="28" t="str">
        <f t="shared" si="13"/>
        <v>C</v>
      </c>
      <c r="AN14" s="28" t="str">
        <f t="shared" si="13"/>
        <v>U</v>
      </c>
      <c r="AO14" s="28" t="str">
        <f t="shared" si="13"/>
        <v>I</v>
      </c>
      <c r="AP14" s="28" t="str">
        <f t="shared" si="13"/>
        <v>V</v>
      </c>
      <c r="AQ14" s="28" t="str">
        <f t="shared" si="13"/>
        <v>Z</v>
      </c>
      <c r="AR14" s="28" t="str">
        <f t="shared" si="13"/>
        <v>S</v>
      </c>
      <c r="AS14" s="28" t="str">
        <f t="shared" si="13"/>
        <v>R</v>
      </c>
      <c r="AT14" s="28" t="str">
        <f t="shared" si="13"/>
        <v>B</v>
      </c>
      <c r="AU14" s="28" t="str">
        <f t="shared" si="13"/>
        <v>L</v>
      </c>
      <c r="AV14" s="28" t="str">
        <f t="shared" si="13"/>
        <v>Q</v>
      </c>
      <c r="AW14" s="28" t="str">
        <f t="shared" si="13"/>
        <v>T</v>
      </c>
      <c r="AX14" s="28" t="str">
        <f t="shared" si="13"/>
        <v>H</v>
      </c>
      <c r="AY14" s="28" t="str">
        <f t="shared" si="13"/>
        <v>D</v>
      </c>
      <c r="AZ14" s="28" t="str">
        <f t="shared" si="13"/>
        <v>K</v>
      </c>
      <c r="BA14" s="28" t="str">
        <f t="shared" si="13"/>
        <v>E</v>
      </c>
      <c r="BB14" s="28" t="str">
        <f t="shared" si="13"/>
        <v>O</v>
      </c>
      <c r="BC14" s="28" t="str">
        <f t="shared" si="13"/>
        <v>Y</v>
      </c>
      <c r="BD14" s="28" t="str">
        <f t="shared" si="13"/>
        <v>P</v>
      </c>
      <c r="BE14" s="28" t="str">
        <f t="shared" si="13"/>
        <v>N</v>
      </c>
      <c r="BF14" s="28" t="str">
        <f t="shared" si="13"/>
        <v>F</v>
      </c>
      <c r="BG14" s="28" t="str">
        <f t="shared" si="13"/>
        <v>J</v>
      </c>
    </row>
    <row r="15" spans="1:59" ht="15" thickBot="1" x14ac:dyDescent="0.4">
      <c r="B15" s="23"/>
      <c r="C15" s="16"/>
      <c r="D15" s="17"/>
      <c r="E15" s="17" t="s">
        <v>388</v>
      </c>
      <c r="F15" s="18" t="str">
        <f t="shared" ref="F15:AE15" si="14">IF(F11=1,IF(CODE(F14)-CODE(F13)&lt;0,VLOOKUP((CODE(F14)-CODE(F13)+26)+(CODE(F10)-nCharOffset),nNum2Let,2,FALSE),VLOOKUP((CODE(F14)-CODE(F13))+(CODE(F10)-nCharOffset),nNum2Let,2,FALSE)),"")</f>
        <v>X</v>
      </c>
      <c r="G15" s="18" t="str">
        <f t="shared" si="14"/>
        <v>G</v>
      </c>
      <c r="H15" s="18" t="str">
        <f t="shared" si="14"/>
        <v>W</v>
      </c>
      <c r="I15" s="18" t="str">
        <f t="shared" si="14"/>
        <v>M</v>
      </c>
      <c r="J15" s="18" t="str">
        <f t="shared" si="14"/>
        <v>A</v>
      </c>
      <c r="K15" s="18" t="str">
        <f t="shared" si="14"/>
        <v>C</v>
      </c>
      <c r="L15" s="18" t="str">
        <f t="shared" si="14"/>
        <v>U</v>
      </c>
      <c r="M15" s="18" t="str">
        <f t="shared" si="14"/>
        <v>I</v>
      </c>
      <c r="N15" s="18" t="str">
        <f t="shared" si="14"/>
        <v>V</v>
      </c>
      <c r="O15" s="18" t="str">
        <f t="shared" si="14"/>
        <v>Z</v>
      </c>
      <c r="P15" s="18" t="str">
        <f t="shared" si="14"/>
        <v>S</v>
      </c>
      <c r="Q15" s="18" t="str">
        <f t="shared" si="14"/>
        <v>R</v>
      </c>
      <c r="R15" s="18" t="str">
        <f t="shared" si="14"/>
        <v>B</v>
      </c>
      <c r="S15" s="18" t="str">
        <f t="shared" si="14"/>
        <v>L</v>
      </c>
      <c r="T15" s="18" t="str">
        <f t="shared" si="14"/>
        <v>Q</v>
      </c>
      <c r="U15" s="18" t="str">
        <f t="shared" si="14"/>
        <v>T</v>
      </c>
      <c r="V15" s="18" t="str">
        <f t="shared" si="14"/>
        <v>H</v>
      </c>
      <c r="W15" s="18" t="str">
        <f t="shared" si="14"/>
        <v>D</v>
      </c>
      <c r="X15" s="18" t="str">
        <f t="shared" si="14"/>
        <v>K</v>
      </c>
      <c r="Y15" s="18" t="str">
        <f t="shared" si="14"/>
        <v>E</v>
      </c>
      <c r="Z15" s="18" t="str">
        <f t="shared" si="14"/>
        <v>O</v>
      </c>
      <c r="AA15" s="18" t="str">
        <f t="shared" si="14"/>
        <v>Y</v>
      </c>
      <c r="AB15" s="18" t="str">
        <f t="shared" si="14"/>
        <v>P</v>
      </c>
      <c r="AC15" s="18" t="str">
        <f t="shared" si="14"/>
        <v>N</v>
      </c>
      <c r="AD15" s="18" t="str">
        <f t="shared" si="14"/>
        <v>F</v>
      </c>
      <c r="AE15" s="18" t="str">
        <f t="shared" si="14"/>
        <v>J</v>
      </c>
      <c r="AF15" s="19" t="str">
        <f>CONCATENATE(F15,G15,H15,I15,J15,K15,L15,M15,N15,O15,P15,Q15,R15,S15,T15&amp;U15,V15,W15,X15,Y15,Z15,AA15,AB15,AC15,AD15,AE15)</f>
        <v>XGWMACUIVZSRBLQTHDKEOYPNFJ</v>
      </c>
      <c r="AH15" s="12" t="str">
        <f>F10&amp;F15</f>
        <v>AX</v>
      </c>
      <c r="AI15" s="12" t="str">
        <f t="shared" ref="AI15:BG15" si="15">G10&amp;G15</f>
        <v>BG</v>
      </c>
      <c r="AJ15" s="12" t="str">
        <f t="shared" si="15"/>
        <v>CW</v>
      </c>
      <c r="AK15" s="12" t="str">
        <f t="shared" si="15"/>
        <v>DM</v>
      </c>
      <c r="AL15" s="12" t="str">
        <f t="shared" si="15"/>
        <v>EA</v>
      </c>
      <c r="AM15" s="12" t="str">
        <f t="shared" si="15"/>
        <v>FC</v>
      </c>
      <c r="AN15" s="12" t="str">
        <f t="shared" si="15"/>
        <v>GU</v>
      </c>
      <c r="AO15" s="12" t="str">
        <f t="shared" si="15"/>
        <v>HI</v>
      </c>
      <c r="AP15" s="12" t="str">
        <f t="shared" si="15"/>
        <v>IV</v>
      </c>
      <c r="AQ15" s="12" t="str">
        <f t="shared" si="15"/>
        <v>JZ</v>
      </c>
      <c r="AR15" s="12" t="str">
        <f t="shared" si="15"/>
        <v>KS</v>
      </c>
      <c r="AS15" s="12" t="str">
        <f t="shared" si="15"/>
        <v>LR</v>
      </c>
      <c r="AT15" s="12" t="str">
        <f t="shared" si="15"/>
        <v>MB</v>
      </c>
      <c r="AU15" s="12" t="str">
        <f t="shared" si="15"/>
        <v>NL</v>
      </c>
      <c r="AV15" s="12" t="str">
        <f t="shared" si="15"/>
        <v>OQ</v>
      </c>
      <c r="AW15" s="12" t="str">
        <f t="shared" si="15"/>
        <v>PT</v>
      </c>
      <c r="AX15" s="12" t="str">
        <f t="shared" si="15"/>
        <v>QH</v>
      </c>
      <c r="AY15" s="12" t="str">
        <f t="shared" si="15"/>
        <v>RD</v>
      </c>
      <c r="AZ15" s="12" t="str">
        <f t="shared" si="15"/>
        <v>SK</v>
      </c>
      <c r="BA15" s="12" t="str">
        <f t="shared" si="15"/>
        <v>TE</v>
      </c>
      <c r="BB15" s="12" t="str">
        <f t="shared" si="15"/>
        <v>UO</v>
      </c>
      <c r="BC15" s="12" t="str">
        <f t="shared" si="15"/>
        <v>VY</v>
      </c>
      <c r="BD15" s="12" t="str">
        <f t="shared" si="15"/>
        <v>WP</v>
      </c>
      <c r="BE15" s="12" t="str">
        <f t="shared" si="15"/>
        <v>XN</v>
      </c>
      <c r="BF15" s="12" t="str">
        <f t="shared" si="15"/>
        <v>YF</v>
      </c>
      <c r="BG15" s="12" t="str">
        <f t="shared" si="15"/>
        <v>ZJ</v>
      </c>
    </row>
    <row r="16" spans="1:59" x14ac:dyDescent="0.35">
      <c r="B16" s="21"/>
      <c r="C16" s="4"/>
      <c r="D16" s="5"/>
      <c r="E16" s="5" t="s">
        <v>385</v>
      </c>
      <c r="F16" s="6" t="s">
        <v>0</v>
      </c>
      <c r="G16" s="6" t="s">
        <v>1</v>
      </c>
      <c r="H16" s="6" t="s">
        <v>2</v>
      </c>
      <c r="I16" s="6" t="s">
        <v>3</v>
      </c>
      <c r="J16" s="6" t="s">
        <v>4</v>
      </c>
      <c r="K16" s="6" t="s">
        <v>5</v>
      </c>
      <c r="L16" s="6" t="s">
        <v>6</v>
      </c>
      <c r="M16" s="6" t="s">
        <v>7</v>
      </c>
      <c r="N16" s="6" t="s">
        <v>8</v>
      </c>
      <c r="O16" s="6" t="s">
        <v>9</v>
      </c>
      <c r="P16" s="6" t="s">
        <v>10</v>
      </c>
      <c r="Q16" s="6" t="s">
        <v>11</v>
      </c>
      <c r="R16" s="6" t="s">
        <v>12</v>
      </c>
      <c r="S16" s="6" t="s">
        <v>13</v>
      </c>
      <c r="T16" s="6" t="s">
        <v>14</v>
      </c>
      <c r="U16" s="6" t="s">
        <v>15</v>
      </c>
      <c r="V16" s="6" t="s">
        <v>16</v>
      </c>
      <c r="W16" s="6" t="s">
        <v>17</v>
      </c>
      <c r="X16" s="6" t="s">
        <v>18</v>
      </c>
      <c r="Y16" s="6" t="s">
        <v>19</v>
      </c>
      <c r="Z16" s="6" t="s">
        <v>20</v>
      </c>
      <c r="AA16" s="6" t="s">
        <v>21</v>
      </c>
      <c r="AB16" s="6" t="s">
        <v>22</v>
      </c>
      <c r="AC16" s="6" t="s">
        <v>23</v>
      </c>
      <c r="AD16" s="6" t="s">
        <v>24</v>
      </c>
      <c r="AE16" s="6" t="s">
        <v>25</v>
      </c>
      <c r="AF16" s="7"/>
      <c r="AH16" s="28" t="str">
        <f>HLOOKUP(AH8,$AH13:$BG14,2,FALSE)</f>
        <v>T</v>
      </c>
      <c r="AI16" s="28" t="str">
        <f>HLOOKUP(AI8,$AH13:$BG14,2,FALSE)</f>
        <v>V</v>
      </c>
      <c r="AJ16" s="28" t="str">
        <f>HLOOKUP(AJ8,$AH13:$BG14,2,FALSE)</f>
        <v>P</v>
      </c>
      <c r="AK16" s="28" t="str">
        <f t="shared" ref="AK16:BG16" si="16">HLOOKUP(AK8,$AH13:$BG14,2,FALSE)</f>
        <v>F</v>
      </c>
      <c r="AL16" s="28" t="str">
        <f t="shared" si="16"/>
        <v>I</v>
      </c>
      <c r="AM16" s="28" t="str">
        <f t="shared" si="16"/>
        <v>Q</v>
      </c>
      <c r="AN16" s="28" t="str">
        <f t="shared" si="16"/>
        <v>A</v>
      </c>
      <c r="AO16" s="28" t="str">
        <f t="shared" si="16"/>
        <v>N</v>
      </c>
      <c r="AP16" s="28" t="str">
        <f t="shared" si="16"/>
        <v>L</v>
      </c>
      <c r="AQ16" s="28" t="str">
        <f t="shared" si="16"/>
        <v>Z</v>
      </c>
      <c r="AR16" s="28" t="str">
        <f t="shared" si="16"/>
        <v>K</v>
      </c>
      <c r="AS16" s="28" t="str">
        <f t="shared" si="16"/>
        <v>B</v>
      </c>
      <c r="AT16" s="28" t="str">
        <f t="shared" si="16"/>
        <v>E</v>
      </c>
      <c r="AU16" s="28" t="str">
        <f t="shared" si="16"/>
        <v>G</v>
      </c>
      <c r="AV16" s="28" t="str">
        <f t="shared" si="16"/>
        <v>D</v>
      </c>
      <c r="AW16" s="28" t="str">
        <f t="shared" si="16"/>
        <v>X</v>
      </c>
      <c r="AX16" s="28" t="str">
        <f t="shared" si="16"/>
        <v>M</v>
      </c>
      <c r="AY16" s="28" t="str">
        <f t="shared" si="16"/>
        <v>U</v>
      </c>
      <c r="AZ16" s="28" t="str">
        <f t="shared" si="16"/>
        <v>S</v>
      </c>
      <c r="BA16" s="28" t="str">
        <f t="shared" si="16"/>
        <v>O</v>
      </c>
      <c r="BB16" s="28" t="str">
        <f t="shared" si="16"/>
        <v>H</v>
      </c>
      <c r="BC16" s="28" t="str">
        <f t="shared" si="16"/>
        <v>C</v>
      </c>
      <c r="BD16" s="28" t="str">
        <f t="shared" si="16"/>
        <v>W</v>
      </c>
      <c r="BE16" s="28" t="str">
        <f t="shared" si="16"/>
        <v>Y</v>
      </c>
      <c r="BF16" s="28" t="str">
        <f t="shared" si="16"/>
        <v>R</v>
      </c>
      <c r="BG16" s="28" t="str">
        <f t="shared" si="16"/>
        <v>J</v>
      </c>
    </row>
    <row r="17" spans="1:59" x14ac:dyDescent="0.35">
      <c r="A17" s="43">
        <f>INT(D2/676)</f>
        <v>5</v>
      </c>
      <c r="B17" s="10"/>
      <c r="C17" s="8"/>
      <c r="F17" s="1">
        <f>IF(ISERROR(FIND(F16,$AF15)),0,1)</f>
        <v>1</v>
      </c>
      <c r="G17" s="1">
        <f t="shared" ref="G17:AE17" si="17">IF(ISERROR(FIND(G16,$AF15)),0,1)</f>
        <v>1</v>
      </c>
      <c r="H17" s="1">
        <f t="shared" si="17"/>
        <v>1</v>
      </c>
      <c r="I17" s="1">
        <f t="shared" si="17"/>
        <v>1</v>
      </c>
      <c r="J17" s="1">
        <f t="shared" si="17"/>
        <v>1</v>
      </c>
      <c r="K17" s="1">
        <f t="shared" si="17"/>
        <v>1</v>
      </c>
      <c r="L17" s="1">
        <f t="shared" si="17"/>
        <v>1</v>
      </c>
      <c r="M17" s="1">
        <f t="shared" si="17"/>
        <v>1</v>
      </c>
      <c r="N17" s="1">
        <f t="shared" si="17"/>
        <v>1</v>
      </c>
      <c r="O17" s="1">
        <f t="shared" si="17"/>
        <v>1</v>
      </c>
      <c r="P17" s="1">
        <f t="shared" si="17"/>
        <v>1</v>
      </c>
      <c r="Q17" s="1">
        <f t="shared" si="17"/>
        <v>1</v>
      </c>
      <c r="R17" s="1">
        <f t="shared" si="17"/>
        <v>1</v>
      </c>
      <c r="S17" s="1">
        <f t="shared" si="17"/>
        <v>1</v>
      </c>
      <c r="T17" s="1">
        <f t="shared" si="17"/>
        <v>1</v>
      </c>
      <c r="U17" s="1">
        <f t="shared" si="17"/>
        <v>1</v>
      </c>
      <c r="V17" s="1">
        <f t="shared" si="17"/>
        <v>1</v>
      </c>
      <c r="W17" s="1">
        <f t="shared" si="17"/>
        <v>1</v>
      </c>
      <c r="X17" s="1">
        <f t="shared" si="17"/>
        <v>1</v>
      </c>
      <c r="Y17" s="1">
        <f t="shared" si="17"/>
        <v>1</v>
      </c>
      <c r="Z17" s="1">
        <f t="shared" si="17"/>
        <v>1</v>
      </c>
      <c r="AA17" s="1">
        <f t="shared" si="17"/>
        <v>1</v>
      </c>
      <c r="AB17" s="1">
        <f t="shared" si="17"/>
        <v>1</v>
      </c>
      <c r="AC17" s="1">
        <f t="shared" si="17"/>
        <v>1</v>
      </c>
      <c r="AD17" s="1">
        <f t="shared" si="17"/>
        <v>1</v>
      </c>
      <c r="AE17" s="1">
        <f t="shared" si="17"/>
        <v>1</v>
      </c>
      <c r="AF17" s="10"/>
    </row>
    <row r="18" spans="1:59" x14ac:dyDescent="0.35">
      <c r="A18" s="43">
        <f>IF(A17=0,26,A17)</f>
        <v>5</v>
      </c>
      <c r="B18" s="10" t="s">
        <v>381</v>
      </c>
      <c r="C18" s="41">
        <f>n_RotorL</f>
        <v>1</v>
      </c>
      <c r="D18" s="11">
        <f>A18</f>
        <v>5</v>
      </c>
      <c r="E18" s="11">
        <f>IF(MOD(D18,26)=0,26,MOD(D18,26))</f>
        <v>5</v>
      </c>
      <c r="F18" s="12" t="str">
        <f>CHAR(E18+nCharOffset)</f>
        <v>E</v>
      </c>
      <c r="G18" s="13" t="str">
        <f t="shared" ref="G18:AE18" si="18">VLOOKUP(F18,nNextLetter,2,FALSE)</f>
        <v>F</v>
      </c>
      <c r="H18" s="13" t="str">
        <f t="shared" si="18"/>
        <v>G</v>
      </c>
      <c r="I18" s="13" t="str">
        <f t="shared" si="18"/>
        <v>H</v>
      </c>
      <c r="J18" s="13" t="str">
        <f t="shared" si="18"/>
        <v>I</v>
      </c>
      <c r="K18" s="13" t="str">
        <f t="shared" si="18"/>
        <v>J</v>
      </c>
      <c r="L18" s="13" t="str">
        <f t="shared" si="18"/>
        <v>K</v>
      </c>
      <c r="M18" s="13" t="str">
        <f t="shared" si="18"/>
        <v>L</v>
      </c>
      <c r="N18" s="13" t="str">
        <f t="shared" si="18"/>
        <v>M</v>
      </c>
      <c r="O18" s="13" t="str">
        <f t="shared" si="18"/>
        <v>N</v>
      </c>
      <c r="P18" s="13" t="str">
        <f t="shared" si="18"/>
        <v>O</v>
      </c>
      <c r="Q18" s="13" t="str">
        <f t="shared" si="18"/>
        <v>P</v>
      </c>
      <c r="R18" s="13" t="str">
        <f t="shared" si="18"/>
        <v>Q</v>
      </c>
      <c r="S18" s="13" t="str">
        <f t="shared" si="18"/>
        <v>R</v>
      </c>
      <c r="T18" s="13" t="str">
        <f t="shared" si="18"/>
        <v>S</v>
      </c>
      <c r="U18" s="13" t="str">
        <f t="shared" si="18"/>
        <v>T</v>
      </c>
      <c r="V18" s="13" t="str">
        <f t="shared" si="18"/>
        <v>U</v>
      </c>
      <c r="W18" s="13" t="str">
        <f t="shared" si="18"/>
        <v>V</v>
      </c>
      <c r="X18" s="13" t="str">
        <f t="shared" si="18"/>
        <v>W</v>
      </c>
      <c r="Y18" s="13" t="str">
        <f t="shared" si="18"/>
        <v>X</v>
      </c>
      <c r="Z18" s="13" t="str">
        <f t="shared" si="18"/>
        <v>Y</v>
      </c>
      <c r="AA18" s="13" t="str">
        <f t="shared" si="18"/>
        <v>Z</v>
      </c>
      <c r="AB18" s="13" t="str">
        <f t="shared" si="18"/>
        <v>A</v>
      </c>
      <c r="AC18" s="13" t="str">
        <f t="shared" si="18"/>
        <v>B</v>
      </c>
      <c r="AD18" s="13" t="str">
        <f t="shared" si="18"/>
        <v>C</v>
      </c>
      <c r="AE18" s="13" t="str">
        <f t="shared" si="18"/>
        <v>D</v>
      </c>
      <c r="AF18" s="10"/>
    </row>
    <row r="19" spans="1:59" x14ac:dyDescent="0.35">
      <c r="B19" s="22" t="s">
        <v>391</v>
      </c>
      <c r="C19" s="41" t="str">
        <f>n_RingPosL</f>
        <v>A</v>
      </c>
      <c r="D19" s="11">
        <f>VLOOKUP(C19,nRingOffset,2,FALSE)</f>
        <v>0</v>
      </c>
      <c r="E19" t="s">
        <v>386</v>
      </c>
      <c r="F19" s="14" t="str">
        <f t="shared" ref="F19:AE19" si="19">IF(F17=1,VLOOKUP(nCurPosL+nRingOffsetL+(CODE(F16)-nCharOffset)-1,nNum2Let,2,FALSE),"")</f>
        <v>E</v>
      </c>
      <c r="G19" s="14" t="str">
        <f t="shared" si="19"/>
        <v>F</v>
      </c>
      <c r="H19" s="14" t="str">
        <f t="shared" si="19"/>
        <v>G</v>
      </c>
      <c r="I19" s="14" t="str">
        <f t="shared" si="19"/>
        <v>H</v>
      </c>
      <c r="J19" s="14" t="str">
        <f t="shared" si="19"/>
        <v>I</v>
      </c>
      <c r="K19" s="14" t="str">
        <f t="shared" si="19"/>
        <v>J</v>
      </c>
      <c r="L19" s="14" t="str">
        <f t="shared" si="19"/>
        <v>K</v>
      </c>
      <c r="M19" s="14" t="str">
        <f t="shared" si="19"/>
        <v>L</v>
      </c>
      <c r="N19" s="14" t="str">
        <f t="shared" si="19"/>
        <v>M</v>
      </c>
      <c r="O19" s="14" t="str">
        <f t="shared" si="19"/>
        <v>N</v>
      </c>
      <c r="P19" s="14" t="str">
        <f t="shared" si="19"/>
        <v>O</v>
      </c>
      <c r="Q19" s="14" t="str">
        <f t="shared" si="19"/>
        <v>P</v>
      </c>
      <c r="R19" s="14" t="str">
        <f t="shared" si="19"/>
        <v>Q</v>
      </c>
      <c r="S19" s="14" t="str">
        <f t="shared" si="19"/>
        <v>R</v>
      </c>
      <c r="T19" s="14" t="str">
        <f t="shared" si="19"/>
        <v>S</v>
      </c>
      <c r="U19" s="14" t="str">
        <f t="shared" si="19"/>
        <v>T</v>
      </c>
      <c r="V19" s="14" t="str">
        <f t="shared" si="19"/>
        <v>U</v>
      </c>
      <c r="W19" s="14" t="str">
        <f t="shared" si="19"/>
        <v>V</v>
      </c>
      <c r="X19" s="14" t="str">
        <f t="shared" si="19"/>
        <v>W</v>
      </c>
      <c r="Y19" s="14" t="str">
        <f t="shared" si="19"/>
        <v>X</v>
      </c>
      <c r="Z19" s="14" t="str">
        <f t="shared" si="19"/>
        <v>Y</v>
      </c>
      <c r="AA19" s="14" t="str">
        <f t="shared" si="19"/>
        <v>Z</v>
      </c>
      <c r="AB19" s="14" t="str">
        <f t="shared" si="19"/>
        <v>A</v>
      </c>
      <c r="AC19" s="14" t="str">
        <f t="shared" si="19"/>
        <v>B</v>
      </c>
      <c r="AD19" s="14" t="str">
        <f t="shared" si="19"/>
        <v>C</v>
      </c>
      <c r="AE19" s="14" t="str">
        <f t="shared" si="19"/>
        <v>D</v>
      </c>
      <c r="AF19" s="10"/>
      <c r="AH19" s="28" t="str">
        <f t="shared" ref="AH19:BG19" si="20">IF(LEN(AH21)=2,LEFT(AH21,1),"")</f>
        <v>A</v>
      </c>
      <c r="AI19" s="28" t="str">
        <f t="shared" si="20"/>
        <v>B</v>
      </c>
      <c r="AJ19" s="28" t="str">
        <f t="shared" si="20"/>
        <v>C</v>
      </c>
      <c r="AK19" s="28" t="str">
        <f t="shared" si="20"/>
        <v>D</v>
      </c>
      <c r="AL19" s="28" t="str">
        <f t="shared" si="20"/>
        <v>E</v>
      </c>
      <c r="AM19" s="28" t="str">
        <f t="shared" si="20"/>
        <v>F</v>
      </c>
      <c r="AN19" s="28" t="str">
        <f t="shared" si="20"/>
        <v>G</v>
      </c>
      <c r="AO19" s="28" t="str">
        <f t="shared" si="20"/>
        <v>H</v>
      </c>
      <c r="AP19" s="28" t="str">
        <f t="shared" si="20"/>
        <v>I</v>
      </c>
      <c r="AQ19" s="28" t="str">
        <f t="shared" si="20"/>
        <v>J</v>
      </c>
      <c r="AR19" s="28" t="str">
        <f t="shared" si="20"/>
        <v>K</v>
      </c>
      <c r="AS19" s="28" t="str">
        <f t="shared" si="20"/>
        <v>L</v>
      </c>
      <c r="AT19" s="28" t="str">
        <f t="shared" si="20"/>
        <v>M</v>
      </c>
      <c r="AU19" s="28" t="str">
        <f t="shared" si="20"/>
        <v>N</v>
      </c>
      <c r="AV19" s="28" t="str">
        <f t="shared" si="20"/>
        <v>O</v>
      </c>
      <c r="AW19" s="28" t="str">
        <f t="shared" si="20"/>
        <v>P</v>
      </c>
      <c r="AX19" s="28" t="str">
        <f t="shared" si="20"/>
        <v>Q</v>
      </c>
      <c r="AY19" s="28" t="str">
        <f t="shared" si="20"/>
        <v>R</v>
      </c>
      <c r="AZ19" s="28" t="str">
        <f t="shared" si="20"/>
        <v>S</v>
      </c>
      <c r="BA19" s="28" t="str">
        <f t="shared" si="20"/>
        <v>T</v>
      </c>
      <c r="BB19" s="28" t="str">
        <f t="shared" si="20"/>
        <v>U</v>
      </c>
      <c r="BC19" s="28" t="str">
        <f t="shared" si="20"/>
        <v>V</v>
      </c>
      <c r="BD19" s="28" t="str">
        <f t="shared" si="20"/>
        <v>W</v>
      </c>
      <c r="BE19" s="28" t="str">
        <f t="shared" si="20"/>
        <v>X</v>
      </c>
      <c r="BF19" s="28" t="str">
        <f t="shared" si="20"/>
        <v>Y</v>
      </c>
      <c r="BG19" s="28" t="str">
        <f t="shared" si="20"/>
        <v>Z</v>
      </c>
    </row>
    <row r="20" spans="1:59" x14ac:dyDescent="0.35">
      <c r="B20" s="22"/>
      <c r="C20" s="8"/>
      <c r="E20" t="s">
        <v>387</v>
      </c>
      <c r="F20" s="15" t="str">
        <f t="shared" ref="F20:AE20" si="21">IF(F17=1,VLOOKUP(nRotorL&amp;F19,nRotor,4,FALSE),"")</f>
        <v>L</v>
      </c>
      <c r="G20" s="15" t="str">
        <f t="shared" si="21"/>
        <v>G</v>
      </c>
      <c r="H20" s="15" t="str">
        <f t="shared" si="21"/>
        <v>D</v>
      </c>
      <c r="I20" s="15" t="str">
        <f t="shared" si="21"/>
        <v>Q</v>
      </c>
      <c r="J20" s="15" t="str">
        <f t="shared" si="21"/>
        <v>V</v>
      </c>
      <c r="K20" s="15" t="str">
        <f t="shared" si="21"/>
        <v>Z</v>
      </c>
      <c r="L20" s="15" t="str">
        <f t="shared" si="21"/>
        <v>N</v>
      </c>
      <c r="M20" s="15" t="str">
        <f t="shared" si="21"/>
        <v>T</v>
      </c>
      <c r="N20" s="15" t="str">
        <f t="shared" si="21"/>
        <v>O</v>
      </c>
      <c r="O20" s="15" t="str">
        <f t="shared" si="21"/>
        <v>W</v>
      </c>
      <c r="P20" s="15" t="str">
        <f t="shared" si="21"/>
        <v>Y</v>
      </c>
      <c r="Q20" s="15" t="str">
        <f t="shared" si="21"/>
        <v>H</v>
      </c>
      <c r="R20" s="15" t="str">
        <f t="shared" si="21"/>
        <v>X</v>
      </c>
      <c r="S20" s="15" t="str">
        <f t="shared" si="21"/>
        <v>U</v>
      </c>
      <c r="T20" s="15" t="str">
        <f t="shared" si="21"/>
        <v>S</v>
      </c>
      <c r="U20" s="15" t="str">
        <f t="shared" si="21"/>
        <v>P</v>
      </c>
      <c r="V20" s="15" t="str">
        <f t="shared" si="21"/>
        <v>A</v>
      </c>
      <c r="W20" s="15" t="str">
        <f t="shared" si="21"/>
        <v>I</v>
      </c>
      <c r="X20" s="15" t="str">
        <f t="shared" si="21"/>
        <v>B</v>
      </c>
      <c r="Y20" s="15" t="str">
        <f t="shared" si="21"/>
        <v>R</v>
      </c>
      <c r="Z20" s="15" t="str">
        <f t="shared" si="21"/>
        <v>C</v>
      </c>
      <c r="AA20" s="15" t="str">
        <f t="shared" si="21"/>
        <v>J</v>
      </c>
      <c r="AB20" s="15" t="str">
        <f t="shared" si="21"/>
        <v>E</v>
      </c>
      <c r="AC20" s="15" t="str">
        <f t="shared" si="21"/>
        <v>K</v>
      </c>
      <c r="AD20" s="15" t="str">
        <f t="shared" si="21"/>
        <v>M</v>
      </c>
      <c r="AE20" s="15" t="str">
        <f t="shared" si="21"/>
        <v>F</v>
      </c>
      <c r="AF20" s="10"/>
      <c r="AH20" s="28" t="str">
        <f t="shared" ref="AH20:BG20" si="22">IF(LEN(AH21)=2,RIGHT(AH21,1),"")</f>
        <v>H</v>
      </c>
      <c r="AI20" s="28" t="str">
        <f t="shared" si="22"/>
        <v>C</v>
      </c>
      <c r="AJ20" s="28" t="str">
        <f t="shared" si="22"/>
        <v>Z</v>
      </c>
      <c r="AK20" s="28" t="str">
        <f t="shared" si="22"/>
        <v>M</v>
      </c>
      <c r="AL20" s="28" t="str">
        <f t="shared" si="22"/>
        <v>R</v>
      </c>
      <c r="AM20" s="28" t="str">
        <f t="shared" si="22"/>
        <v>V</v>
      </c>
      <c r="AN20" s="28" t="str">
        <f t="shared" si="22"/>
        <v>J</v>
      </c>
      <c r="AO20" s="28" t="str">
        <f t="shared" si="22"/>
        <v>P</v>
      </c>
      <c r="AP20" s="28" t="str">
        <f t="shared" si="22"/>
        <v>K</v>
      </c>
      <c r="AQ20" s="28" t="str">
        <f t="shared" si="22"/>
        <v>S</v>
      </c>
      <c r="AR20" s="28" t="str">
        <f t="shared" si="22"/>
        <v>U</v>
      </c>
      <c r="AS20" s="28" t="str">
        <f t="shared" si="22"/>
        <v>D</v>
      </c>
      <c r="AT20" s="28" t="str">
        <f t="shared" si="22"/>
        <v>T</v>
      </c>
      <c r="AU20" s="28" t="str">
        <f t="shared" si="22"/>
        <v>Q</v>
      </c>
      <c r="AV20" s="28" t="str">
        <f t="shared" si="22"/>
        <v>O</v>
      </c>
      <c r="AW20" s="28" t="str">
        <f t="shared" si="22"/>
        <v>L</v>
      </c>
      <c r="AX20" s="28" t="str">
        <f t="shared" si="22"/>
        <v>W</v>
      </c>
      <c r="AY20" s="28" t="str">
        <f t="shared" si="22"/>
        <v>E</v>
      </c>
      <c r="AZ20" s="28" t="str">
        <f t="shared" si="22"/>
        <v>X</v>
      </c>
      <c r="BA20" s="28" t="str">
        <f t="shared" si="22"/>
        <v>N</v>
      </c>
      <c r="BB20" s="28" t="str">
        <f t="shared" si="22"/>
        <v>Y</v>
      </c>
      <c r="BC20" s="28" t="str">
        <f t="shared" si="22"/>
        <v>F</v>
      </c>
      <c r="BD20" s="28" t="str">
        <f t="shared" si="22"/>
        <v>A</v>
      </c>
      <c r="BE20" s="28" t="str">
        <f t="shared" si="22"/>
        <v>G</v>
      </c>
      <c r="BF20" s="28" t="str">
        <f t="shared" si="22"/>
        <v>I</v>
      </c>
      <c r="BG20" s="28" t="str">
        <f t="shared" si="22"/>
        <v>B</v>
      </c>
    </row>
    <row r="21" spans="1:59" ht="15" thickBot="1" x14ac:dyDescent="0.4">
      <c r="B21" s="23"/>
      <c r="C21" s="16"/>
      <c r="D21" s="17"/>
      <c r="E21" s="17" t="s">
        <v>388</v>
      </c>
      <c r="F21" s="18" t="str">
        <f t="shared" ref="F21:AE21" si="23">IF(F17=1,IF(CODE(F20)-CODE(F19)&lt;0,VLOOKUP((CODE(F20)-CODE(F19)+26)+(CODE(F16)-nCharOffset),nNum2Let,2,FALSE),VLOOKUP((CODE(F20)-CODE(F19))+(CODE(F16)-nCharOffset),nNum2Let,2,FALSE)),"")</f>
        <v>H</v>
      </c>
      <c r="G21" s="18" t="str">
        <f t="shared" si="23"/>
        <v>C</v>
      </c>
      <c r="H21" s="18" t="str">
        <f t="shared" si="23"/>
        <v>Z</v>
      </c>
      <c r="I21" s="18" t="str">
        <f t="shared" si="23"/>
        <v>M</v>
      </c>
      <c r="J21" s="18" t="str">
        <f t="shared" si="23"/>
        <v>R</v>
      </c>
      <c r="K21" s="18" t="str">
        <f t="shared" si="23"/>
        <v>V</v>
      </c>
      <c r="L21" s="18" t="str">
        <f t="shared" si="23"/>
        <v>J</v>
      </c>
      <c r="M21" s="18" t="str">
        <f t="shared" si="23"/>
        <v>P</v>
      </c>
      <c r="N21" s="18" t="str">
        <f t="shared" si="23"/>
        <v>K</v>
      </c>
      <c r="O21" s="18" t="str">
        <f t="shared" si="23"/>
        <v>S</v>
      </c>
      <c r="P21" s="18" t="str">
        <f t="shared" si="23"/>
        <v>U</v>
      </c>
      <c r="Q21" s="18" t="str">
        <f t="shared" si="23"/>
        <v>D</v>
      </c>
      <c r="R21" s="18" t="str">
        <f t="shared" si="23"/>
        <v>T</v>
      </c>
      <c r="S21" s="18" t="str">
        <f t="shared" si="23"/>
        <v>Q</v>
      </c>
      <c r="T21" s="18" t="str">
        <f t="shared" si="23"/>
        <v>O</v>
      </c>
      <c r="U21" s="18" t="str">
        <f t="shared" si="23"/>
        <v>L</v>
      </c>
      <c r="V21" s="18" t="str">
        <f t="shared" si="23"/>
        <v>W</v>
      </c>
      <c r="W21" s="18" t="str">
        <f t="shared" si="23"/>
        <v>E</v>
      </c>
      <c r="X21" s="18" t="str">
        <f t="shared" si="23"/>
        <v>X</v>
      </c>
      <c r="Y21" s="18" t="str">
        <f t="shared" si="23"/>
        <v>N</v>
      </c>
      <c r="Z21" s="18" t="str">
        <f t="shared" si="23"/>
        <v>Y</v>
      </c>
      <c r="AA21" s="18" t="str">
        <f t="shared" si="23"/>
        <v>F</v>
      </c>
      <c r="AB21" s="18" t="str">
        <f t="shared" si="23"/>
        <v>A</v>
      </c>
      <c r="AC21" s="18" t="str">
        <f t="shared" si="23"/>
        <v>G</v>
      </c>
      <c r="AD21" s="18" t="str">
        <f t="shared" si="23"/>
        <v>I</v>
      </c>
      <c r="AE21" s="18" t="str">
        <f t="shared" si="23"/>
        <v>B</v>
      </c>
      <c r="AF21" s="19" t="str">
        <f>CONCATENATE(F21,G21,H21,I21,J21,K21,L21,M21,N21,O21,P21,Q21,R21,S21,T21&amp;U21,V21,W21,X21,Y21,Z21,AA21,AB21,AC21,AD21,AE21)</f>
        <v>HCZMRVJPKSUDTQOLWEXNYFAGIB</v>
      </c>
      <c r="AH21" s="12" t="str">
        <f>F16&amp;F21</f>
        <v>AH</v>
      </c>
      <c r="AI21" s="12" t="str">
        <f t="shared" ref="AI21:BG21" si="24">G16&amp;G21</f>
        <v>BC</v>
      </c>
      <c r="AJ21" s="12" t="str">
        <f t="shared" si="24"/>
        <v>CZ</v>
      </c>
      <c r="AK21" s="12" t="str">
        <f t="shared" si="24"/>
        <v>DM</v>
      </c>
      <c r="AL21" s="12" t="str">
        <f t="shared" si="24"/>
        <v>ER</v>
      </c>
      <c r="AM21" s="12" t="str">
        <f t="shared" si="24"/>
        <v>FV</v>
      </c>
      <c r="AN21" s="12" t="str">
        <f t="shared" si="24"/>
        <v>GJ</v>
      </c>
      <c r="AO21" s="12" t="str">
        <f t="shared" si="24"/>
        <v>HP</v>
      </c>
      <c r="AP21" s="12" t="str">
        <f t="shared" si="24"/>
        <v>IK</v>
      </c>
      <c r="AQ21" s="12" t="str">
        <f t="shared" si="24"/>
        <v>JS</v>
      </c>
      <c r="AR21" s="12" t="str">
        <f t="shared" si="24"/>
        <v>KU</v>
      </c>
      <c r="AS21" s="12" t="str">
        <f t="shared" si="24"/>
        <v>LD</v>
      </c>
      <c r="AT21" s="12" t="str">
        <f t="shared" si="24"/>
        <v>MT</v>
      </c>
      <c r="AU21" s="12" t="str">
        <f t="shared" si="24"/>
        <v>NQ</v>
      </c>
      <c r="AV21" s="12" t="str">
        <f t="shared" si="24"/>
        <v>OO</v>
      </c>
      <c r="AW21" s="12" t="str">
        <f t="shared" si="24"/>
        <v>PL</v>
      </c>
      <c r="AX21" s="12" t="str">
        <f t="shared" si="24"/>
        <v>QW</v>
      </c>
      <c r="AY21" s="12" t="str">
        <f t="shared" si="24"/>
        <v>RE</v>
      </c>
      <c r="AZ21" s="12" t="str">
        <f t="shared" si="24"/>
        <v>SX</v>
      </c>
      <c r="BA21" s="12" t="str">
        <f t="shared" si="24"/>
        <v>TN</v>
      </c>
      <c r="BB21" s="12" t="str">
        <f t="shared" si="24"/>
        <v>UY</v>
      </c>
      <c r="BC21" s="12" t="str">
        <f t="shared" si="24"/>
        <v>VF</v>
      </c>
      <c r="BD21" s="12" t="str">
        <f t="shared" si="24"/>
        <v>WA</v>
      </c>
      <c r="BE21" s="12" t="str">
        <f t="shared" si="24"/>
        <v>XG</v>
      </c>
      <c r="BF21" s="12" t="str">
        <f t="shared" si="24"/>
        <v>YI</v>
      </c>
      <c r="BG21" s="12" t="str">
        <f t="shared" si="24"/>
        <v>ZB</v>
      </c>
    </row>
    <row r="22" spans="1:59" x14ac:dyDescent="0.35">
      <c r="B22" s="21"/>
      <c r="C22" s="5"/>
      <c r="D22" s="5"/>
      <c r="E22" s="5" t="s">
        <v>385</v>
      </c>
      <c r="F22" s="6" t="s">
        <v>0</v>
      </c>
      <c r="G22" s="6" t="s">
        <v>1</v>
      </c>
      <c r="H22" s="6" t="s">
        <v>2</v>
      </c>
      <c r="I22" s="6" t="s">
        <v>3</v>
      </c>
      <c r="J22" s="6" t="s">
        <v>4</v>
      </c>
      <c r="K22" s="6" t="s">
        <v>5</v>
      </c>
      <c r="L22" s="6" t="s">
        <v>6</v>
      </c>
      <c r="M22" s="6" t="s">
        <v>7</v>
      </c>
      <c r="N22" s="6" t="s">
        <v>8</v>
      </c>
      <c r="O22" s="6" t="s">
        <v>9</v>
      </c>
      <c r="P22" s="6" t="s">
        <v>10</v>
      </c>
      <c r="Q22" s="6" t="s">
        <v>11</v>
      </c>
      <c r="R22" s="6" t="s">
        <v>12</v>
      </c>
      <c r="S22" s="6" t="s">
        <v>13</v>
      </c>
      <c r="T22" s="6" t="s">
        <v>14</v>
      </c>
      <c r="U22" s="6" t="s">
        <v>15</v>
      </c>
      <c r="V22" s="6" t="s">
        <v>16</v>
      </c>
      <c r="W22" s="6" t="s">
        <v>17</v>
      </c>
      <c r="X22" s="6" t="s">
        <v>18</v>
      </c>
      <c r="Y22" s="6" t="s">
        <v>19</v>
      </c>
      <c r="Z22" s="6" t="s">
        <v>20</v>
      </c>
      <c r="AA22" s="6" t="s">
        <v>21</v>
      </c>
      <c r="AB22" s="6" t="s">
        <v>22</v>
      </c>
      <c r="AC22" s="6" t="s">
        <v>23</v>
      </c>
      <c r="AD22" s="6" t="s">
        <v>24</v>
      </c>
      <c r="AE22" s="6" t="s">
        <v>25</v>
      </c>
      <c r="AF22" s="7"/>
      <c r="AH22" s="28" t="str">
        <f>HLOOKUP(AH16,$AH19:$BG20,2,FALSE)</f>
        <v>N</v>
      </c>
      <c r="AI22" s="28" t="str">
        <f>HLOOKUP(AI16,$AH19:$BG20,2,FALSE)</f>
        <v>F</v>
      </c>
      <c r="AJ22" s="28" t="str">
        <f t="shared" ref="AJ22:BG22" si="25">HLOOKUP(AJ16,$AH19:$BG20,2,FALSE)</f>
        <v>L</v>
      </c>
      <c r="AK22" s="28" t="str">
        <f t="shared" si="25"/>
        <v>V</v>
      </c>
      <c r="AL22" s="28" t="str">
        <f t="shared" si="25"/>
        <v>K</v>
      </c>
      <c r="AM22" s="28" t="str">
        <f t="shared" si="25"/>
        <v>W</v>
      </c>
      <c r="AN22" s="28" t="str">
        <f t="shared" si="25"/>
        <v>H</v>
      </c>
      <c r="AO22" s="28" t="str">
        <f t="shared" si="25"/>
        <v>Q</v>
      </c>
      <c r="AP22" s="28" t="str">
        <f t="shared" si="25"/>
        <v>D</v>
      </c>
      <c r="AQ22" s="28" t="str">
        <f t="shared" si="25"/>
        <v>B</v>
      </c>
      <c r="AR22" s="28" t="str">
        <f t="shared" si="25"/>
        <v>U</v>
      </c>
      <c r="AS22" s="28" t="str">
        <f t="shared" si="25"/>
        <v>C</v>
      </c>
      <c r="AT22" s="28" t="str">
        <f t="shared" si="25"/>
        <v>R</v>
      </c>
      <c r="AU22" s="28" t="str">
        <f t="shared" si="25"/>
        <v>J</v>
      </c>
      <c r="AV22" s="28" t="str">
        <f t="shared" si="25"/>
        <v>M</v>
      </c>
      <c r="AW22" s="28" t="str">
        <f t="shared" si="25"/>
        <v>G</v>
      </c>
      <c r="AX22" s="28" t="str">
        <f t="shared" si="25"/>
        <v>T</v>
      </c>
      <c r="AY22" s="28" t="str">
        <f t="shared" si="25"/>
        <v>Y</v>
      </c>
      <c r="AZ22" s="28" t="str">
        <f t="shared" si="25"/>
        <v>X</v>
      </c>
      <c r="BA22" s="28" t="str">
        <f t="shared" si="25"/>
        <v>O</v>
      </c>
      <c r="BB22" s="28" t="str">
        <f t="shared" si="25"/>
        <v>P</v>
      </c>
      <c r="BC22" s="28" t="str">
        <f t="shared" si="25"/>
        <v>Z</v>
      </c>
      <c r="BD22" s="28" t="str">
        <f t="shared" si="25"/>
        <v>A</v>
      </c>
      <c r="BE22" s="28" t="str">
        <f t="shared" si="25"/>
        <v>I</v>
      </c>
      <c r="BF22" s="28" t="str">
        <f t="shared" si="25"/>
        <v>E</v>
      </c>
      <c r="BG22" s="28" t="str">
        <f t="shared" si="25"/>
        <v>S</v>
      </c>
    </row>
    <row r="23" spans="1:59" x14ac:dyDescent="0.35">
      <c r="B23" s="22" t="s">
        <v>26</v>
      </c>
      <c r="C23" s="41" t="str">
        <f>n_Reflector</f>
        <v>B</v>
      </c>
      <c r="D23" s="11" t="str">
        <f>"Wide"&amp;C23</f>
        <v>WideB</v>
      </c>
      <c r="F23" s="1">
        <f>IF(ISERROR(FIND(F22,$AF21)),0,1)</f>
        <v>1</v>
      </c>
      <c r="G23" s="1">
        <f t="shared" ref="G23:AE23" si="26">IF(ISERROR(FIND(G22,$AF21)),0,1)</f>
        <v>1</v>
      </c>
      <c r="H23" s="1">
        <f t="shared" si="26"/>
        <v>1</v>
      </c>
      <c r="I23" s="1">
        <f t="shared" si="26"/>
        <v>1</v>
      </c>
      <c r="J23" s="1">
        <f t="shared" si="26"/>
        <v>1</v>
      </c>
      <c r="K23" s="1">
        <f t="shared" si="26"/>
        <v>1</v>
      </c>
      <c r="L23" s="1">
        <f t="shared" si="26"/>
        <v>1</v>
      </c>
      <c r="M23" s="1">
        <f t="shared" si="26"/>
        <v>1</v>
      </c>
      <c r="N23" s="1">
        <f t="shared" si="26"/>
        <v>1</v>
      </c>
      <c r="O23" s="1">
        <f t="shared" si="26"/>
        <v>1</v>
      </c>
      <c r="P23" s="1">
        <f t="shared" si="26"/>
        <v>1</v>
      </c>
      <c r="Q23" s="1">
        <f t="shared" si="26"/>
        <v>1</v>
      </c>
      <c r="R23" s="1">
        <f t="shared" si="26"/>
        <v>1</v>
      </c>
      <c r="S23" s="1">
        <f t="shared" si="26"/>
        <v>1</v>
      </c>
      <c r="T23" s="1">
        <f t="shared" si="26"/>
        <v>1</v>
      </c>
      <c r="U23" s="1">
        <f t="shared" si="26"/>
        <v>1</v>
      </c>
      <c r="V23" s="1">
        <f t="shared" si="26"/>
        <v>1</v>
      </c>
      <c r="W23" s="1">
        <f t="shared" si="26"/>
        <v>1</v>
      </c>
      <c r="X23" s="1">
        <f t="shared" si="26"/>
        <v>1</v>
      </c>
      <c r="Y23" s="1">
        <f t="shared" si="26"/>
        <v>1</v>
      </c>
      <c r="Z23" s="1">
        <f t="shared" si="26"/>
        <v>1</v>
      </c>
      <c r="AA23" s="1">
        <f t="shared" si="26"/>
        <v>1</v>
      </c>
      <c r="AB23" s="1">
        <f t="shared" si="26"/>
        <v>1</v>
      </c>
      <c r="AC23" s="1">
        <f t="shared" si="26"/>
        <v>1</v>
      </c>
      <c r="AD23" s="1">
        <f t="shared" si="26"/>
        <v>1</v>
      </c>
      <c r="AE23" s="1">
        <f t="shared" si="26"/>
        <v>1</v>
      </c>
      <c r="AF23" s="10"/>
      <c r="AH23" s="28" t="str">
        <f>HLOOKUP(AH22,$AH25:$BG26,2,FALSE)</f>
        <v>K</v>
      </c>
      <c r="AI23" s="28" t="str">
        <f t="shared" ref="AI23:BG23" si="27">HLOOKUP(AI22,$AH25:$BG26,2,FALSE)</f>
        <v>S</v>
      </c>
      <c r="AJ23" s="28" t="str">
        <f t="shared" si="27"/>
        <v>G</v>
      </c>
      <c r="AK23" s="28" t="str">
        <f t="shared" si="27"/>
        <v>W</v>
      </c>
      <c r="AL23" s="28" t="str">
        <f t="shared" si="27"/>
        <v>N</v>
      </c>
      <c r="AM23" s="28" t="str">
        <f t="shared" si="27"/>
        <v>V</v>
      </c>
      <c r="AN23" s="28" t="str">
        <f t="shared" si="27"/>
        <v>D</v>
      </c>
      <c r="AO23" s="28" t="str">
        <f t="shared" si="27"/>
        <v>E</v>
      </c>
      <c r="AP23" s="28" t="str">
        <f t="shared" si="27"/>
        <v>H</v>
      </c>
      <c r="AQ23" s="28" t="str">
        <f t="shared" si="27"/>
        <v>R</v>
      </c>
      <c r="AR23" s="28" t="str">
        <f t="shared" si="27"/>
        <v>C</v>
      </c>
      <c r="AS23" s="28" t="str">
        <f t="shared" si="27"/>
        <v>U</v>
      </c>
      <c r="AT23" s="28" t="str">
        <f t="shared" si="27"/>
        <v>B</v>
      </c>
      <c r="AU23" s="28" t="str">
        <f t="shared" si="27"/>
        <v>X</v>
      </c>
      <c r="AV23" s="28" t="str">
        <f t="shared" si="27"/>
        <v>O</v>
      </c>
      <c r="AW23" s="28" t="str">
        <f t="shared" si="27"/>
        <v>L</v>
      </c>
      <c r="AX23" s="28" t="str">
        <f t="shared" si="27"/>
        <v>Z</v>
      </c>
      <c r="AY23" s="28" t="str">
        <f t="shared" si="27"/>
        <v>A</v>
      </c>
      <c r="AZ23" s="28" t="str">
        <f t="shared" si="27"/>
        <v>J</v>
      </c>
      <c r="BA23" s="28" t="str">
        <f t="shared" si="27"/>
        <v>M</v>
      </c>
      <c r="BB23" s="28" t="str">
        <f t="shared" si="27"/>
        <v>I</v>
      </c>
      <c r="BC23" s="28" t="str">
        <f t="shared" si="27"/>
        <v>T</v>
      </c>
      <c r="BD23" s="28" t="str">
        <f t="shared" si="27"/>
        <v>Y</v>
      </c>
      <c r="BE23" s="28" t="str">
        <f t="shared" si="27"/>
        <v>P</v>
      </c>
      <c r="BF23" s="28" t="str">
        <f t="shared" si="27"/>
        <v>Q</v>
      </c>
      <c r="BG23" s="28" t="str">
        <f t="shared" si="27"/>
        <v>F</v>
      </c>
    </row>
    <row r="24" spans="1:59" ht="15" thickBot="1" x14ac:dyDescent="0.4">
      <c r="B24" s="23"/>
      <c r="C24" s="17"/>
      <c r="D24" s="17"/>
      <c r="E24" s="17"/>
      <c r="F24" s="24" t="str">
        <f t="shared" ref="F24:AE24" si="28">IF(F23=1,VLOOKUP(nReflector&amp;"_"&amp;F22,nReflectorWide,4,FALSE),"")</f>
        <v>Y</v>
      </c>
      <c r="G24" s="24" t="str">
        <f t="shared" si="28"/>
        <v>R</v>
      </c>
      <c r="H24" s="24" t="str">
        <f t="shared" si="28"/>
        <v>U</v>
      </c>
      <c r="I24" s="24" t="str">
        <f t="shared" si="28"/>
        <v>H</v>
      </c>
      <c r="J24" s="24" t="str">
        <f t="shared" si="28"/>
        <v>Q</v>
      </c>
      <c r="K24" s="24" t="str">
        <f t="shared" si="28"/>
        <v>S</v>
      </c>
      <c r="L24" s="24" t="str">
        <f t="shared" si="28"/>
        <v>L</v>
      </c>
      <c r="M24" s="24" t="str">
        <f t="shared" si="28"/>
        <v>D</v>
      </c>
      <c r="N24" s="24" t="str">
        <f t="shared" si="28"/>
        <v>P</v>
      </c>
      <c r="O24" s="24" t="str">
        <f t="shared" si="28"/>
        <v>X</v>
      </c>
      <c r="P24" s="24" t="str">
        <f t="shared" si="28"/>
        <v>N</v>
      </c>
      <c r="Q24" s="24" t="str">
        <f t="shared" si="28"/>
        <v>G</v>
      </c>
      <c r="R24" s="24" t="str">
        <f t="shared" si="28"/>
        <v>O</v>
      </c>
      <c r="S24" s="24" t="str">
        <f t="shared" si="28"/>
        <v>K</v>
      </c>
      <c r="T24" s="24" t="str">
        <f t="shared" si="28"/>
        <v>M</v>
      </c>
      <c r="U24" s="24" t="str">
        <f t="shared" si="28"/>
        <v>I</v>
      </c>
      <c r="V24" s="24" t="str">
        <f t="shared" si="28"/>
        <v>E</v>
      </c>
      <c r="W24" s="24" t="str">
        <f t="shared" si="28"/>
        <v>B</v>
      </c>
      <c r="X24" s="24" t="str">
        <f t="shared" si="28"/>
        <v>F</v>
      </c>
      <c r="Y24" s="24" t="str">
        <f t="shared" si="28"/>
        <v>Z</v>
      </c>
      <c r="Z24" s="24" t="str">
        <f t="shared" si="28"/>
        <v>C</v>
      </c>
      <c r="AA24" s="24" t="str">
        <f t="shared" si="28"/>
        <v>W</v>
      </c>
      <c r="AB24" s="24" t="str">
        <f t="shared" si="28"/>
        <v>V</v>
      </c>
      <c r="AC24" s="24" t="str">
        <f t="shared" si="28"/>
        <v>J</v>
      </c>
      <c r="AD24" s="24" t="str">
        <f t="shared" si="28"/>
        <v>A</v>
      </c>
      <c r="AE24" s="24" t="str">
        <f t="shared" si="28"/>
        <v>T</v>
      </c>
      <c r="AF24" s="25" t="str">
        <f>CONCATENATE(F24,G24,H24,I24,J24,K24,L24,M24,N24,O24,P24,Q24,R24,S24,T24&amp;U24,V24,W24,X24,Y24,Z24,AA24,AB24,AC24,AD24,AE24)</f>
        <v>YRUHQSLDPXNGOKMIEBFZCWVJAT</v>
      </c>
      <c r="AH24" s="27" t="str">
        <f>F22&amp;F24</f>
        <v>AY</v>
      </c>
      <c r="AI24" s="27" t="str">
        <f t="shared" ref="AI24:BG24" si="29">G22&amp;G24</f>
        <v>BR</v>
      </c>
      <c r="AJ24" s="27" t="str">
        <f t="shared" si="29"/>
        <v>CU</v>
      </c>
      <c r="AK24" s="27" t="str">
        <f t="shared" si="29"/>
        <v>DH</v>
      </c>
      <c r="AL24" s="27" t="str">
        <f t="shared" si="29"/>
        <v>EQ</v>
      </c>
      <c r="AM24" s="27" t="str">
        <f t="shared" si="29"/>
        <v>FS</v>
      </c>
      <c r="AN24" s="27" t="str">
        <f t="shared" si="29"/>
        <v>GL</v>
      </c>
      <c r="AO24" s="27" t="str">
        <f t="shared" si="29"/>
        <v>HD</v>
      </c>
      <c r="AP24" s="27" t="str">
        <f t="shared" si="29"/>
        <v>IP</v>
      </c>
      <c r="AQ24" s="27" t="str">
        <f t="shared" si="29"/>
        <v>JX</v>
      </c>
      <c r="AR24" s="27" t="str">
        <f t="shared" si="29"/>
        <v>KN</v>
      </c>
      <c r="AS24" s="27" t="str">
        <f t="shared" si="29"/>
        <v>LG</v>
      </c>
      <c r="AT24" s="27" t="str">
        <f t="shared" si="29"/>
        <v>MO</v>
      </c>
      <c r="AU24" s="27" t="str">
        <f t="shared" si="29"/>
        <v>NK</v>
      </c>
      <c r="AV24" s="27" t="str">
        <f t="shared" si="29"/>
        <v>OM</v>
      </c>
      <c r="AW24" s="27" t="str">
        <f t="shared" si="29"/>
        <v>PI</v>
      </c>
      <c r="AX24" s="27" t="str">
        <f t="shared" si="29"/>
        <v>QE</v>
      </c>
      <c r="AY24" s="27" t="str">
        <f t="shared" si="29"/>
        <v>RB</v>
      </c>
      <c r="AZ24" s="27" t="str">
        <f t="shared" si="29"/>
        <v>SF</v>
      </c>
      <c r="BA24" s="27" t="str">
        <f t="shared" si="29"/>
        <v>TZ</v>
      </c>
      <c r="BB24" s="27" t="str">
        <f t="shared" si="29"/>
        <v>UC</v>
      </c>
      <c r="BC24" s="27" t="str">
        <f t="shared" si="29"/>
        <v>VW</v>
      </c>
      <c r="BD24" s="27" t="str">
        <f t="shared" si="29"/>
        <v>WV</v>
      </c>
      <c r="BE24" s="27" t="str">
        <f t="shared" si="29"/>
        <v>XJ</v>
      </c>
      <c r="BF24" s="27" t="str">
        <f t="shared" si="29"/>
        <v>YA</v>
      </c>
      <c r="BG24" s="27" t="str">
        <f t="shared" si="29"/>
        <v>ZT</v>
      </c>
    </row>
    <row r="25" spans="1:59" x14ac:dyDescent="0.35">
      <c r="B25" s="21"/>
      <c r="C25" s="4"/>
      <c r="D25" s="5"/>
      <c r="E25" s="5" t="s">
        <v>385</v>
      </c>
      <c r="F25" s="6" t="s">
        <v>0</v>
      </c>
      <c r="G25" s="6" t="s">
        <v>1</v>
      </c>
      <c r="H25" s="6" t="s">
        <v>2</v>
      </c>
      <c r="I25" s="6" t="s">
        <v>3</v>
      </c>
      <c r="J25" s="6" t="s">
        <v>4</v>
      </c>
      <c r="K25" s="6" t="s">
        <v>5</v>
      </c>
      <c r="L25" s="6" t="s">
        <v>6</v>
      </c>
      <c r="M25" s="6" t="s">
        <v>7</v>
      </c>
      <c r="N25" s="6" t="s">
        <v>8</v>
      </c>
      <c r="O25" s="6" t="s">
        <v>9</v>
      </c>
      <c r="P25" s="6" t="s">
        <v>10</v>
      </c>
      <c r="Q25" s="6" t="s">
        <v>11</v>
      </c>
      <c r="R25" s="6" t="s">
        <v>12</v>
      </c>
      <c r="S25" s="6" t="s">
        <v>13</v>
      </c>
      <c r="T25" s="6" t="s">
        <v>14</v>
      </c>
      <c r="U25" s="6" t="s">
        <v>15</v>
      </c>
      <c r="V25" s="6" t="s">
        <v>16</v>
      </c>
      <c r="W25" s="6" t="s">
        <v>17</v>
      </c>
      <c r="X25" s="6" t="s">
        <v>18</v>
      </c>
      <c r="Y25" s="6" t="s">
        <v>19</v>
      </c>
      <c r="Z25" s="6" t="s">
        <v>20</v>
      </c>
      <c r="AA25" s="6" t="s">
        <v>21</v>
      </c>
      <c r="AB25" s="6" t="s">
        <v>22</v>
      </c>
      <c r="AC25" s="6" t="s">
        <v>23</v>
      </c>
      <c r="AD25" s="6" t="s">
        <v>24</v>
      </c>
      <c r="AE25" s="6" t="s">
        <v>25</v>
      </c>
      <c r="AF25" s="7"/>
      <c r="AH25" s="28" t="str">
        <f>IF(LEN(AH24)=2,LEFT(AH24,1),"")</f>
        <v>A</v>
      </c>
      <c r="AI25" s="28" t="str">
        <f t="shared" ref="AI25:BG25" si="30">IF(LEN(AI24)=2,LEFT(AI24,1),"")</f>
        <v>B</v>
      </c>
      <c r="AJ25" s="28" t="str">
        <f t="shared" si="30"/>
        <v>C</v>
      </c>
      <c r="AK25" s="28" t="str">
        <f t="shared" si="30"/>
        <v>D</v>
      </c>
      <c r="AL25" s="28" t="str">
        <f t="shared" si="30"/>
        <v>E</v>
      </c>
      <c r="AM25" s="28" t="str">
        <f t="shared" si="30"/>
        <v>F</v>
      </c>
      <c r="AN25" s="28" t="str">
        <f t="shared" si="30"/>
        <v>G</v>
      </c>
      <c r="AO25" s="28" t="str">
        <f t="shared" si="30"/>
        <v>H</v>
      </c>
      <c r="AP25" s="28" t="str">
        <f t="shared" si="30"/>
        <v>I</v>
      </c>
      <c r="AQ25" s="28" t="str">
        <f t="shared" si="30"/>
        <v>J</v>
      </c>
      <c r="AR25" s="28" t="str">
        <f t="shared" si="30"/>
        <v>K</v>
      </c>
      <c r="AS25" s="28" t="str">
        <f t="shared" si="30"/>
        <v>L</v>
      </c>
      <c r="AT25" s="28" t="str">
        <f t="shared" si="30"/>
        <v>M</v>
      </c>
      <c r="AU25" s="28" t="str">
        <f t="shared" si="30"/>
        <v>N</v>
      </c>
      <c r="AV25" s="28" t="str">
        <f t="shared" si="30"/>
        <v>O</v>
      </c>
      <c r="AW25" s="28" t="str">
        <f t="shared" si="30"/>
        <v>P</v>
      </c>
      <c r="AX25" s="28" t="str">
        <f t="shared" si="30"/>
        <v>Q</v>
      </c>
      <c r="AY25" s="28" t="str">
        <f t="shared" si="30"/>
        <v>R</v>
      </c>
      <c r="AZ25" s="28" t="str">
        <f t="shared" si="30"/>
        <v>S</v>
      </c>
      <c r="BA25" s="28" t="str">
        <f t="shared" si="30"/>
        <v>T</v>
      </c>
      <c r="BB25" s="28" t="str">
        <f t="shared" si="30"/>
        <v>U</v>
      </c>
      <c r="BC25" s="28" t="str">
        <f t="shared" si="30"/>
        <v>V</v>
      </c>
      <c r="BD25" s="28" t="str">
        <f t="shared" si="30"/>
        <v>W</v>
      </c>
      <c r="BE25" s="28" t="str">
        <f t="shared" si="30"/>
        <v>X</v>
      </c>
      <c r="BF25" s="28" t="str">
        <f t="shared" si="30"/>
        <v>Y</v>
      </c>
      <c r="BG25" s="28" t="str">
        <f t="shared" si="30"/>
        <v>Z</v>
      </c>
    </row>
    <row r="26" spans="1:59" x14ac:dyDescent="0.35">
      <c r="B26" s="22"/>
      <c r="C26" s="8"/>
      <c r="F26" s="1">
        <f t="shared" ref="F26:AE26" si="31">IF(ISERROR(FIND(F25,$AF24)),0,1)</f>
        <v>1</v>
      </c>
      <c r="G26" s="1">
        <f t="shared" si="31"/>
        <v>1</v>
      </c>
      <c r="H26" s="1">
        <f t="shared" si="31"/>
        <v>1</v>
      </c>
      <c r="I26" s="1">
        <f t="shared" si="31"/>
        <v>1</v>
      </c>
      <c r="J26" s="1">
        <f t="shared" si="31"/>
        <v>1</v>
      </c>
      <c r="K26" s="1">
        <f t="shared" si="31"/>
        <v>1</v>
      </c>
      <c r="L26" s="1">
        <f t="shared" si="31"/>
        <v>1</v>
      </c>
      <c r="M26" s="1">
        <f t="shared" si="31"/>
        <v>1</v>
      </c>
      <c r="N26" s="1">
        <f t="shared" si="31"/>
        <v>1</v>
      </c>
      <c r="O26" s="1">
        <f t="shared" si="31"/>
        <v>1</v>
      </c>
      <c r="P26" s="1">
        <f t="shared" si="31"/>
        <v>1</v>
      </c>
      <c r="Q26" s="1">
        <f t="shared" si="31"/>
        <v>1</v>
      </c>
      <c r="R26" s="1">
        <f t="shared" si="31"/>
        <v>1</v>
      </c>
      <c r="S26" s="1">
        <f t="shared" si="31"/>
        <v>1</v>
      </c>
      <c r="T26" s="1">
        <f t="shared" si="31"/>
        <v>1</v>
      </c>
      <c r="U26" s="1">
        <f t="shared" si="31"/>
        <v>1</v>
      </c>
      <c r="V26" s="1">
        <f t="shared" si="31"/>
        <v>1</v>
      </c>
      <c r="W26" s="1">
        <f t="shared" si="31"/>
        <v>1</v>
      </c>
      <c r="X26" s="1">
        <f t="shared" si="31"/>
        <v>1</v>
      </c>
      <c r="Y26" s="1">
        <f t="shared" si="31"/>
        <v>1</v>
      </c>
      <c r="Z26" s="1">
        <f t="shared" si="31"/>
        <v>1</v>
      </c>
      <c r="AA26" s="1">
        <f t="shared" si="31"/>
        <v>1</v>
      </c>
      <c r="AB26" s="1">
        <f t="shared" si="31"/>
        <v>1</v>
      </c>
      <c r="AC26" s="1">
        <f t="shared" si="31"/>
        <v>1</v>
      </c>
      <c r="AD26" s="1">
        <f t="shared" si="31"/>
        <v>1</v>
      </c>
      <c r="AE26" s="1">
        <f t="shared" si="31"/>
        <v>1</v>
      </c>
      <c r="AF26" s="10"/>
      <c r="AH26" s="28" t="str">
        <f>IF(LEN(AH24)=2,RIGHT(AH24,1),"")</f>
        <v>Y</v>
      </c>
      <c r="AI26" s="28" t="str">
        <f t="shared" ref="AI26:BG26" si="32">IF(LEN(AI24)=2,RIGHT(AI24,1),"")</f>
        <v>R</v>
      </c>
      <c r="AJ26" s="28" t="str">
        <f t="shared" si="32"/>
        <v>U</v>
      </c>
      <c r="AK26" s="28" t="str">
        <f t="shared" si="32"/>
        <v>H</v>
      </c>
      <c r="AL26" s="28" t="str">
        <f t="shared" si="32"/>
        <v>Q</v>
      </c>
      <c r="AM26" s="28" t="str">
        <f t="shared" si="32"/>
        <v>S</v>
      </c>
      <c r="AN26" s="28" t="str">
        <f t="shared" si="32"/>
        <v>L</v>
      </c>
      <c r="AO26" s="28" t="str">
        <f t="shared" si="32"/>
        <v>D</v>
      </c>
      <c r="AP26" s="28" t="str">
        <f t="shared" si="32"/>
        <v>P</v>
      </c>
      <c r="AQ26" s="28" t="str">
        <f t="shared" si="32"/>
        <v>X</v>
      </c>
      <c r="AR26" s="28" t="str">
        <f t="shared" si="32"/>
        <v>N</v>
      </c>
      <c r="AS26" s="28" t="str">
        <f t="shared" si="32"/>
        <v>G</v>
      </c>
      <c r="AT26" s="28" t="str">
        <f t="shared" si="32"/>
        <v>O</v>
      </c>
      <c r="AU26" s="28" t="str">
        <f t="shared" si="32"/>
        <v>K</v>
      </c>
      <c r="AV26" s="28" t="str">
        <f t="shared" si="32"/>
        <v>M</v>
      </c>
      <c r="AW26" s="28" t="str">
        <f t="shared" si="32"/>
        <v>I</v>
      </c>
      <c r="AX26" s="28" t="str">
        <f t="shared" si="32"/>
        <v>E</v>
      </c>
      <c r="AY26" s="28" t="str">
        <f t="shared" si="32"/>
        <v>B</v>
      </c>
      <c r="AZ26" s="28" t="str">
        <f t="shared" si="32"/>
        <v>F</v>
      </c>
      <c r="BA26" s="28" t="str">
        <f t="shared" si="32"/>
        <v>Z</v>
      </c>
      <c r="BB26" s="28" t="str">
        <f t="shared" si="32"/>
        <v>C</v>
      </c>
      <c r="BC26" s="28" t="str">
        <f t="shared" si="32"/>
        <v>W</v>
      </c>
      <c r="BD26" s="28" t="str">
        <f t="shared" si="32"/>
        <v>V</v>
      </c>
      <c r="BE26" s="28" t="str">
        <f t="shared" si="32"/>
        <v>J</v>
      </c>
      <c r="BF26" s="28" t="str">
        <f t="shared" si="32"/>
        <v>A</v>
      </c>
      <c r="BG26" s="28" t="str">
        <f t="shared" si="32"/>
        <v>T</v>
      </c>
    </row>
    <row r="27" spans="1:59" x14ac:dyDescent="0.35">
      <c r="B27" s="22" t="s">
        <v>382</v>
      </c>
      <c r="C27" s="26" t="str">
        <f>"R"&amp;C18</f>
        <v>R1</v>
      </c>
      <c r="D27" s="11">
        <f>D18</f>
        <v>5</v>
      </c>
      <c r="E27" s="11">
        <f>E18</f>
        <v>5</v>
      </c>
      <c r="F27" s="12" t="str">
        <f>F18</f>
        <v>E</v>
      </c>
      <c r="G27" s="13" t="str">
        <f t="shared" ref="G27:AE27" si="33">VLOOKUP(F27,nNextLetter,2,FALSE)</f>
        <v>F</v>
      </c>
      <c r="H27" s="13" t="str">
        <f t="shared" si="33"/>
        <v>G</v>
      </c>
      <c r="I27" s="13" t="str">
        <f t="shared" si="33"/>
        <v>H</v>
      </c>
      <c r="J27" s="13" t="str">
        <f t="shared" si="33"/>
        <v>I</v>
      </c>
      <c r="K27" s="13" t="str">
        <f t="shared" si="33"/>
        <v>J</v>
      </c>
      <c r="L27" s="13" t="str">
        <f t="shared" si="33"/>
        <v>K</v>
      </c>
      <c r="M27" s="13" t="str">
        <f t="shared" si="33"/>
        <v>L</v>
      </c>
      <c r="N27" s="13" t="str">
        <f t="shared" si="33"/>
        <v>M</v>
      </c>
      <c r="O27" s="13" t="str">
        <f t="shared" si="33"/>
        <v>N</v>
      </c>
      <c r="P27" s="13" t="str">
        <f t="shared" si="33"/>
        <v>O</v>
      </c>
      <c r="Q27" s="13" t="str">
        <f t="shared" si="33"/>
        <v>P</v>
      </c>
      <c r="R27" s="13" t="str">
        <f t="shared" si="33"/>
        <v>Q</v>
      </c>
      <c r="S27" s="13" t="str">
        <f t="shared" si="33"/>
        <v>R</v>
      </c>
      <c r="T27" s="13" t="str">
        <f t="shared" si="33"/>
        <v>S</v>
      </c>
      <c r="U27" s="13" t="str">
        <f t="shared" si="33"/>
        <v>T</v>
      </c>
      <c r="V27" s="13" t="str">
        <f t="shared" si="33"/>
        <v>U</v>
      </c>
      <c r="W27" s="13" t="str">
        <f t="shared" si="33"/>
        <v>V</v>
      </c>
      <c r="X27" s="13" t="str">
        <f t="shared" si="33"/>
        <v>W</v>
      </c>
      <c r="Y27" s="13" t="str">
        <f t="shared" si="33"/>
        <v>X</v>
      </c>
      <c r="Z27" s="13" t="str">
        <f t="shared" si="33"/>
        <v>Y</v>
      </c>
      <c r="AA27" s="13" t="str">
        <f t="shared" si="33"/>
        <v>Z</v>
      </c>
      <c r="AB27" s="13" t="str">
        <f t="shared" si="33"/>
        <v>A</v>
      </c>
      <c r="AC27" s="13" t="str">
        <f t="shared" si="33"/>
        <v>B</v>
      </c>
      <c r="AD27" s="13" t="str">
        <f t="shared" si="33"/>
        <v>C</v>
      </c>
      <c r="AE27" s="13" t="str">
        <f t="shared" si="33"/>
        <v>D</v>
      </c>
      <c r="AF27" s="10"/>
    </row>
    <row r="28" spans="1:59" x14ac:dyDescent="0.35">
      <c r="B28" s="22"/>
      <c r="C28" s="8"/>
      <c r="E28" t="s">
        <v>386</v>
      </c>
      <c r="F28" s="14" t="str">
        <f t="shared" ref="F28:AE28" si="34">IF(F26=1,VLOOKUP(nCurPosL+nRingOffsetL+(CODE(F25)-nCharOffset)-1,nNum2Let,2,FALSE),"")</f>
        <v>E</v>
      </c>
      <c r="G28" s="14" t="str">
        <f t="shared" si="34"/>
        <v>F</v>
      </c>
      <c r="H28" s="14" t="str">
        <f t="shared" si="34"/>
        <v>G</v>
      </c>
      <c r="I28" s="14" t="str">
        <f t="shared" si="34"/>
        <v>H</v>
      </c>
      <c r="J28" s="14" t="str">
        <f t="shared" si="34"/>
        <v>I</v>
      </c>
      <c r="K28" s="14" t="str">
        <f t="shared" si="34"/>
        <v>J</v>
      </c>
      <c r="L28" s="14" t="str">
        <f t="shared" si="34"/>
        <v>K</v>
      </c>
      <c r="M28" s="14" t="str">
        <f t="shared" si="34"/>
        <v>L</v>
      </c>
      <c r="N28" s="14" t="str">
        <f t="shared" si="34"/>
        <v>M</v>
      </c>
      <c r="O28" s="14" t="str">
        <f t="shared" si="34"/>
        <v>N</v>
      </c>
      <c r="P28" s="14" t="str">
        <f t="shared" si="34"/>
        <v>O</v>
      </c>
      <c r="Q28" s="14" t="str">
        <f t="shared" si="34"/>
        <v>P</v>
      </c>
      <c r="R28" s="14" t="str">
        <f t="shared" si="34"/>
        <v>Q</v>
      </c>
      <c r="S28" s="14" t="str">
        <f t="shared" si="34"/>
        <v>R</v>
      </c>
      <c r="T28" s="14" t="str">
        <f t="shared" si="34"/>
        <v>S</v>
      </c>
      <c r="U28" s="14" t="str">
        <f t="shared" si="34"/>
        <v>T</v>
      </c>
      <c r="V28" s="14" t="str">
        <f t="shared" si="34"/>
        <v>U</v>
      </c>
      <c r="W28" s="14" t="str">
        <f t="shared" si="34"/>
        <v>V</v>
      </c>
      <c r="X28" s="14" t="str">
        <f t="shared" si="34"/>
        <v>W</v>
      </c>
      <c r="Y28" s="14" t="str">
        <f t="shared" si="34"/>
        <v>X</v>
      </c>
      <c r="Z28" s="14" t="str">
        <f t="shared" si="34"/>
        <v>Y</v>
      </c>
      <c r="AA28" s="14" t="str">
        <f t="shared" si="34"/>
        <v>Z</v>
      </c>
      <c r="AB28" s="14" t="str">
        <f t="shared" si="34"/>
        <v>A</v>
      </c>
      <c r="AC28" s="14" t="str">
        <f t="shared" si="34"/>
        <v>B</v>
      </c>
      <c r="AD28" s="14" t="str">
        <f t="shared" si="34"/>
        <v>C</v>
      </c>
      <c r="AE28" s="14" t="str">
        <f t="shared" si="34"/>
        <v>D</v>
      </c>
      <c r="AF28" s="10"/>
      <c r="AH28" s="28" t="str">
        <f t="shared" ref="AH28:BG28" si="35">IF(LEN(AH30)=2,LEFT(AH30,1),"")</f>
        <v>A</v>
      </c>
      <c r="AI28" s="28" t="str">
        <f t="shared" si="35"/>
        <v>B</v>
      </c>
      <c r="AJ28" s="28" t="str">
        <f t="shared" si="35"/>
        <v>C</v>
      </c>
      <c r="AK28" s="28" t="str">
        <f t="shared" si="35"/>
        <v>D</v>
      </c>
      <c r="AL28" s="28" t="str">
        <f t="shared" si="35"/>
        <v>E</v>
      </c>
      <c r="AM28" s="28" t="str">
        <f t="shared" si="35"/>
        <v>F</v>
      </c>
      <c r="AN28" s="28" t="str">
        <f t="shared" si="35"/>
        <v>G</v>
      </c>
      <c r="AO28" s="28" t="str">
        <f t="shared" si="35"/>
        <v>H</v>
      </c>
      <c r="AP28" s="28" t="str">
        <f t="shared" si="35"/>
        <v>I</v>
      </c>
      <c r="AQ28" s="28" t="str">
        <f t="shared" si="35"/>
        <v>J</v>
      </c>
      <c r="AR28" s="28" t="str">
        <f t="shared" si="35"/>
        <v>K</v>
      </c>
      <c r="AS28" s="28" t="str">
        <f t="shared" si="35"/>
        <v>L</v>
      </c>
      <c r="AT28" s="28" t="str">
        <f t="shared" si="35"/>
        <v>M</v>
      </c>
      <c r="AU28" s="28" t="str">
        <f t="shared" si="35"/>
        <v>N</v>
      </c>
      <c r="AV28" s="28" t="str">
        <f t="shared" si="35"/>
        <v>O</v>
      </c>
      <c r="AW28" s="28" t="str">
        <f t="shared" si="35"/>
        <v>P</v>
      </c>
      <c r="AX28" s="28" t="str">
        <f t="shared" si="35"/>
        <v>Q</v>
      </c>
      <c r="AY28" s="28" t="str">
        <f t="shared" si="35"/>
        <v>R</v>
      </c>
      <c r="AZ28" s="28" t="str">
        <f t="shared" si="35"/>
        <v>S</v>
      </c>
      <c r="BA28" s="28" t="str">
        <f t="shared" si="35"/>
        <v>T</v>
      </c>
      <c r="BB28" s="28" t="str">
        <f t="shared" si="35"/>
        <v>U</v>
      </c>
      <c r="BC28" s="28" t="str">
        <f t="shared" si="35"/>
        <v>V</v>
      </c>
      <c r="BD28" s="28" t="str">
        <f t="shared" si="35"/>
        <v>W</v>
      </c>
      <c r="BE28" s="28" t="str">
        <f t="shared" si="35"/>
        <v>X</v>
      </c>
      <c r="BF28" s="28" t="str">
        <f t="shared" si="35"/>
        <v>Y</v>
      </c>
      <c r="BG28" s="28" t="str">
        <f t="shared" si="35"/>
        <v>Z</v>
      </c>
    </row>
    <row r="29" spans="1:59" x14ac:dyDescent="0.35">
      <c r="B29" s="22"/>
      <c r="C29" s="8"/>
      <c r="E29" t="s">
        <v>387</v>
      </c>
      <c r="F29" s="15" t="str">
        <f t="shared" ref="F29:AE29" si="36">IF(F26=1,VLOOKUP(nRotorL_Rev&amp;F28,nRotorRev,4,FALSE),"")</f>
        <v>A</v>
      </c>
      <c r="G29" s="15" t="str">
        <f t="shared" si="36"/>
        <v>D</v>
      </c>
      <c r="H29" s="15" t="str">
        <f t="shared" si="36"/>
        <v>F</v>
      </c>
      <c r="I29" s="15" t="str">
        <f t="shared" si="36"/>
        <v>P</v>
      </c>
      <c r="J29" s="15" t="str">
        <f t="shared" si="36"/>
        <v>V</v>
      </c>
      <c r="K29" s="15" t="str">
        <f t="shared" si="36"/>
        <v>Z</v>
      </c>
      <c r="L29" s="15" t="str">
        <f t="shared" si="36"/>
        <v>B</v>
      </c>
      <c r="M29" s="15" t="str">
        <f t="shared" si="36"/>
        <v>E</v>
      </c>
      <c r="N29" s="15" t="str">
        <f t="shared" si="36"/>
        <v>C</v>
      </c>
      <c r="O29" s="15" t="str">
        <f t="shared" si="36"/>
        <v>K</v>
      </c>
      <c r="P29" s="15" t="str">
        <f t="shared" si="36"/>
        <v>M</v>
      </c>
      <c r="Q29" s="15" t="str">
        <f t="shared" si="36"/>
        <v>T</v>
      </c>
      <c r="R29" s="15" t="str">
        <f t="shared" si="36"/>
        <v>H</v>
      </c>
      <c r="S29" s="15" t="str">
        <f t="shared" si="36"/>
        <v>X</v>
      </c>
      <c r="T29" s="15" t="str">
        <f t="shared" si="36"/>
        <v>S</v>
      </c>
      <c r="U29" s="15" t="str">
        <f t="shared" si="36"/>
        <v>L</v>
      </c>
      <c r="V29" s="15" t="str">
        <f t="shared" si="36"/>
        <v>R</v>
      </c>
      <c r="W29" s="15" t="str">
        <f t="shared" si="36"/>
        <v>I</v>
      </c>
      <c r="X29" s="15" t="str">
        <f t="shared" si="36"/>
        <v>N</v>
      </c>
      <c r="Y29" s="15" t="str">
        <f t="shared" si="36"/>
        <v>Q</v>
      </c>
      <c r="Z29" s="15" t="str">
        <f t="shared" si="36"/>
        <v>O</v>
      </c>
      <c r="AA29" s="15" t="str">
        <f t="shared" si="36"/>
        <v>J</v>
      </c>
      <c r="AB29" s="15" t="str">
        <f t="shared" si="36"/>
        <v>U</v>
      </c>
      <c r="AC29" s="15" t="str">
        <f t="shared" si="36"/>
        <v>W</v>
      </c>
      <c r="AD29" s="15" t="str">
        <f t="shared" si="36"/>
        <v>Y</v>
      </c>
      <c r="AE29" s="15" t="str">
        <f t="shared" si="36"/>
        <v>G</v>
      </c>
      <c r="AF29" s="10"/>
      <c r="AH29" s="28" t="str">
        <f t="shared" ref="AH29:BG29" si="37">IF(LEN(AH30)=2,RIGHT(AH30,1),"")</f>
        <v>W</v>
      </c>
      <c r="AI29" s="28" t="str">
        <f t="shared" si="37"/>
        <v>Z</v>
      </c>
      <c r="AJ29" s="28" t="str">
        <f t="shared" si="37"/>
        <v>B</v>
      </c>
      <c r="AK29" s="28" t="str">
        <f t="shared" si="37"/>
        <v>L</v>
      </c>
      <c r="AL29" s="28" t="str">
        <f t="shared" si="37"/>
        <v>R</v>
      </c>
      <c r="AM29" s="28" t="str">
        <f t="shared" si="37"/>
        <v>V</v>
      </c>
      <c r="AN29" s="28" t="str">
        <f t="shared" si="37"/>
        <v>X</v>
      </c>
      <c r="AO29" s="28" t="str">
        <f t="shared" si="37"/>
        <v>A</v>
      </c>
      <c r="AP29" s="28" t="str">
        <f t="shared" si="37"/>
        <v>Y</v>
      </c>
      <c r="AQ29" s="28" t="str">
        <f t="shared" si="37"/>
        <v>G</v>
      </c>
      <c r="AR29" s="28" t="str">
        <f t="shared" si="37"/>
        <v>I</v>
      </c>
      <c r="AS29" s="28" t="str">
        <f t="shared" si="37"/>
        <v>P</v>
      </c>
      <c r="AT29" s="28" t="str">
        <f t="shared" si="37"/>
        <v>D</v>
      </c>
      <c r="AU29" s="28" t="str">
        <f t="shared" si="37"/>
        <v>T</v>
      </c>
      <c r="AV29" s="28" t="str">
        <f t="shared" si="37"/>
        <v>O</v>
      </c>
      <c r="AW29" s="28" t="str">
        <f t="shared" si="37"/>
        <v>H</v>
      </c>
      <c r="AX29" s="28" t="str">
        <f t="shared" si="37"/>
        <v>N</v>
      </c>
      <c r="AY29" s="28" t="str">
        <f t="shared" si="37"/>
        <v>E</v>
      </c>
      <c r="AZ29" s="28" t="str">
        <f t="shared" si="37"/>
        <v>J</v>
      </c>
      <c r="BA29" s="28" t="str">
        <f t="shared" si="37"/>
        <v>M</v>
      </c>
      <c r="BB29" s="28" t="str">
        <f t="shared" si="37"/>
        <v>K</v>
      </c>
      <c r="BC29" s="28" t="str">
        <f t="shared" si="37"/>
        <v>F</v>
      </c>
      <c r="BD29" s="28" t="str">
        <f t="shared" si="37"/>
        <v>Q</v>
      </c>
      <c r="BE29" s="28" t="str">
        <f t="shared" si="37"/>
        <v>S</v>
      </c>
      <c r="BF29" s="28" t="str">
        <f t="shared" si="37"/>
        <v>U</v>
      </c>
      <c r="BG29" s="28" t="str">
        <f t="shared" si="37"/>
        <v>C</v>
      </c>
    </row>
    <row r="30" spans="1:59" ht="15" thickBot="1" x14ac:dyDescent="0.4">
      <c r="B30" s="23"/>
      <c r="C30" s="16"/>
      <c r="D30" s="17"/>
      <c r="E30" s="17" t="s">
        <v>388</v>
      </c>
      <c r="F30" s="18" t="str">
        <f t="shared" ref="F30:AE30" si="38">IF(F26=1,IF(CODE(F29)-CODE(F28)&lt;0,VLOOKUP((CODE(F29)-CODE(F28)+26)+(CODE(F25)-nCharOffset),nNum2Let,2,FALSE),VLOOKUP((CODE(F29)-CODE(F28))+(CODE(F25)-nCharOffset),nNum2Let,2,FALSE)),"")</f>
        <v>W</v>
      </c>
      <c r="G30" s="18" t="str">
        <f t="shared" si="38"/>
        <v>Z</v>
      </c>
      <c r="H30" s="18" t="str">
        <f t="shared" si="38"/>
        <v>B</v>
      </c>
      <c r="I30" s="18" t="str">
        <f t="shared" si="38"/>
        <v>L</v>
      </c>
      <c r="J30" s="18" t="str">
        <f t="shared" si="38"/>
        <v>R</v>
      </c>
      <c r="K30" s="18" t="str">
        <f t="shared" si="38"/>
        <v>V</v>
      </c>
      <c r="L30" s="18" t="str">
        <f t="shared" si="38"/>
        <v>X</v>
      </c>
      <c r="M30" s="18" t="str">
        <f t="shared" si="38"/>
        <v>A</v>
      </c>
      <c r="N30" s="18" t="str">
        <f t="shared" si="38"/>
        <v>Y</v>
      </c>
      <c r="O30" s="18" t="str">
        <f t="shared" si="38"/>
        <v>G</v>
      </c>
      <c r="P30" s="18" t="str">
        <f t="shared" si="38"/>
        <v>I</v>
      </c>
      <c r="Q30" s="18" t="str">
        <f t="shared" si="38"/>
        <v>P</v>
      </c>
      <c r="R30" s="18" t="str">
        <f t="shared" si="38"/>
        <v>D</v>
      </c>
      <c r="S30" s="18" t="str">
        <f t="shared" si="38"/>
        <v>T</v>
      </c>
      <c r="T30" s="18" t="str">
        <f t="shared" si="38"/>
        <v>O</v>
      </c>
      <c r="U30" s="18" t="str">
        <f t="shared" si="38"/>
        <v>H</v>
      </c>
      <c r="V30" s="18" t="str">
        <f t="shared" si="38"/>
        <v>N</v>
      </c>
      <c r="W30" s="18" t="str">
        <f t="shared" si="38"/>
        <v>E</v>
      </c>
      <c r="X30" s="18" t="str">
        <f t="shared" si="38"/>
        <v>J</v>
      </c>
      <c r="Y30" s="18" t="str">
        <f t="shared" si="38"/>
        <v>M</v>
      </c>
      <c r="Z30" s="18" t="str">
        <f t="shared" si="38"/>
        <v>K</v>
      </c>
      <c r="AA30" s="18" t="str">
        <f t="shared" si="38"/>
        <v>F</v>
      </c>
      <c r="AB30" s="18" t="str">
        <f t="shared" si="38"/>
        <v>Q</v>
      </c>
      <c r="AC30" s="18" t="str">
        <f t="shared" si="38"/>
        <v>S</v>
      </c>
      <c r="AD30" s="18" t="str">
        <f t="shared" si="38"/>
        <v>U</v>
      </c>
      <c r="AE30" s="18" t="str">
        <f t="shared" si="38"/>
        <v>C</v>
      </c>
      <c r="AF30" s="19" t="str">
        <f>CONCATENATE(F30,G30,H30,I30,J30,K30,L30,M30,N30,O30,P30,Q30,R30,S30,T30&amp;U30,V30,W30,X30,Y30,Z30,AA30,AB30,AC30,AD30,AE30)</f>
        <v>WZBLRVXAYGIPDTOHNEJMKFQSUC</v>
      </c>
      <c r="AH30" s="12" t="str">
        <f>F25&amp;F30</f>
        <v>AW</v>
      </c>
      <c r="AI30" s="12" t="str">
        <f t="shared" ref="AI30:BG30" si="39">G25&amp;G30</f>
        <v>BZ</v>
      </c>
      <c r="AJ30" s="12" t="str">
        <f t="shared" si="39"/>
        <v>CB</v>
      </c>
      <c r="AK30" s="12" t="str">
        <f t="shared" si="39"/>
        <v>DL</v>
      </c>
      <c r="AL30" s="12" t="str">
        <f t="shared" si="39"/>
        <v>ER</v>
      </c>
      <c r="AM30" s="12" t="str">
        <f t="shared" si="39"/>
        <v>FV</v>
      </c>
      <c r="AN30" s="12" t="str">
        <f t="shared" si="39"/>
        <v>GX</v>
      </c>
      <c r="AO30" s="12" t="str">
        <f t="shared" si="39"/>
        <v>HA</v>
      </c>
      <c r="AP30" s="12" t="str">
        <f t="shared" si="39"/>
        <v>IY</v>
      </c>
      <c r="AQ30" s="12" t="str">
        <f t="shared" si="39"/>
        <v>JG</v>
      </c>
      <c r="AR30" s="12" t="str">
        <f t="shared" si="39"/>
        <v>KI</v>
      </c>
      <c r="AS30" s="12" t="str">
        <f t="shared" si="39"/>
        <v>LP</v>
      </c>
      <c r="AT30" s="12" t="str">
        <f t="shared" si="39"/>
        <v>MD</v>
      </c>
      <c r="AU30" s="12" t="str">
        <f t="shared" si="39"/>
        <v>NT</v>
      </c>
      <c r="AV30" s="12" t="str">
        <f t="shared" si="39"/>
        <v>OO</v>
      </c>
      <c r="AW30" s="12" t="str">
        <f t="shared" si="39"/>
        <v>PH</v>
      </c>
      <c r="AX30" s="12" t="str">
        <f t="shared" si="39"/>
        <v>QN</v>
      </c>
      <c r="AY30" s="12" t="str">
        <f t="shared" si="39"/>
        <v>RE</v>
      </c>
      <c r="AZ30" s="12" t="str">
        <f t="shared" si="39"/>
        <v>SJ</v>
      </c>
      <c r="BA30" s="12" t="str">
        <f t="shared" si="39"/>
        <v>TM</v>
      </c>
      <c r="BB30" s="12" t="str">
        <f t="shared" si="39"/>
        <v>UK</v>
      </c>
      <c r="BC30" s="12" t="str">
        <f t="shared" si="39"/>
        <v>VF</v>
      </c>
      <c r="BD30" s="12" t="str">
        <f t="shared" si="39"/>
        <v>WQ</v>
      </c>
      <c r="BE30" s="12" t="str">
        <f t="shared" si="39"/>
        <v>XS</v>
      </c>
      <c r="BF30" s="12" t="str">
        <f t="shared" si="39"/>
        <v>YU</v>
      </c>
      <c r="BG30" s="12" t="str">
        <f t="shared" si="39"/>
        <v>ZC</v>
      </c>
    </row>
    <row r="31" spans="1:59" x14ac:dyDescent="0.35">
      <c r="B31" s="21"/>
      <c r="C31" s="4"/>
      <c r="D31" s="5"/>
      <c r="E31" s="5" t="s">
        <v>385</v>
      </c>
      <c r="F31" s="6" t="s">
        <v>0</v>
      </c>
      <c r="G31" s="6" t="s">
        <v>1</v>
      </c>
      <c r="H31" s="6" t="s">
        <v>2</v>
      </c>
      <c r="I31" s="6" t="s">
        <v>3</v>
      </c>
      <c r="J31" s="6" t="s">
        <v>4</v>
      </c>
      <c r="K31" s="6" t="s">
        <v>5</v>
      </c>
      <c r="L31" s="6" t="s">
        <v>6</v>
      </c>
      <c r="M31" s="6" t="s">
        <v>7</v>
      </c>
      <c r="N31" s="6" t="s">
        <v>8</v>
      </c>
      <c r="O31" s="6" t="s">
        <v>9</v>
      </c>
      <c r="P31" s="6" t="s">
        <v>10</v>
      </c>
      <c r="Q31" s="6" t="s">
        <v>11</v>
      </c>
      <c r="R31" s="6" t="s">
        <v>12</v>
      </c>
      <c r="S31" s="6" t="s">
        <v>13</v>
      </c>
      <c r="T31" s="6" t="s">
        <v>14</v>
      </c>
      <c r="U31" s="6" t="s">
        <v>15</v>
      </c>
      <c r="V31" s="6" t="s">
        <v>16</v>
      </c>
      <c r="W31" s="6" t="s">
        <v>17</v>
      </c>
      <c r="X31" s="6" t="s">
        <v>18</v>
      </c>
      <c r="Y31" s="6" t="s">
        <v>19</v>
      </c>
      <c r="Z31" s="6" t="s">
        <v>20</v>
      </c>
      <c r="AA31" s="6" t="s">
        <v>21</v>
      </c>
      <c r="AB31" s="6" t="s">
        <v>22</v>
      </c>
      <c r="AC31" s="6" t="s">
        <v>23</v>
      </c>
      <c r="AD31" s="6" t="s">
        <v>24</v>
      </c>
      <c r="AE31" s="6" t="s">
        <v>25</v>
      </c>
      <c r="AF31" s="7"/>
      <c r="AH31" s="28" t="str">
        <f>HLOOKUP(AH23,$AH28:$BG29,2,FALSE)</f>
        <v>I</v>
      </c>
      <c r="AI31" s="28" t="str">
        <f>HLOOKUP(AI23,$AH28:$BG29,2,FALSE)</f>
        <v>J</v>
      </c>
      <c r="AJ31" s="28" t="str">
        <f t="shared" ref="AJ31:BG31" si="40">HLOOKUP(AJ23,$AH28:$BG29,2,FALSE)</f>
        <v>X</v>
      </c>
      <c r="AK31" s="28" t="str">
        <f t="shared" si="40"/>
        <v>Q</v>
      </c>
      <c r="AL31" s="28" t="str">
        <f t="shared" si="40"/>
        <v>T</v>
      </c>
      <c r="AM31" s="28" t="str">
        <f t="shared" si="40"/>
        <v>F</v>
      </c>
      <c r="AN31" s="28" t="str">
        <f t="shared" si="40"/>
        <v>L</v>
      </c>
      <c r="AO31" s="28" t="str">
        <f t="shared" si="40"/>
        <v>R</v>
      </c>
      <c r="AP31" s="28" t="str">
        <f t="shared" si="40"/>
        <v>A</v>
      </c>
      <c r="AQ31" s="28" t="str">
        <f t="shared" si="40"/>
        <v>E</v>
      </c>
      <c r="AR31" s="28" t="str">
        <f t="shared" si="40"/>
        <v>B</v>
      </c>
      <c r="AS31" s="28" t="str">
        <f t="shared" si="40"/>
        <v>K</v>
      </c>
      <c r="AT31" s="28" t="str">
        <f t="shared" si="40"/>
        <v>Z</v>
      </c>
      <c r="AU31" s="28" t="str">
        <f t="shared" si="40"/>
        <v>S</v>
      </c>
      <c r="AV31" s="28" t="str">
        <f t="shared" si="40"/>
        <v>O</v>
      </c>
      <c r="AW31" s="28" t="str">
        <f t="shared" si="40"/>
        <v>P</v>
      </c>
      <c r="AX31" s="28" t="str">
        <f t="shared" si="40"/>
        <v>C</v>
      </c>
      <c r="AY31" s="28" t="str">
        <f t="shared" si="40"/>
        <v>W</v>
      </c>
      <c r="AZ31" s="28" t="str">
        <f t="shared" si="40"/>
        <v>G</v>
      </c>
      <c r="BA31" s="28" t="str">
        <f t="shared" si="40"/>
        <v>D</v>
      </c>
      <c r="BB31" s="28" t="str">
        <f t="shared" si="40"/>
        <v>Y</v>
      </c>
      <c r="BC31" s="28" t="str">
        <f t="shared" si="40"/>
        <v>M</v>
      </c>
      <c r="BD31" s="28" t="str">
        <f t="shared" si="40"/>
        <v>U</v>
      </c>
      <c r="BE31" s="28" t="str">
        <f t="shared" si="40"/>
        <v>H</v>
      </c>
      <c r="BF31" s="28" t="str">
        <f t="shared" si="40"/>
        <v>N</v>
      </c>
      <c r="BG31" s="28" t="str">
        <f t="shared" si="40"/>
        <v>V</v>
      </c>
    </row>
    <row r="32" spans="1:59" x14ac:dyDescent="0.35">
      <c r="B32" s="22"/>
      <c r="C32" s="8"/>
      <c r="F32" s="1">
        <f>IF(ISERROR(FIND(F31,$AF30)),0,1)</f>
        <v>1</v>
      </c>
      <c r="G32" s="1">
        <f t="shared" ref="G32:AE32" si="41">IF(ISERROR(FIND(G31,$AF30)),0,1)</f>
        <v>1</v>
      </c>
      <c r="H32" s="1">
        <f t="shared" si="41"/>
        <v>1</v>
      </c>
      <c r="I32" s="1">
        <f t="shared" si="41"/>
        <v>1</v>
      </c>
      <c r="J32" s="1">
        <f t="shared" si="41"/>
        <v>1</v>
      </c>
      <c r="K32" s="1">
        <f t="shared" si="41"/>
        <v>1</v>
      </c>
      <c r="L32" s="1">
        <f t="shared" si="41"/>
        <v>1</v>
      </c>
      <c r="M32" s="1">
        <f t="shared" si="41"/>
        <v>1</v>
      </c>
      <c r="N32" s="1">
        <f t="shared" si="41"/>
        <v>1</v>
      </c>
      <c r="O32" s="1">
        <f t="shared" si="41"/>
        <v>1</v>
      </c>
      <c r="P32" s="1">
        <f t="shared" si="41"/>
        <v>1</v>
      </c>
      <c r="Q32" s="1">
        <f t="shared" si="41"/>
        <v>1</v>
      </c>
      <c r="R32" s="1">
        <f t="shared" si="41"/>
        <v>1</v>
      </c>
      <c r="S32" s="1">
        <f t="shared" si="41"/>
        <v>1</v>
      </c>
      <c r="T32" s="1">
        <f t="shared" si="41"/>
        <v>1</v>
      </c>
      <c r="U32" s="1">
        <f t="shared" si="41"/>
        <v>1</v>
      </c>
      <c r="V32" s="1">
        <f t="shared" si="41"/>
        <v>1</v>
      </c>
      <c r="W32" s="1">
        <f t="shared" si="41"/>
        <v>1</v>
      </c>
      <c r="X32" s="1">
        <f t="shared" si="41"/>
        <v>1</v>
      </c>
      <c r="Y32" s="1">
        <f t="shared" si="41"/>
        <v>1</v>
      </c>
      <c r="Z32" s="1">
        <f t="shared" si="41"/>
        <v>1</v>
      </c>
      <c r="AA32" s="1">
        <f t="shared" si="41"/>
        <v>1</v>
      </c>
      <c r="AB32" s="1">
        <f t="shared" si="41"/>
        <v>1</v>
      </c>
      <c r="AC32" s="1">
        <f t="shared" si="41"/>
        <v>1</v>
      </c>
      <c r="AD32" s="1">
        <f t="shared" si="41"/>
        <v>1</v>
      </c>
      <c r="AE32" s="1">
        <f t="shared" si="41"/>
        <v>1</v>
      </c>
      <c r="AF32" s="10"/>
    </row>
    <row r="33" spans="2:59" x14ac:dyDescent="0.35">
      <c r="B33" s="22" t="s">
        <v>383</v>
      </c>
      <c r="C33" s="26" t="str">
        <f>"R"&amp;C12</f>
        <v>R4</v>
      </c>
      <c r="D33" s="11">
        <f>D12</f>
        <v>142</v>
      </c>
      <c r="E33" s="11">
        <f>E12</f>
        <v>12</v>
      </c>
      <c r="F33" s="12" t="str">
        <f>F12</f>
        <v>L</v>
      </c>
      <c r="G33" s="13" t="str">
        <f t="shared" ref="G33:AE33" si="42">VLOOKUP(F33,nNextLetter,2,FALSE)</f>
        <v>M</v>
      </c>
      <c r="H33" s="13" t="str">
        <f t="shared" si="42"/>
        <v>N</v>
      </c>
      <c r="I33" s="13" t="str">
        <f t="shared" si="42"/>
        <v>O</v>
      </c>
      <c r="J33" s="13" t="str">
        <f t="shared" si="42"/>
        <v>P</v>
      </c>
      <c r="K33" s="13" t="str">
        <f t="shared" si="42"/>
        <v>Q</v>
      </c>
      <c r="L33" s="13" t="str">
        <f t="shared" si="42"/>
        <v>R</v>
      </c>
      <c r="M33" s="13" t="str">
        <f t="shared" si="42"/>
        <v>S</v>
      </c>
      <c r="N33" s="13" t="str">
        <f t="shared" si="42"/>
        <v>T</v>
      </c>
      <c r="O33" s="13" t="str">
        <f t="shared" si="42"/>
        <v>U</v>
      </c>
      <c r="P33" s="13" t="str">
        <f t="shared" si="42"/>
        <v>V</v>
      </c>
      <c r="Q33" s="13" t="str">
        <f t="shared" si="42"/>
        <v>W</v>
      </c>
      <c r="R33" s="13" t="str">
        <f t="shared" si="42"/>
        <v>X</v>
      </c>
      <c r="S33" s="13" t="str">
        <f t="shared" si="42"/>
        <v>Y</v>
      </c>
      <c r="T33" s="13" t="str">
        <f t="shared" si="42"/>
        <v>Z</v>
      </c>
      <c r="U33" s="13" t="str">
        <f t="shared" si="42"/>
        <v>A</v>
      </c>
      <c r="V33" s="13" t="str">
        <f t="shared" si="42"/>
        <v>B</v>
      </c>
      <c r="W33" s="13" t="str">
        <f t="shared" si="42"/>
        <v>C</v>
      </c>
      <c r="X33" s="13" t="str">
        <f t="shared" si="42"/>
        <v>D</v>
      </c>
      <c r="Y33" s="13" t="str">
        <f t="shared" si="42"/>
        <v>E</v>
      </c>
      <c r="Z33" s="13" t="str">
        <f t="shared" si="42"/>
        <v>F</v>
      </c>
      <c r="AA33" s="13" t="str">
        <f t="shared" si="42"/>
        <v>G</v>
      </c>
      <c r="AB33" s="13" t="str">
        <f t="shared" si="42"/>
        <v>H</v>
      </c>
      <c r="AC33" s="13" t="str">
        <f t="shared" si="42"/>
        <v>I</v>
      </c>
      <c r="AD33" s="13" t="str">
        <f t="shared" si="42"/>
        <v>J</v>
      </c>
      <c r="AE33" s="13" t="str">
        <f t="shared" si="42"/>
        <v>K</v>
      </c>
      <c r="AF33" s="10"/>
    </row>
    <row r="34" spans="2:59" x14ac:dyDescent="0.35">
      <c r="B34" s="22"/>
      <c r="C34" s="8"/>
      <c r="E34" t="s">
        <v>386</v>
      </c>
      <c r="F34" s="14" t="str">
        <f t="shared" ref="F34:AE34" si="43">IF(F32=1,VLOOKUP(nCurPosM+nRingOffsetM+(CODE(F31)-nCharOffset)-1,nNum2Let,2,FALSE),"")</f>
        <v>L</v>
      </c>
      <c r="G34" s="14" t="str">
        <f t="shared" si="43"/>
        <v>M</v>
      </c>
      <c r="H34" s="14" t="str">
        <f t="shared" si="43"/>
        <v>N</v>
      </c>
      <c r="I34" s="14" t="str">
        <f t="shared" si="43"/>
        <v>O</v>
      </c>
      <c r="J34" s="14" t="str">
        <f t="shared" si="43"/>
        <v>P</v>
      </c>
      <c r="K34" s="14" t="str">
        <f t="shared" si="43"/>
        <v>Q</v>
      </c>
      <c r="L34" s="14" t="str">
        <f t="shared" si="43"/>
        <v>R</v>
      </c>
      <c r="M34" s="14" t="str">
        <f t="shared" si="43"/>
        <v>S</v>
      </c>
      <c r="N34" s="14" t="str">
        <f t="shared" si="43"/>
        <v>T</v>
      </c>
      <c r="O34" s="14" t="str">
        <f t="shared" si="43"/>
        <v>U</v>
      </c>
      <c r="P34" s="14" t="str">
        <f t="shared" si="43"/>
        <v>V</v>
      </c>
      <c r="Q34" s="14" t="str">
        <f t="shared" si="43"/>
        <v>W</v>
      </c>
      <c r="R34" s="14" t="str">
        <f t="shared" si="43"/>
        <v>X</v>
      </c>
      <c r="S34" s="14" t="str">
        <f t="shared" si="43"/>
        <v>Y</v>
      </c>
      <c r="T34" s="14" t="str">
        <f t="shared" si="43"/>
        <v>Z</v>
      </c>
      <c r="U34" s="14" t="str">
        <f t="shared" si="43"/>
        <v>A</v>
      </c>
      <c r="V34" s="14" t="str">
        <f t="shared" si="43"/>
        <v>B</v>
      </c>
      <c r="W34" s="14" t="str">
        <f t="shared" si="43"/>
        <v>C</v>
      </c>
      <c r="X34" s="14" t="str">
        <f t="shared" si="43"/>
        <v>D</v>
      </c>
      <c r="Y34" s="14" t="str">
        <f t="shared" si="43"/>
        <v>E</v>
      </c>
      <c r="Z34" s="14" t="str">
        <f t="shared" si="43"/>
        <v>F</v>
      </c>
      <c r="AA34" s="14" t="str">
        <f t="shared" si="43"/>
        <v>G</v>
      </c>
      <c r="AB34" s="14" t="str">
        <f t="shared" si="43"/>
        <v>H</v>
      </c>
      <c r="AC34" s="14" t="str">
        <f t="shared" si="43"/>
        <v>I</v>
      </c>
      <c r="AD34" s="14" t="str">
        <f t="shared" si="43"/>
        <v>J</v>
      </c>
      <c r="AE34" s="14" t="str">
        <f t="shared" si="43"/>
        <v>K</v>
      </c>
      <c r="AF34" s="10"/>
      <c r="AH34" s="28" t="str">
        <f t="shared" ref="AH34:BG34" si="44">IF(LEN(AH36)=2,LEFT(AH36,1),"")</f>
        <v>A</v>
      </c>
      <c r="AI34" s="28" t="str">
        <f t="shared" si="44"/>
        <v>B</v>
      </c>
      <c r="AJ34" s="28" t="str">
        <f t="shared" si="44"/>
        <v>C</v>
      </c>
      <c r="AK34" s="28" t="str">
        <f t="shared" si="44"/>
        <v>D</v>
      </c>
      <c r="AL34" s="28" t="str">
        <f t="shared" si="44"/>
        <v>E</v>
      </c>
      <c r="AM34" s="28" t="str">
        <f t="shared" si="44"/>
        <v>F</v>
      </c>
      <c r="AN34" s="28" t="str">
        <f t="shared" si="44"/>
        <v>G</v>
      </c>
      <c r="AO34" s="28" t="str">
        <f t="shared" si="44"/>
        <v>H</v>
      </c>
      <c r="AP34" s="28" t="str">
        <f t="shared" si="44"/>
        <v>I</v>
      </c>
      <c r="AQ34" s="28" t="str">
        <f t="shared" si="44"/>
        <v>J</v>
      </c>
      <c r="AR34" s="28" t="str">
        <f t="shared" si="44"/>
        <v>K</v>
      </c>
      <c r="AS34" s="28" t="str">
        <f t="shared" si="44"/>
        <v>L</v>
      </c>
      <c r="AT34" s="28" t="str">
        <f t="shared" si="44"/>
        <v>M</v>
      </c>
      <c r="AU34" s="28" t="str">
        <f t="shared" si="44"/>
        <v>N</v>
      </c>
      <c r="AV34" s="28" t="str">
        <f t="shared" si="44"/>
        <v>O</v>
      </c>
      <c r="AW34" s="28" t="str">
        <f t="shared" si="44"/>
        <v>P</v>
      </c>
      <c r="AX34" s="28" t="str">
        <f t="shared" si="44"/>
        <v>Q</v>
      </c>
      <c r="AY34" s="28" t="str">
        <f t="shared" si="44"/>
        <v>R</v>
      </c>
      <c r="AZ34" s="28" t="str">
        <f t="shared" si="44"/>
        <v>S</v>
      </c>
      <c r="BA34" s="28" t="str">
        <f t="shared" si="44"/>
        <v>T</v>
      </c>
      <c r="BB34" s="28" t="str">
        <f t="shared" si="44"/>
        <v>U</v>
      </c>
      <c r="BC34" s="28" t="str">
        <f t="shared" si="44"/>
        <v>V</v>
      </c>
      <c r="BD34" s="28" t="str">
        <f t="shared" si="44"/>
        <v>W</v>
      </c>
      <c r="BE34" s="28" t="str">
        <f t="shared" si="44"/>
        <v>X</v>
      </c>
      <c r="BF34" s="28" t="str">
        <f t="shared" si="44"/>
        <v>Y</v>
      </c>
      <c r="BG34" s="28" t="str">
        <f t="shared" si="44"/>
        <v>Z</v>
      </c>
    </row>
    <row r="35" spans="2:59" x14ac:dyDescent="0.35">
      <c r="B35" s="22"/>
      <c r="C35" s="8"/>
      <c r="E35" t="s">
        <v>387</v>
      </c>
      <c r="F35" s="15" t="str">
        <f t="shared" ref="F35:AE35" si="45">IF(F32=1,VLOOKUP(nRotorM_Rev&amp;F34,nRotorRev,4,FALSE),"")</f>
        <v>P</v>
      </c>
      <c r="G35" s="15" t="str">
        <f t="shared" si="45"/>
        <v>X</v>
      </c>
      <c r="H35" s="15" t="str">
        <f t="shared" si="45"/>
        <v>Q</v>
      </c>
      <c r="I35" s="15" t="str">
        <f t="shared" si="45"/>
        <v>C</v>
      </c>
      <c r="J35" s="15" t="str">
        <f t="shared" si="45"/>
        <v>E</v>
      </c>
      <c r="K35" s="15" t="str">
        <f t="shared" si="45"/>
        <v>J</v>
      </c>
      <c r="L35" s="15" t="str">
        <f t="shared" si="45"/>
        <v>M</v>
      </c>
      <c r="M35" s="15" t="str">
        <f t="shared" si="45"/>
        <v>B</v>
      </c>
      <c r="N35" s="15" t="str">
        <f t="shared" si="45"/>
        <v>S</v>
      </c>
      <c r="O35" s="15" t="str">
        <f t="shared" si="45"/>
        <v>K</v>
      </c>
      <c r="P35" s="15" t="str">
        <f t="shared" si="45"/>
        <v>D</v>
      </c>
      <c r="Q35" s="15" t="str">
        <f t="shared" si="45"/>
        <v>Y</v>
      </c>
      <c r="R35" s="15" t="str">
        <f t="shared" si="45"/>
        <v>O</v>
      </c>
      <c r="S35" s="15" t="str">
        <f t="shared" si="45"/>
        <v>I</v>
      </c>
      <c r="T35" s="15" t="str">
        <f t="shared" si="45"/>
        <v>F</v>
      </c>
      <c r="U35" s="15" t="str">
        <f t="shared" si="45"/>
        <v>H</v>
      </c>
      <c r="V35" s="15" t="str">
        <f t="shared" si="45"/>
        <v>Z</v>
      </c>
      <c r="W35" s="15" t="str">
        <f t="shared" si="45"/>
        <v>W</v>
      </c>
      <c r="X35" s="15" t="str">
        <f t="shared" si="45"/>
        <v>V</v>
      </c>
      <c r="Y35" s="15" t="str">
        <f t="shared" si="45"/>
        <v>A</v>
      </c>
      <c r="Z35" s="15" t="str">
        <f t="shared" si="45"/>
        <v>R</v>
      </c>
      <c r="AA35" s="15" t="str">
        <f t="shared" si="45"/>
        <v>T</v>
      </c>
      <c r="AB35" s="15" t="str">
        <f t="shared" si="45"/>
        <v>N</v>
      </c>
      <c r="AC35" s="15" t="str">
        <f t="shared" si="45"/>
        <v>L</v>
      </c>
      <c r="AD35" s="15" t="str">
        <f t="shared" si="45"/>
        <v>G</v>
      </c>
      <c r="AE35" s="15" t="str">
        <f t="shared" si="45"/>
        <v>U</v>
      </c>
      <c r="AF35" s="10"/>
      <c r="AH35" s="28" t="str">
        <f t="shared" ref="AH35:BG35" si="46">IF(LEN(AH36)=2,RIGHT(AH36,1),"")</f>
        <v>E</v>
      </c>
      <c r="AI35" s="28" t="str">
        <f t="shared" si="46"/>
        <v>M</v>
      </c>
      <c r="AJ35" s="28" t="str">
        <f t="shared" si="46"/>
        <v>F</v>
      </c>
      <c r="AK35" s="28" t="str">
        <f t="shared" si="46"/>
        <v>R</v>
      </c>
      <c r="AL35" s="28" t="str">
        <f t="shared" si="46"/>
        <v>T</v>
      </c>
      <c r="AM35" s="28" t="str">
        <f t="shared" si="46"/>
        <v>Y</v>
      </c>
      <c r="AN35" s="28" t="str">
        <f t="shared" si="46"/>
        <v>B</v>
      </c>
      <c r="AO35" s="28" t="str">
        <f t="shared" si="46"/>
        <v>Q</v>
      </c>
      <c r="AP35" s="28" t="str">
        <f t="shared" si="46"/>
        <v>H</v>
      </c>
      <c r="AQ35" s="28" t="str">
        <f t="shared" si="46"/>
        <v>Z</v>
      </c>
      <c r="AR35" s="28" t="str">
        <f t="shared" si="46"/>
        <v>S</v>
      </c>
      <c r="AS35" s="28" t="str">
        <f t="shared" si="46"/>
        <v>N</v>
      </c>
      <c r="AT35" s="28" t="str">
        <f t="shared" si="46"/>
        <v>D</v>
      </c>
      <c r="AU35" s="28" t="str">
        <f t="shared" si="46"/>
        <v>X</v>
      </c>
      <c r="AV35" s="28" t="str">
        <f t="shared" si="46"/>
        <v>U</v>
      </c>
      <c r="AW35" s="28" t="str">
        <f t="shared" si="46"/>
        <v>W</v>
      </c>
      <c r="AX35" s="28" t="str">
        <f t="shared" si="46"/>
        <v>O</v>
      </c>
      <c r="AY35" s="28" t="str">
        <f t="shared" si="46"/>
        <v>L</v>
      </c>
      <c r="AZ35" s="28" t="str">
        <f t="shared" si="46"/>
        <v>K</v>
      </c>
      <c r="BA35" s="28" t="str">
        <f t="shared" si="46"/>
        <v>P</v>
      </c>
      <c r="BB35" s="28" t="str">
        <f t="shared" si="46"/>
        <v>G</v>
      </c>
      <c r="BC35" s="28" t="str">
        <f t="shared" si="46"/>
        <v>I</v>
      </c>
      <c r="BD35" s="28" t="str">
        <f t="shared" si="46"/>
        <v>C</v>
      </c>
      <c r="BE35" s="28" t="str">
        <f t="shared" si="46"/>
        <v>A</v>
      </c>
      <c r="BF35" s="28" t="str">
        <f t="shared" si="46"/>
        <v>V</v>
      </c>
      <c r="BG35" s="28" t="str">
        <f t="shared" si="46"/>
        <v>J</v>
      </c>
    </row>
    <row r="36" spans="2:59" ht="15" thickBot="1" x14ac:dyDescent="0.4">
      <c r="B36" s="23"/>
      <c r="C36" s="16"/>
      <c r="D36" s="17"/>
      <c r="E36" s="17" t="s">
        <v>388</v>
      </c>
      <c r="F36" s="18" t="str">
        <f t="shared" ref="F36:AE36" si="47">IF(F32=1,IF(CODE(F35)-CODE(F34)&lt;0,VLOOKUP((CODE(F35)-CODE(F34)+26)+(CODE(F31)-nCharOffset),nNum2Let,2,FALSE),VLOOKUP((CODE(F35)-CODE(F34))+(CODE(F31)-nCharOffset),nNum2Let,2,FALSE)),"")</f>
        <v>E</v>
      </c>
      <c r="G36" s="18" t="str">
        <f t="shared" si="47"/>
        <v>M</v>
      </c>
      <c r="H36" s="18" t="str">
        <f t="shared" si="47"/>
        <v>F</v>
      </c>
      <c r="I36" s="18" t="str">
        <f t="shared" si="47"/>
        <v>R</v>
      </c>
      <c r="J36" s="18" t="str">
        <f t="shared" si="47"/>
        <v>T</v>
      </c>
      <c r="K36" s="18" t="str">
        <f t="shared" si="47"/>
        <v>Y</v>
      </c>
      <c r="L36" s="18" t="str">
        <f t="shared" si="47"/>
        <v>B</v>
      </c>
      <c r="M36" s="18" t="str">
        <f t="shared" si="47"/>
        <v>Q</v>
      </c>
      <c r="N36" s="18" t="str">
        <f t="shared" si="47"/>
        <v>H</v>
      </c>
      <c r="O36" s="18" t="str">
        <f t="shared" si="47"/>
        <v>Z</v>
      </c>
      <c r="P36" s="18" t="str">
        <f t="shared" si="47"/>
        <v>S</v>
      </c>
      <c r="Q36" s="18" t="str">
        <f t="shared" si="47"/>
        <v>N</v>
      </c>
      <c r="R36" s="18" t="str">
        <f t="shared" si="47"/>
        <v>D</v>
      </c>
      <c r="S36" s="18" t="str">
        <f t="shared" si="47"/>
        <v>X</v>
      </c>
      <c r="T36" s="18" t="str">
        <f t="shared" si="47"/>
        <v>U</v>
      </c>
      <c r="U36" s="18" t="str">
        <f t="shared" si="47"/>
        <v>W</v>
      </c>
      <c r="V36" s="18" t="str">
        <f t="shared" si="47"/>
        <v>O</v>
      </c>
      <c r="W36" s="18" t="str">
        <f t="shared" si="47"/>
        <v>L</v>
      </c>
      <c r="X36" s="18" t="str">
        <f t="shared" si="47"/>
        <v>K</v>
      </c>
      <c r="Y36" s="18" t="str">
        <f t="shared" si="47"/>
        <v>P</v>
      </c>
      <c r="Z36" s="18" t="str">
        <f t="shared" si="47"/>
        <v>G</v>
      </c>
      <c r="AA36" s="18" t="str">
        <f t="shared" si="47"/>
        <v>I</v>
      </c>
      <c r="AB36" s="18" t="str">
        <f t="shared" si="47"/>
        <v>C</v>
      </c>
      <c r="AC36" s="18" t="str">
        <f t="shared" si="47"/>
        <v>A</v>
      </c>
      <c r="AD36" s="18" t="str">
        <f t="shared" si="47"/>
        <v>V</v>
      </c>
      <c r="AE36" s="18" t="str">
        <f t="shared" si="47"/>
        <v>J</v>
      </c>
      <c r="AF36" s="19" t="str">
        <f>CONCATENATE(F36,G36,H36,I36,J36,K36,L36,M36,N36,O36,P36,Q36,R36,S36,T36&amp;U36,V36,W36,X36,Y36,Z36,AA36,AB36,AC36,AD36,AE36)</f>
        <v>EMFRTYBQHZSNDXUWOLKPGICAVJ</v>
      </c>
      <c r="AH36" s="12" t="str">
        <f>F31&amp;F36</f>
        <v>AE</v>
      </c>
      <c r="AI36" s="12" t="str">
        <f t="shared" ref="AI36:BG36" si="48">G31&amp;G36</f>
        <v>BM</v>
      </c>
      <c r="AJ36" s="12" t="str">
        <f t="shared" si="48"/>
        <v>CF</v>
      </c>
      <c r="AK36" s="12" t="str">
        <f t="shared" si="48"/>
        <v>DR</v>
      </c>
      <c r="AL36" s="12" t="str">
        <f t="shared" si="48"/>
        <v>ET</v>
      </c>
      <c r="AM36" s="12" t="str">
        <f t="shared" si="48"/>
        <v>FY</v>
      </c>
      <c r="AN36" s="12" t="str">
        <f t="shared" si="48"/>
        <v>GB</v>
      </c>
      <c r="AO36" s="12" t="str">
        <f t="shared" si="48"/>
        <v>HQ</v>
      </c>
      <c r="AP36" s="12" t="str">
        <f t="shared" si="48"/>
        <v>IH</v>
      </c>
      <c r="AQ36" s="12" t="str">
        <f t="shared" si="48"/>
        <v>JZ</v>
      </c>
      <c r="AR36" s="12" t="str">
        <f t="shared" si="48"/>
        <v>KS</v>
      </c>
      <c r="AS36" s="12" t="str">
        <f t="shared" si="48"/>
        <v>LN</v>
      </c>
      <c r="AT36" s="12" t="str">
        <f t="shared" si="48"/>
        <v>MD</v>
      </c>
      <c r="AU36" s="12" t="str">
        <f t="shared" si="48"/>
        <v>NX</v>
      </c>
      <c r="AV36" s="12" t="str">
        <f t="shared" si="48"/>
        <v>OU</v>
      </c>
      <c r="AW36" s="12" t="str">
        <f t="shared" si="48"/>
        <v>PW</v>
      </c>
      <c r="AX36" s="12" t="str">
        <f t="shared" si="48"/>
        <v>QO</v>
      </c>
      <c r="AY36" s="12" t="str">
        <f t="shared" si="48"/>
        <v>RL</v>
      </c>
      <c r="AZ36" s="12" t="str">
        <f t="shared" si="48"/>
        <v>SK</v>
      </c>
      <c r="BA36" s="12" t="str">
        <f t="shared" si="48"/>
        <v>TP</v>
      </c>
      <c r="BB36" s="12" t="str">
        <f t="shared" si="48"/>
        <v>UG</v>
      </c>
      <c r="BC36" s="12" t="str">
        <f t="shared" si="48"/>
        <v>VI</v>
      </c>
      <c r="BD36" s="12" t="str">
        <f t="shared" si="48"/>
        <v>WC</v>
      </c>
      <c r="BE36" s="12" t="str">
        <f t="shared" si="48"/>
        <v>XA</v>
      </c>
      <c r="BF36" s="12" t="str">
        <f t="shared" si="48"/>
        <v>YV</v>
      </c>
      <c r="BG36" s="12" t="str">
        <f t="shared" si="48"/>
        <v>ZJ</v>
      </c>
    </row>
    <row r="37" spans="2:59" x14ac:dyDescent="0.35">
      <c r="B37" s="21"/>
      <c r="C37" s="4"/>
      <c r="D37" s="5"/>
      <c r="E37" s="5" t="s">
        <v>385</v>
      </c>
      <c r="F37" s="6" t="s">
        <v>0</v>
      </c>
      <c r="G37" s="6" t="s">
        <v>1</v>
      </c>
      <c r="H37" s="6" t="s">
        <v>2</v>
      </c>
      <c r="I37" s="6" t="s">
        <v>3</v>
      </c>
      <c r="J37" s="6" t="s">
        <v>4</v>
      </c>
      <c r="K37" s="6" t="s">
        <v>5</v>
      </c>
      <c r="L37" s="6" t="s">
        <v>6</v>
      </c>
      <c r="M37" s="6" t="s">
        <v>7</v>
      </c>
      <c r="N37" s="6" t="s">
        <v>8</v>
      </c>
      <c r="O37" s="6" t="s">
        <v>9</v>
      </c>
      <c r="P37" s="6" t="s">
        <v>10</v>
      </c>
      <c r="Q37" s="6" t="s">
        <v>11</v>
      </c>
      <c r="R37" s="6" t="s">
        <v>12</v>
      </c>
      <c r="S37" s="6" t="s">
        <v>13</v>
      </c>
      <c r="T37" s="6" t="s">
        <v>14</v>
      </c>
      <c r="U37" s="6" t="s">
        <v>15</v>
      </c>
      <c r="V37" s="6" t="s">
        <v>16</v>
      </c>
      <c r="W37" s="6" t="s">
        <v>17</v>
      </c>
      <c r="X37" s="6" t="s">
        <v>18</v>
      </c>
      <c r="Y37" s="6" t="s">
        <v>19</v>
      </c>
      <c r="Z37" s="6" t="s">
        <v>20</v>
      </c>
      <c r="AA37" s="6" t="s">
        <v>21</v>
      </c>
      <c r="AB37" s="6" t="s">
        <v>22</v>
      </c>
      <c r="AC37" s="6" t="s">
        <v>23</v>
      </c>
      <c r="AD37" s="6" t="s">
        <v>24</v>
      </c>
      <c r="AE37" s="6" t="s">
        <v>25</v>
      </c>
      <c r="AF37" s="20"/>
      <c r="AH37" s="28" t="str">
        <f>HLOOKUP(AH31,$AH34:$BG35,2,FALSE)</f>
        <v>H</v>
      </c>
      <c r="AI37" s="28" t="str">
        <f>HLOOKUP(AI31,$AH34:$BG35,2,FALSE)</f>
        <v>Z</v>
      </c>
      <c r="AJ37" s="28" t="str">
        <f>HLOOKUP(AJ31,$AH34:$BG35,2,FALSE)</f>
        <v>A</v>
      </c>
      <c r="AK37" s="28" t="str">
        <f t="shared" ref="AK37:BG37" si="49">HLOOKUP(AK31,$AH34:$BG35,2,FALSE)</f>
        <v>O</v>
      </c>
      <c r="AL37" s="28" t="str">
        <f t="shared" si="49"/>
        <v>P</v>
      </c>
      <c r="AM37" s="28" t="str">
        <f t="shared" si="49"/>
        <v>Y</v>
      </c>
      <c r="AN37" s="28" t="str">
        <f t="shared" si="49"/>
        <v>N</v>
      </c>
      <c r="AO37" s="28" t="str">
        <f t="shared" si="49"/>
        <v>L</v>
      </c>
      <c r="AP37" s="28" t="str">
        <f t="shared" si="49"/>
        <v>E</v>
      </c>
      <c r="AQ37" s="28" t="str">
        <f t="shared" si="49"/>
        <v>T</v>
      </c>
      <c r="AR37" s="28" t="str">
        <f t="shared" si="49"/>
        <v>M</v>
      </c>
      <c r="AS37" s="28" t="str">
        <f t="shared" si="49"/>
        <v>S</v>
      </c>
      <c r="AT37" s="28" t="str">
        <f t="shared" si="49"/>
        <v>J</v>
      </c>
      <c r="AU37" s="28" t="str">
        <f t="shared" si="49"/>
        <v>K</v>
      </c>
      <c r="AV37" s="28" t="str">
        <f t="shared" si="49"/>
        <v>U</v>
      </c>
      <c r="AW37" s="28" t="str">
        <f t="shared" si="49"/>
        <v>W</v>
      </c>
      <c r="AX37" s="28" t="str">
        <f t="shared" si="49"/>
        <v>F</v>
      </c>
      <c r="AY37" s="28" t="str">
        <f t="shared" si="49"/>
        <v>C</v>
      </c>
      <c r="AZ37" s="28" t="str">
        <f t="shared" si="49"/>
        <v>B</v>
      </c>
      <c r="BA37" s="28" t="str">
        <f t="shared" si="49"/>
        <v>R</v>
      </c>
      <c r="BB37" s="28" t="str">
        <f t="shared" si="49"/>
        <v>V</v>
      </c>
      <c r="BC37" s="28" t="str">
        <f t="shared" si="49"/>
        <v>D</v>
      </c>
      <c r="BD37" s="28" t="str">
        <f t="shared" si="49"/>
        <v>G</v>
      </c>
      <c r="BE37" s="28" t="str">
        <f t="shared" si="49"/>
        <v>Q</v>
      </c>
      <c r="BF37" s="28" t="str">
        <f t="shared" si="49"/>
        <v>X</v>
      </c>
      <c r="BG37" s="28" t="str">
        <f t="shared" si="49"/>
        <v>I</v>
      </c>
    </row>
    <row r="38" spans="2:59" x14ac:dyDescent="0.35">
      <c r="B38" s="22"/>
      <c r="C38" s="8"/>
      <c r="F38" s="1">
        <f t="shared" ref="F38:AE38" si="50">IF(ISERROR(FIND(F37,$AF36)),0,1)</f>
        <v>1</v>
      </c>
      <c r="G38" s="1">
        <f t="shared" si="50"/>
        <v>1</v>
      </c>
      <c r="H38" s="1">
        <f t="shared" si="50"/>
        <v>1</v>
      </c>
      <c r="I38" s="1">
        <f t="shared" si="50"/>
        <v>1</v>
      </c>
      <c r="J38" s="1">
        <f t="shared" si="50"/>
        <v>1</v>
      </c>
      <c r="K38" s="1">
        <f t="shared" si="50"/>
        <v>1</v>
      </c>
      <c r="L38" s="1">
        <f t="shared" si="50"/>
        <v>1</v>
      </c>
      <c r="M38" s="1">
        <f t="shared" si="50"/>
        <v>1</v>
      </c>
      <c r="N38" s="1">
        <f t="shared" si="50"/>
        <v>1</v>
      </c>
      <c r="O38" s="1">
        <f t="shared" si="50"/>
        <v>1</v>
      </c>
      <c r="P38" s="1">
        <f t="shared" si="50"/>
        <v>1</v>
      </c>
      <c r="Q38" s="1">
        <f t="shared" si="50"/>
        <v>1</v>
      </c>
      <c r="R38" s="1">
        <f t="shared" si="50"/>
        <v>1</v>
      </c>
      <c r="S38" s="1">
        <f t="shared" si="50"/>
        <v>1</v>
      </c>
      <c r="T38" s="1">
        <f t="shared" si="50"/>
        <v>1</v>
      </c>
      <c r="U38" s="1">
        <f t="shared" si="50"/>
        <v>1</v>
      </c>
      <c r="V38" s="1">
        <f t="shared" si="50"/>
        <v>1</v>
      </c>
      <c r="W38" s="1">
        <f t="shared" si="50"/>
        <v>1</v>
      </c>
      <c r="X38" s="1">
        <f t="shared" si="50"/>
        <v>1</v>
      </c>
      <c r="Y38" s="1">
        <f t="shared" si="50"/>
        <v>1</v>
      </c>
      <c r="Z38" s="1">
        <f t="shared" si="50"/>
        <v>1</v>
      </c>
      <c r="AA38" s="1">
        <f t="shared" si="50"/>
        <v>1</v>
      </c>
      <c r="AB38" s="1">
        <f t="shared" si="50"/>
        <v>1</v>
      </c>
      <c r="AC38" s="1">
        <f t="shared" si="50"/>
        <v>1</v>
      </c>
      <c r="AD38" s="1">
        <f t="shared" si="50"/>
        <v>1</v>
      </c>
      <c r="AE38" s="1">
        <f t="shared" si="50"/>
        <v>1</v>
      </c>
      <c r="AF38" s="10"/>
    </row>
    <row r="39" spans="2:59" x14ac:dyDescent="0.35">
      <c r="B39" s="22" t="s">
        <v>384</v>
      </c>
      <c r="C39" s="26" t="str">
        <f>"R"&amp;C6</f>
        <v>R2</v>
      </c>
      <c r="D39" s="11">
        <f>D6</f>
        <v>3710</v>
      </c>
      <c r="E39" s="11">
        <f>E6</f>
        <v>18</v>
      </c>
      <c r="F39" s="12" t="str">
        <f>F6</f>
        <v>R</v>
      </c>
      <c r="G39" s="13" t="str">
        <f t="shared" ref="G39:AE39" si="51">VLOOKUP(F39,nNextLetter,2,FALSE)</f>
        <v>S</v>
      </c>
      <c r="H39" s="13" t="str">
        <f t="shared" si="51"/>
        <v>T</v>
      </c>
      <c r="I39" s="13" t="str">
        <f t="shared" si="51"/>
        <v>U</v>
      </c>
      <c r="J39" s="13" t="str">
        <f t="shared" si="51"/>
        <v>V</v>
      </c>
      <c r="K39" s="13" t="str">
        <f t="shared" si="51"/>
        <v>W</v>
      </c>
      <c r="L39" s="13" t="str">
        <f t="shared" si="51"/>
        <v>X</v>
      </c>
      <c r="M39" s="13" t="str">
        <f t="shared" si="51"/>
        <v>Y</v>
      </c>
      <c r="N39" s="13" t="str">
        <f t="shared" si="51"/>
        <v>Z</v>
      </c>
      <c r="O39" s="13" t="str">
        <f t="shared" si="51"/>
        <v>A</v>
      </c>
      <c r="P39" s="13" t="str">
        <f t="shared" si="51"/>
        <v>B</v>
      </c>
      <c r="Q39" s="13" t="str">
        <f t="shared" si="51"/>
        <v>C</v>
      </c>
      <c r="R39" s="13" t="str">
        <f t="shared" si="51"/>
        <v>D</v>
      </c>
      <c r="S39" s="13" t="str">
        <f t="shared" si="51"/>
        <v>E</v>
      </c>
      <c r="T39" s="13" t="str">
        <f t="shared" si="51"/>
        <v>F</v>
      </c>
      <c r="U39" s="13" t="str">
        <f t="shared" si="51"/>
        <v>G</v>
      </c>
      <c r="V39" s="13" t="str">
        <f t="shared" si="51"/>
        <v>H</v>
      </c>
      <c r="W39" s="13" t="str">
        <f t="shared" si="51"/>
        <v>I</v>
      </c>
      <c r="X39" s="13" t="str">
        <f t="shared" si="51"/>
        <v>J</v>
      </c>
      <c r="Y39" s="13" t="str">
        <f t="shared" si="51"/>
        <v>K</v>
      </c>
      <c r="Z39" s="13" t="str">
        <f t="shared" si="51"/>
        <v>L</v>
      </c>
      <c r="AA39" s="13" t="str">
        <f t="shared" si="51"/>
        <v>M</v>
      </c>
      <c r="AB39" s="13" t="str">
        <f t="shared" si="51"/>
        <v>N</v>
      </c>
      <c r="AC39" s="13" t="str">
        <f t="shared" si="51"/>
        <v>O</v>
      </c>
      <c r="AD39" s="13" t="str">
        <f t="shared" si="51"/>
        <v>P</v>
      </c>
      <c r="AE39" s="13" t="str">
        <f t="shared" si="51"/>
        <v>Q</v>
      </c>
      <c r="AF39" s="10"/>
    </row>
    <row r="40" spans="2:59" x14ac:dyDescent="0.35">
      <c r="B40" s="22"/>
      <c r="C40" s="8"/>
      <c r="E40" t="s">
        <v>386</v>
      </c>
      <c r="F40" s="14" t="str">
        <f t="shared" ref="F40:AE40" si="52">IF(F38=1,VLOOKUP(nCurPosR+nRingOffsetR+(CODE(F37)-nCharOffset)-1,nNum2Let,2,FALSE),"")</f>
        <v>R</v>
      </c>
      <c r="G40" s="14" t="str">
        <f t="shared" si="52"/>
        <v>S</v>
      </c>
      <c r="H40" s="14" t="str">
        <f t="shared" si="52"/>
        <v>T</v>
      </c>
      <c r="I40" s="14" t="str">
        <f t="shared" si="52"/>
        <v>U</v>
      </c>
      <c r="J40" s="14" t="str">
        <f t="shared" si="52"/>
        <v>V</v>
      </c>
      <c r="K40" s="14" t="str">
        <f t="shared" si="52"/>
        <v>W</v>
      </c>
      <c r="L40" s="14" t="str">
        <f t="shared" si="52"/>
        <v>X</v>
      </c>
      <c r="M40" s="14" t="str">
        <f t="shared" si="52"/>
        <v>Y</v>
      </c>
      <c r="N40" s="14" t="str">
        <f t="shared" si="52"/>
        <v>Z</v>
      </c>
      <c r="O40" s="14" t="str">
        <f t="shared" si="52"/>
        <v>A</v>
      </c>
      <c r="P40" s="14" t="str">
        <f t="shared" si="52"/>
        <v>B</v>
      </c>
      <c r="Q40" s="14" t="str">
        <f t="shared" si="52"/>
        <v>C</v>
      </c>
      <c r="R40" s="14" t="str">
        <f t="shared" si="52"/>
        <v>D</v>
      </c>
      <c r="S40" s="14" t="str">
        <f t="shared" si="52"/>
        <v>E</v>
      </c>
      <c r="T40" s="14" t="str">
        <f t="shared" si="52"/>
        <v>F</v>
      </c>
      <c r="U40" s="14" t="str">
        <f t="shared" si="52"/>
        <v>G</v>
      </c>
      <c r="V40" s="14" t="str">
        <f t="shared" si="52"/>
        <v>H</v>
      </c>
      <c r="W40" s="14" t="str">
        <f t="shared" si="52"/>
        <v>I</v>
      </c>
      <c r="X40" s="14" t="str">
        <f t="shared" si="52"/>
        <v>J</v>
      </c>
      <c r="Y40" s="14" t="str">
        <f t="shared" si="52"/>
        <v>K</v>
      </c>
      <c r="Z40" s="14" t="str">
        <f t="shared" si="52"/>
        <v>L</v>
      </c>
      <c r="AA40" s="14" t="str">
        <f t="shared" si="52"/>
        <v>M</v>
      </c>
      <c r="AB40" s="14" t="str">
        <f t="shared" si="52"/>
        <v>N</v>
      </c>
      <c r="AC40" s="14" t="str">
        <f t="shared" si="52"/>
        <v>O</v>
      </c>
      <c r="AD40" s="14" t="str">
        <f t="shared" si="52"/>
        <v>P</v>
      </c>
      <c r="AE40" s="14" t="str">
        <f t="shared" si="52"/>
        <v>Q</v>
      </c>
      <c r="AF40" s="10"/>
      <c r="AH40" s="28" t="str">
        <f t="shared" ref="AH40:BG40" si="53">IF(LEN(AH42)=2,LEFT(AH42,1),"")</f>
        <v>A</v>
      </c>
      <c r="AI40" s="28" t="str">
        <f t="shared" si="53"/>
        <v>B</v>
      </c>
      <c r="AJ40" s="28" t="str">
        <f t="shared" si="53"/>
        <v>C</v>
      </c>
      <c r="AK40" s="28" t="str">
        <f t="shared" si="53"/>
        <v>D</v>
      </c>
      <c r="AL40" s="28" t="str">
        <f t="shared" si="53"/>
        <v>E</v>
      </c>
      <c r="AM40" s="28" t="str">
        <f t="shared" si="53"/>
        <v>F</v>
      </c>
      <c r="AN40" s="28" t="str">
        <f t="shared" si="53"/>
        <v>G</v>
      </c>
      <c r="AO40" s="28" t="str">
        <f t="shared" si="53"/>
        <v>H</v>
      </c>
      <c r="AP40" s="28" t="str">
        <f t="shared" si="53"/>
        <v>I</v>
      </c>
      <c r="AQ40" s="28" t="str">
        <f t="shared" si="53"/>
        <v>J</v>
      </c>
      <c r="AR40" s="28" t="str">
        <f t="shared" si="53"/>
        <v>K</v>
      </c>
      <c r="AS40" s="28" t="str">
        <f t="shared" si="53"/>
        <v>L</v>
      </c>
      <c r="AT40" s="28" t="str">
        <f t="shared" si="53"/>
        <v>M</v>
      </c>
      <c r="AU40" s="28" t="str">
        <f t="shared" si="53"/>
        <v>N</v>
      </c>
      <c r="AV40" s="28" t="str">
        <f t="shared" si="53"/>
        <v>O</v>
      </c>
      <c r="AW40" s="28" t="str">
        <f t="shared" si="53"/>
        <v>P</v>
      </c>
      <c r="AX40" s="28" t="str">
        <f t="shared" si="53"/>
        <v>Q</v>
      </c>
      <c r="AY40" s="28" t="str">
        <f t="shared" si="53"/>
        <v>R</v>
      </c>
      <c r="AZ40" s="28" t="str">
        <f t="shared" si="53"/>
        <v>S</v>
      </c>
      <c r="BA40" s="28" t="str">
        <f t="shared" si="53"/>
        <v>T</v>
      </c>
      <c r="BB40" s="28" t="str">
        <f t="shared" si="53"/>
        <v>U</v>
      </c>
      <c r="BC40" s="28" t="str">
        <f t="shared" si="53"/>
        <v>V</v>
      </c>
      <c r="BD40" s="28" t="str">
        <f t="shared" si="53"/>
        <v>W</v>
      </c>
      <c r="BE40" s="28" t="str">
        <f t="shared" si="53"/>
        <v>X</v>
      </c>
      <c r="BF40" s="28" t="str">
        <f t="shared" si="53"/>
        <v>Y</v>
      </c>
      <c r="BG40" s="28" t="str">
        <f t="shared" si="53"/>
        <v>Z</v>
      </c>
    </row>
    <row r="41" spans="2:59" x14ac:dyDescent="0.35">
      <c r="B41" s="22"/>
      <c r="C41" s="8"/>
      <c r="E41" t="s">
        <v>387</v>
      </c>
      <c r="F41" s="15" t="str">
        <f t="shared" ref="F41:AE41" si="54">IF(F38=1,VLOOKUP(nRotorR_Rev&amp;F40,nRotorRev,4,FALSE),"")</f>
        <v>G</v>
      </c>
      <c r="G41" s="15" t="str">
        <f t="shared" si="54"/>
        <v>E</v>
      </c>
      <c r="H41" s="15" t="str">
        <f t="shared" si="54"/>
        <v>N</v>
      </c>
      <c r="I41" s="15" t="str">
        <f t="shared" si="54"/>
        <v>H</v>
      </c>
      <c r="J41" s="15" t="str">
        <f t="shared" si="54"/>
        <v>X</v>
      </c>
      <c r="K41" s="15" t="str">
        <f t="shared" si="54"/>
        <v>M</v>
      </c>
      <c r="L41" s="15" t="str">
        <f t="shared" si="54"/>
        <v>I</v>
      </c>
      <c r="M41" s="15" t="str">
        <f t="shared" si="54"/>
        <v>V</v>
      </c>
      <c r="N41" s="15" t="str">
        <f t="shared" si="54"/>
        <v>S</v>
      </c>
      <c r="O41" s="15" t="str">
        <f t="shared" si="54"/>
        <v>A</v>
      </c>
      <c r="P41" s="15" t="str">
        <f t="shared" si="54"/>
        <v>J</v>
      </c>
      <c r="Q41" s="15" t="str">
        <f t="shared" si="54"/>
        <v>P</v>
      </c>
      <c r="R41" s="15" t="str">
        <f t="shared" si="54"/>
        <v>C</v>
      </c>
      <c r="S41" s="15" t="str">
        <f t="shared" si="54"/>
        <v>Z</v>
      </c>
      <c r="T41" s="15" t="str">
        <f t="shared" si="54"/>
        <v>W</v>
      </c>
      <c r="U41" s="15" t="str">
        <f t="shared" si="54"/>
        <v>R</v>
      </c>
      <c r="V41" s="15" t="str">
        <f t="shared" si="54"/>
        <v>L</v>
      </c>
      <c r="W41" s="15" t="str">
        <f t="shared" si="54"/>
        <v>F</v>
      </c>
      <c r="X41" s="15" t="str">
        <f t="shared" si="54"/>
        <v>B</v>
      </c>
      <c r="Y41" s="15" t="str">
        <f t="shared" si="54"/>
        <v>D</v>
      </c>
      <c r="Z41" s="15" t="str">
        <f t="shared" si="54"/>
        <v>K</v>
      </c>
      <c r="AA41" s="15" t="str">
        <f t="shared" si="54"/>
        <v>O</v>
      </c>
      <c r="AB41" s="15" t="str">
        <f t="shared" si="54"/>
        <v>T</v>
      </c>
      <c r="AC41" s="15" t="str">
        <f t="shared" si="54"/>
        <v>Y</v>
      </c>
      <c r="AD41" s="15" t="str">
        <f t="shared" si="54"/>
        <v>U</v>
      </c>
      <c r="AE41" s="15" t="str">
        <f t="shared" si="54"/>
        <v>Q</v>
      </c>
      <c r="AF41" s="10"/>
      <c r="AH41" s="28" t="str">
        <f t="shared" ref="AH41:BG41" si="55">IF(LEN(AH42)=2,RIGHT(AH42,1),"")</f>
        <v>P</v>
      </c>
      <c r="AI41" s="28" t="str">
        <f t="shared" si="55"/>
        <v>N</v>
      </c>
      <c r="AJ41" s="28" t="str">
        <f t="shared" si="55"/>
        <v>W</v>
      </c>
      <c r="AK41" s="28" t="str">
        <f t="shared" si="55"/>
        <v>Q</v>
      </c>
      <c r="AL41" s="28" t="str">
        <f t="shared" si="55"/>
        <v>G</v>
      </c>
      <c r="AM41" s="28" t="str">
        <f t="shared" si="55"/>
        <v>V</v>
      </c>
      <c r="AN41" s="28" t="str">
        <f t="shared" si="55"/>
        <v>R</v>
      </c>
      <c r="AO41" s="28" t="str">
        <f t="shared" si="55"/>
        <v>E</v>
      </c>
      <c r="AP41" s="28" t="str">
        <f t="shared" si="55"/>
        <v>B</v>
      </c>
      <c r="AQ41" s="28" t="str">
        <f t="shared" si="55"/>
        <v>J</v>
      </c>
      <c r="AR41" s="28" t="str">
        <f t="shared" si="55"/>
        <v>S</v>
      </c>
      <c r="AS41" s="28" t="str">
        <f t="shared" si="55"/>
        <v>Y</v>
      </c>
      <c r="AT41" s="28" t="str">
        <f t="shared" si="55"/>
        <v>L</v>
      </c>
      <c r="AU41" s="28" t="str">
        <f t="shared" si="55"/>
        <v>I</v>
      </c>
      <c r="AV41" s="28" t="str">
        <f t="shared" si="55"/>
        <v>F</v>
      </c>
      <c r="AW41" s="28" t="str">
        <f t="shared" si="55"/>
        <v>A</v>
      </c>
      <c r="AX41" s="28" t="str">
        <f t="shared" si="55"/>
        <v>U</v>
      </c>
      <c r="AY41" s="28" t="str">
        <f t="shared" si="55"/>
        <v>O</v>
      </c>
      <c r="AZ41" s="28" t="str">
        <f t="shared" si="55"/>
        <v>K</v>
      </c>
      <c r="BA41" s="28" t="str">
        <f t="shared" si="55"/>
        <v>M</v>
      </c>
      <c r="BB41" s="28" t="str">
        <f t="shared" si="55"/>
        <v>T</v>
      </c>
      <c r="BC41" s="28" t="str">
        <f t="shared" si="55"/>
        <v>X</v>
      </c>
      <c r="BD41" s="28" t="str">
        <f t="shared" si="55"/>
        <v>C</v>
      </c>
      <c r="BE41" s="28" t="str">
        <f t="shared" si="55"/>
        <v>H</v>
      </c>
      <c r="BF41" s="28" t="str">
        <f t="shared" si="55"/>
        <v>D</v>
      </c>
      <c r="BG41" s="28" t="str">
        <f t="shared" si="55"/>
        <v>Z</v>
      </c>
    </row>
    <row r="42" spans="2:59" ht="15" thickBot="1" x14ac:dyDescent="0.4">
      <c r="B42" s="23"/>
      <c r="C42" s="16"/>
      <c r="D42" s="17"/>
      <c r="E42" s="17" t="s">
        <v>388</v>
      </c>
      <c r="F42" s="18" t="str">
        <f t="shared" ref="F42:AE42" si="56">IF(F38=1,IF(CODE(F41)-CODE(F40)&lt;0,VLOOKUP((CODE(F41)-CODE(F40)+26)+(CODE(F37)-nCharOffset),nNum2Let,2,FALSE),VLOOKUP((CODE(F41)-CODE(F40))+(CODE(F37)-nCharOffset),nNum2Let,2,FALSE)),"")</f>
        <v>P</v>
      </c>
      <c r="G42" s="18" t="str">
        <f t="shared" si="56"/>
        <v>N</v>
      </c>
      <c r="H42" s="18" t="str">
        <f t="shared" si="56"/>
        <v>W</v>
      </c>
      <c r="I42" s="18" t="str">
        <f t="shared" si="56"/>
        <v>Q</v>
      </c>
      <c r="J42" s="18" t="str">
        <f t="shared" si="56"/>
        <v>G</v>
      </c>
      <c r="K42" s="18" t="str">
        <f t="shared" si="56"/>
        <v>V</v>
      </c>
      <c r="L42" s="18" t="str">
        <f t="shared" si="56"/>
        <v>R</v>
      </c>
      <c r="M42" s="18" t="str">
        <f t="shared" si="56"/>
        <v>E</v>
      </c>
      <c r="N42" s="18" t="str">
        <f t="shared" si="56"/>
        <v>B</v>
      </c>
      <c r="O42" s="18" t="str">
        <f t="shared" si="56"/>
        <v>J</v>
      </c>
      <c r="P42" s="18" t="str">
        <f t="shared" si="56"/>
        <v>S</v>
      </c>
      <c r="Q42" s="18" t="str">
        <f t="shared" si="56"/>
        <v>Y</v>
      </c>
      <c r="R42" s="18" t="str">
        <f t="shared" si="56"/>
        <v>L</v>
      </c>
      <c r="S42" s="18" t="str">
        <f t="shared" si="56"/>
        <v>I</v>
      </c>
      <c r="T42" s="18" t="str">
        <f t="shared" si="56"/>
        <v>F</v>
      </c>
      <c r="U42" s="18" t="str">
        <f t="shared" si="56"/>
        <v>A</v>
      </c>
      <c r="V42" s="18" t="str">
        <f t="shared" si="56"/>
        <v>U</v>
      </c>
      <c r="W42" s="18" t="str">
        <f t="shared" si="56"/>
        <v>O</v>
      </c>
      <c r="X42" s="18" t="str">
        <f t="shared" si="56"/>
        <v>K</v>
      </c>
      <c r="Y42" s="18" t="str">
        <f t="shared" si="56"/>
        <v>M</v>
      </c>
      <c r="Z42" s="18" t="str">
        <f t="shared" si="56"/>
        <v>T</v>
      </c>
      <c r="AA42" s="18" t="str">
        <f t="shared" si="56"/>
        <v>X</v>
      </c>
      <c r="AB42" s="18" t="str">
        <f t="shared" si="56"/>
        <v>C</v>
      </c>
      <c r="AC42" s="18" t="str">
        <f t="shared" si="56"/>
        <v>H</v>
      </c>
      <c r="AD42" s="18" t="str">
        <f t="shared" si="56"/>
        <v>D</v>
      </c>
      <c r="AE42" s="18" t="str">
        <f t="shared" si="56"/>
        <v>Z</v>
      </c>
      <c r="AF42" s="19" t="str">
        <f>CONCATENATE(F42,G42,H42,I42,J42,K42,L42,M42,N42,O42,P42,Q42,R42,S42,T42&amp;U42,V42,W42,X42,Y42,Z42,AA42,AB42,AC42,AD42,AE42)</f>
        <v>PNWQGVREBJSYLIFAUOKMTXCHDZ</v>
      </c>
      <c r="AH42" s="12" t="str">
        <f>F37&amp;F42</f>
        <v>AP</v>
      </c>
      <c r="AI42" s="12" t="str">
        <f t="shared" ref="AI42:BG42" si="57">G37&amp;G42</f>
        <v>BN</v>
      </c>
      <c r="AJ42" s="12" t="str">
        <f t="shared" si="57"/>
        <v>CW</v>
      </c>
      <c r="AK42" s="12" t="str">
        <f t="shared" si="57"/>
        <v>DQ</v>
      </c>
      <c r="AL42" s="12" t="str">
        <f t="shared" si="57"/>
        <v>EG</v>
      </c>
      <c r="AM42" s="12" t="str">
        <f t="shared" si="57"/>
        <v>FV</v>
      </c>
      <c r="AN42" s="12" t="str">
        <f t="shared" si="57"/>
        <v>GR</v>
      </c>
      <c r="AO42" s="12" t="str">
        <f t="shared" si="57"/>
        <v>HE</v>
      </c>
      <c r="AP42" s="12" t="str">
        <f t="shared" si="57"/>
        <v>IB</v>
      </c>
      <c r="AQ42" s="12" t="str">
        <f t="shared" si="57"/>
        <v>JJ</v>
      </c>
      <c r="AR42" s="12" t="str">
        <f t="shared" si="57"/>
        <v>KS</v>
      </c>
      <c r="AS42" s="12" t="str">
        <f t="shared" si="57"/>
        <v>LY</v>
      </c>
      <c r="AT42" s="12" t="str">
        <f t="shared" si="57"/>
        <v>ML</v>
      </c>
      <c r="AU42" s="12" t="str">
        <f t="shared" si="57"/>
        <v>NI</v>
      </c>
      <c r="AV42" s="12" t="str">
        <f t="shared" si="57"/>
        <v>OF</v>
      </c>
      <c r="AW42" s="12" t="str">
        <f t="shared" si="57"/>
        <v>PA</v>
      </c>
      <c r="AX42" s="12" t="str">
        <f t="shared" si="57"/>
        <v>QU</v>
      </c>
      <c r="AY42" s="12" t="str">
        <f t="shared" si="57"/>
        <v>RO</v>
      </c>
      <c r="AZ42" s="12" t="str">
        <f t="shared" si="57"/>
        <v>SK</v>
      </c>
      <c r="BA42" s="12" t="str">
        <f t="shared" si="57"/>
        <v>TM</v>
      </c>
      <c r="BB42" s="12" t="str">
        <f t="shared" si="57"/>
        <v>UT</v>
      </c>
      <c r="BC42" s="12" t="str">
        <f t="shared" si="57"/>
        <v>VX</v>
      </c>
      <c r="BD42" s="12" t="str">
        <f t="shared" si="57"/>
        <v>WC</v>
      </c>
      <c r="BE42" s="12" t="str">
        <f t="shared" si="57"/>
        <v>XH</v>
      </c>
      <c r="BF42" s="12" t="str">
        <f t="shared" si="57"/>
        <v>YD</v>
      </c>
      <c r="BG42" s="12" t="str">
        <f t="shared" si="57"/>
        <v>ZZ</v>
      </c>
    </row>
    <row r="43" spans="2:59" x14ac:dyDescent="0.35">
      <c r="F43" s="3" t="s">
        <v>0</v>
      </c>
      <c r="G43" s="3" t="s">
        <v>1</v>
      </c>
      <c r="H43" s="3" t="s">
        <v>2</v>
      </c>
      <c r="I43" s="3" t="s">
        <v>3</v>
      </c>
      <c r="J43" s="3" t="s">
        <v>4</v>
      </c>
      <c r="K43" s="3" t="s">
        <v>5</v>
      </c>
      <c r="L43" s="3" t="s">
        <v>6</v>
      </c>
      <c r="M43" s="3" t="s">
        <v>7</v>
      </c>
      <c r="N43" s="3" t="s">
        <v>8</v>
      </c>
      <c r="O43" s="3" t="s">
        <v>9</v>
      </c>
      <c r="P43" s="3" t="s">
        <v>10</v>
      </c>
      <c r="Q43" s="3" t="s">
        <v>11</v>
      </c>
      <c r="R43" s="3" t="s">
        <v>12</v>
      </c>
      <c r="S43" s="3" t="s">
        <v>13</v>
      </c>
      <c r="T43" s="3" t="s">
        <v>14</v>
      </c>
      <c r="U43" s="3" t="s">
        <v>15</v>
      </c>
      <c r="V43" s="3" t="s">
        <v>16</v>
      </c>
      <c r="W43" s="3" t="s">
        <v>17</v>
      </c>
      <c r="X43" s="3" t="s">
        <v>18</v>
      </c>
      <c r="Y43" s="3" t="s">
        <v>19</v>
      </c>
      <c r="Z43" s="3" t="s">
        <v>20</v>
      </c>
      <c r="AA43" s="3" t="s">
        <v>21</v>
      </c>
      <c r="AB43" s="3" t="s">
        <v>22</v>
      </c>
      <c r="AC43" s="3" t="s">
        <v>23</v>
      </c>
      <c r="AD43" s="3" t="s">
        <v>24</v>
      </c>
      <c r="AE43" s="3" t="s">
        <v>25</v>
      </c>
      <c r="AH43" s="42" t="str">
        <f>HLOOKUP(AH37,$AH40:$BG41,2,FALSE)</f>
        <v>E</v>
      </c>
      <c r="AI43" s="42" t="str">
        <f>HLOOKUP(AI37,$AH40:$BG41,2,FALSE)</f>
        <v>Z</v>
      </c>
      <c r="AJ43" s="42" t="str">
        <f t="shared" ref="AJ43:BG43" si="58">HLOOKUP(AJ37,$AH40:$BG41,2,FALSE)</f>
        <v>P</v>
      </c>
      <c r="AK43" s="42" t="str">
        <f t="shared" si="58"/>
        <v>F</v>
      </c>
      <c r="AL43" s="42" t="str">
        <f t="shared" si="58"/>
        <v>A</v>
      </c>
      <c r="AM43" s="42" t="str">
        <f t="shared" si="58"/>
        <v>D</v>
      </c>
      <c r="AN43" s="42" t="str">
        <f t="shared" si="58"/>
        <v>I</v>
      </c>
      <c r="AO43" s="42" t="str">
        <f t="shared" si="58"/>
        <v>Y</v>
      </c>
      <c r="AP43" s="42" t="str">
        <f t="shared" si="58"/>
        <v>G</v>
      </c>
      <c r="AQ43" s="42" t="str">
        <f t="shared" si="58"/>
        <v>M</v>
      </c>
      <c r="AR43" s="42" t="str">
        <f t="shared" si="58"/>
        <v>L</v>
      </c>
      <c r="AS43" s="42" t="str">
        <f t="shared" si="58"/>
        <v>K</v>
      </c>
      <c r="AT43" s="42" t="str">
        <f t="shared" si="58"/>
        <v>J</v>
      </c>
      <c r="AU43" s="42" t="str">
        <f t="shared" si="58"/>
        <v>S</v>
      </c>
      <c r="AV43" s="42" t="str">
        <f t="shared" si="58"/>
        <v>T</v>
      </c>
      <c r="AW43" s="42" t="str">
        <f t="shared" si="58"/>
        <v>C</v>
      </c>
      <c r="AX43" s="42" t="str">
        <f t="shared" si="58"/>
        <v>V</v>
      </c>
      <c r="AY43" s="42" t="str">
        <f t="shared" si="58"/>
        <v>W</v>
      </c>
      <c r="AZ43" s="42" t="str">
        <f t="shared" si="58"/>
        <v>N</v>
      </c>
      <c r="BA43" s="42" t="str">
        <f t="shared" si="58"/>
        <v>O</v>
      </c>
      <c r="BB43" s="42" t="str">
        <f t="shared" si="58"/>
        <v>X</v>
      </c>
      <c r="BC43" s="42" t="str">
        <f t="shared" si="58"/>
        <v>Q</v>
      </c>
      <c r="BD43" s="42" t="str">
        <f t="shared" si="58"/>
        <v>R</v>
      </c>
      <c r="BE43" s="42" t="str">
        <f t="shared" si="58"/>
        <v>U</v>
      </c>
      <c r="BF43" s="42" t="str">
        <f t="shared" si="58"/>
        <v>H</v>
      </c>
      <c r="BG43" s="42" t="str">
        <f t="shared" si="58"/>
        <v>B</v>
      </c>
    </row>
    <row r="44" spans="2:59" x14ac:dyDescent="0.35"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H44" s="95" t="s">
        <v>608</v>
      </c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U44" s="96"/>
      <c r="AV44" s="96"/>
      <c r="AW44" s="96"/>
      <c r="AX44" s="96"/>
      <c r="AY44" s="96"/>
      <c r="AZ44" s="96"/>
      <c r="BA44" s="96"/>
      <c r="BB44" s="96"/>
      <c r="BC44" s="96"/>
      <c r="BD44" s="96"/>
      <c r="BE44" s="96"/>
      <c r="BF44" s="96"/>
      <c r="BG44" s="97"/>
    </row>
  </sheetData>
  <sheetProtection sheet="1" objects="1" scenarios="1"/>
  <mergeCells count="2">
    <mergeCell ref="AH6:BG6"/>
    <mergeCell ref="AH44:BG44"/>
  </mergeCells>
  <pageMargins left="0.70866141732283472" right="0.70866141732283472" top="0.74803149606299213" bottom="0.74803149606299213" header="0.31496062992125984" footer="0.31496062992125984"/>
  <pageSetup paperSize="8" scale="6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pageSetUpPr fitToPage="1"/>
  </sheetPr>
  <dimension ref="A1:BG44"/>
  <sheetViews>
    <sheetView showGridLines="0" showRowColHeaders="0" zoomScale="80" zoomScaleNormal="80" workbookViewId="0"/>
  </sheetViews>
  <sheetFormatPr defaultRowHeight="14.5" x14ac:dyDescent="0.35"/>
  <cols>
    <col min="2" max="2" width="20.54296875" bestFit="1" customWidth="1"/>
    <col min="3" max="3" width="4.54296875" customWidth="1"/>
    <col min="4" max="4" width="8.1796875" bestFit="1" customWidth="1"/>
    <col min="5" max="5" width="15.54296875" bestFit="1" customWidth="1"/>
    <col min="6" max="6" width="3.453125" customWidth="1"/>
    <col min="7" max="7" width="4" customWidth="1"/>
    <col min="8" max="8" width="3.26953125" customWidth="1"/>
    <col min="9" max="9" width="4.1796875" customWidth="1"/>
    <col min="10" max="10" width="3.453125" customWidth="1"/>
    <col min="11" max="31" width="3.26953125" customWidth="1"/>
    <col min="32" max="32" width="32.26953125" bestFit="1" customWidth="1"/>
    <col min="34" max="59" width="3.453125" customWidth="1"/>
  </cols>
  <sheetData>
    <row r="1" spans="1:59" x14ac:dyDescent="0.35">
      <c r="B1" s="29" t="s">
        <v>378</v>
      </c>
      <c r="C1" s="75">
        <v>64</v>
      </c>
      <c r="D1" s="76" t="str">
        <f>nRotorL&amp;nRotorM&amp;nRotorR</f>
        <v>142</v>
      </c>
      <c r="E1" s="76" t="str">
        <f>F18&amp;F12&amp;F6</f>
        <v>ELS</v>
      </c>
      <c r="J1" s="44" t="s">
        <v>4</v>
      </c>
      <c r="K1" s="44" t="s">
        <v>13</v>
      </c>
      <c r="L1" s="44" t="s">
        <v>8</v>
      </c>
      <c r="M1" s="44" t="s">
        <v>6</v>
      </c>
      <c r="N1" s="44" t="s">
        <v>12</v>
      </c>
      <c r="O1" s="44" t="s">
        <v>0</v>
      </c>
      <c r="P1" s="44" t="s">
        <v>18</v>
      </c>
      <c r="Q1" s="44" t="s">
        <v>2</v>
      </c>
      <c r="R1" s="44" t="s">
        <v>17</v>
      </c>
      <c r="S1" s="44" t="s">
        <v>0</v>
      </c>
      <c r="T1" s="44" t="s">
        <v>12</v>
      </c>
      <c r="U1" s="44" t="s">
        <v>1</v>
      </c>
      <c r="V1" s="44" t="s">
        <v>11</v>
      </c>
      <c r="W1" s="44" t="s">
        <v>4</v>
      </c>
      <c r="X1" s="44" t="s">
        <v>17</v>
      </c>
      <c r="Y1" s="44">
        <v>0</v>
      </c>
      <c r="Z1" s="44">
        <v>4</v>
      </c>
    </row>
    <row r="2" spans="1:59" x14ac:dyDescent="0.35">
      <c r="D2" s="77">
        <f>nCounter</f>
        <v>3707</v>
      </c>
    </row>
    <row r="3" spans="1:59" ht="15" thickBot="1" x14ac:dyDescent="0.4">
      <c r="D3" s="78">
        <f>n_RO04</f>
        <v>4</v>
      </c>
      <c r="F3" s="1"/>
      <c r="AF3" s="79" t="s">
        <v>423</v>
      </c>
    </row>
    <row r="4" spans="1:59" x14ac:dyDescent="0.35">
      <c r="B4" s="21"/>
      <c r="C4" s="4"/>
      <c r="E4" s="5" t="s">
        <v>385</v>
      </c>
      <c r="F4" s="6" t="s">
        <v>0</v>
      </c>
      <c r="G4" s="6" t="s">
        <v>1</v>
      </c>
      <c r="H4" s="6" t="s">
        <v>2</v>
      </c>
      <c r="I4" s="6" t="s">
        <v>3</v>
      </c>
      <c r="J4" s="6" t="s">
        <v>4</v>
      </c>
      <c r="K4" s="6" t="s">
        <v>5</v>
      </c>
      <c r="L4" s="6" t="s">
        <v>6</v>
      </c>
      <c r="M4" s="6" t="s">
        <v>7</v>
      </c>
      <c r="N4" s="6" t="s">
        <v>8</v>
      </c>
      <c r="O4" s="6" t="s">
        <v>9</v>
      </c>
      <c r="P4" s="6" t="s">
        <v>10</v>
      </c>
      <c r="Q4" s="6" t="s">
        <v>11</v>
      </c>
      <c r="R4" s="6" t="s">
        <v>12</v>
      </c>
      <c r="S4" s="6" t="s">
        <v>13</v>
      </c>
      <c r="T4" s="6" t="s">
        <v>14</v>
      </c>
      <c r="U4" s="6" t="s">
        <v>15</v>
      </c>
      <c r="V4" s="6" t="s">
        <v>16</v>
      </c>
      <c r="W4" s="6" t="s">
        <v>17</v>
      </c>
      <c r="X4" s="6" t="s">
        <v>18</v>
      </c>
      <c r="Y4" s="6" t="s">
        <v>19</v>
      </c>
      <c r="Z4" s="6" t="s">
        <v>20</v>
      </c>
      <c r="AA4" s="6" t="s">
        <v>21</v>
      </c>
      <c r="AB4" s="6" t="s">
        <v>22</v>
      </c>
      <c r="AC4" s="6" t="s">
        <v>23</v>
      </c>
      <c r="AD4" s="6" t="s">
        <v>24</v>
      </c>
      <c r="AE4" s="6" t="s">
        <v>25</v>
      </c>
      <c r="AF4" s="10"/>
    </row>
    <row r="5" spans="1:59" x14ac:dyDescent="0.35">
      <c r="B5" s="22"/>
      <c r="C5" s="8"/>
      <c r="D5" s="9" t="s">
        <v>28</v>
      </c>
      <c r="E5" s="9" t="s">
        <v>27</v>
      </c>
      <c r="F5" s="1">
        <f t="shared" ref="F5:AE5" si="0">IF(ISERROR(FIND(F4,$AF3)),0,1)</f>
        <v>1</v>
      </c>
      <c r="G5" s="1">
        <f t="shared" si="0"/>
        <v>1</v>
      </c>
      <c r="H5" s="1">
        <f t="shared" si="0"/>
        <v>1</v>
      </c>
      <c r="I5" s="1">
        <f t="shared" si="0"/>
        <v>1</v>
      </c>
      <c r="J5" s="1">
        <f t="shared" si="0"/>
        <v>1</v>
      </c>
      <c r="K5" s="1">
        <f t="shared" si="0"/>
        <v>1</v>
      </c>
      <c r="L5" s="1">
        <f t="shared" si="0"/>
        <v>1</v>
      </c>
      <c r="M5" s="1">
        <f t="shared" si="0"/>
        <v>1</v>
      </c>
      <c r="N5" s="1">
        <f t="shared" si="0"/>
        <v>1</v>
      </c>
      <c r="O5" s="1">
        <f t="shared" si="0"/>
        <v>1</v>
      </c>
      <c r="P5" s="1">
        <f t="shared" si="0"/>
        <v>1</v>
      </c>
      <c r="Q5" s="1">
        <f t="shared" si="0"/>
        <v>1</v>
      </c>
      <c r="R5" s="1">
        <f t="shared" si="0"/>
        <v>1</v>
      </c>
      <c r="S5" s="1">
        <f t="shared" si="0"/>
        <v>1</v>
      </c>
      <c r="T5" s="1">
        <f t="shared" si="0"/>
        <v>1</v>
      </c>
      <c r="U5" s="1">
        <f t="shared" si="0"/>
        <v>1</v>
      </c>
      <c r="V5" s="1">
        <f t="shared" si="0"/>
        <v>1</v>
      </c>
      <c r="W5" s="1">
        <f t="shared" si="0"/>
        <v>1</v>
      </c>
      <c r="X5" s="1">
        <f t="shared" si="0"/>
        <v>1</v>
      </c>
      <c r="Y5" s="1">
        <f t="shared" si="0"/>
        <v>1</v>
      </c>
      <c r="Z5" s="1">
        <f t="shared" si="0"/>
        <v>1</v>
      </c>
      <c r="AA5" s="1">
        <f t="shared" si="0"/>
        <v>1</v>
      </c>
      <c r="AB5" s="1">
        <f t="shared" si="0"/>
        <v>1</v>
      </c>
      <c r="AC5" s="1">
        <f t="shared" si="0"/>
        <v>1</v>
      </c>
      <c r="AD5" s="1">
        <f t="shared" si="0"/>
        <v>1</v>
      </c>
      <c r="AE5" s="1">
        <f t="shared" si="0"/>
        <v>1</v>
      </c>
      <c r="AF5" s="10"/>
    </row>
    <row r="6" spans="1:59" x14ac:dyDescent="0.35">
      <c r="B6" s="22" t="s">
        <v>379</v>
      </c>
      <c r="C6" s="41">
        <f>n_RotorR</f>
        <v>2</v>
      </c>
      <c r="D6" s="11">
        <f>D3+D2</f>
        <v>3711</v>
      </c>
      <c r="E6" s="11">
        <f>IF(MOD(D6,26)=0,26,MOD(D6,26))</f>
        <v>19</v>
      </c>
      <c r="F6" s="12" t="str">
        <f>CHAR(E6+nCharOffset)</f>
        <v>S</v>
      </c>
      <c r="G6" s="13" t="str">
        <f t="shared" ref="G6:AE6" si="1">VLOOKUP(F6,nNextLetter,2,FALSE)</f>
        <v>T</v>
      </c>
      <c r="H6" s="13" t="str">
        <f t="shared" si="1"/>
        <v>U</v>
      </c>
      <c r="I6" s="13" t="str">
        <f t="shared" si="1"/>
        <v>V</v>
      </c>
      <c r="J6" s="13" t="str">
        <f t="shared" si="1"/>
        <v>W</v>
      </c>
      <c r="K6" s="13" t="str">
        <f t="shared" si="1"/>
        <v>X</v>
      </c>
      <c r="L6" s="13" t="str">
        <f t="shared" si="1"/>
        <v>Y</v>
      </c>
      <c r="M6" s="13" t="str">
        <f t="shared" si="1"/>
        <v>Z</v>
      </c>
      <c r="N6" s="13" t="str">
        <f t="shared" si="1"/>
        <v>A</v>
      </c>
      <c r="O6" s="13" t="str">
        <f t="shared" si="1"/>
        <v>B</v>
      </c>
      <c r="P6" s="13" t="str">
        <f t="shared" si="1"/>
        <v>C</v>
      </c>
      <c r="Q6" s="13" t="str">
        <f t="shared" si="1"/>
        <v>D</v>
      </c>
      <c r="R6" s="13" t="str">
        <f t="shared" si="1"/>
        <v>E</v>
      </c>
      <c r="S6" s="13" t="str">
        <f t="shared" si="1"/>
        <v>F</v>
      </c>
      <c r="T6" s="13" t="str">
        <f t="shared" si="1"/>
        <v>G</v>
      </c>
      <c r="U6" s="13" t="str">
        <f t="shared" si="1"/>
        <v>H</v>
      </c>
      <c r="V6" s="13" t="str">
        <f t="shared" si="1"/>
        <v>I</v>
      </c>
      <c r="W6" s="13" t="str">
        <f t="shared" si="1"/>
        <v>J</v>
      </c>
      <c r="X6" s="13" t="str">
        <f t="shared" si="1"/>
        <v>K</v>
      </c>
      <c r="Y6" s="13" t="str">
        <f t="shared" si="1"/>
        <v>L</v>
      </c>
      <c r="Z6" s="13" t="str">
        <f t="shared" si="1"/>
        <v>M</v>
      </c>
      <c r="AA6" s="13" t="str">
        <f t="shared" si="1"/>
        <v>N</v>
      </c>
      <c r="AB6" s="13" t="str">
        <f t="shared" si="1"/>
        <v>O</v>
      </c>
      <c r="AC6" s="13" t="str">
        <f t="shared" si="1"/>
        <v>P</v>
      </c>
      <c r="AD6" s="13" t="str">
        <f t="shared" si="1"/>
        <v>Q</v>
      </c>
      <c r="AE6" s="13" t="str">
        <f t="shared" si="1"/>
        <v>R</v>
      </c>
      <c r="AF6" s="10"/>
      <c r="AH6" s="95" t="s">
        <v>607</v>
      </c>
      <c r="AI6" s="96"/>
      <c r="AJ6" s="96"/>
      <c r="AK6" s="96"/>
      <c r="AL6" s="96"/>
      <c r="AM6" s="96"/>
      <c r="AN6" s="96"/>
      <c r="AO6" s="96"/>
      <c r="AP6" s="96"/>
      <c r="AQ6" s="96"/>
      <c r="AR6" s="96"/>
      <c r="AS6" s="96"/>
      <c r="AT6" s="96"/>
      <c r="AU6" s="96"/>
      <c r="AV6" s="96"/>
      <c r="AW6" s="96"/>
      <c r="AX6" s="96"/>
      <c r="AY6" s="96"/>
      <c r="AZ6" s="96"/>
      <c r="BA6" s="96"/>
      <c r="BB6" s="96"/>
      <c r="BC6" s="96"/>
      <c r="BD6" s="96"/>
      <c r="BE6" s="96"/>
      <c r="BF6" s="96"/>
      <c r="BG6" s="97"/>
    </row>
    <row r="7" spans="1:59" x14ac:dyDescent="0.35">
      <c r="B7" s="22" t="s">
        <v>389</v>
      </c>
      <c r="C7" s="41" t="str">
        <f>n_RingPosR</f>
        <v>A</v>
      </c>
      <c r="D7" s="11">
        <f>VLOOKUP(C7,nRingOffset,2,FALSE)</f>
        <v>0</v>
      </c>
      <c r="E7" t="s">
        <v>386</v>
      </c>
      <c r="F7" s="14" t="str">
        <f t="shared" ref="F7:AE7" si="2">IF(F5=1,VLOOKUP(nCurPosR+nRingOffsetR+(CODE(F4)-nCharOffset)-1,nNum2Let,2,FALSE),"")</f>
        <v>S</v>
      </c>
      <c r="G7" s="14" t="str">
        <f t="shared" si="2"/>
        <v>T</v>
      </c>
      <c r="H7" s="14" t="str">
        <f t="shared" si="2"/>
        <v>U</v>
      </c>
      <c r="I7" s="14" t="str">
        <f t="shared" si="2"/>
        <v>V</v>
      </c>
      <c r="J7" s="14" t="str">
        <f t="shared" si="2"/>
        <v>W</v>
      </c>
      <c r="K7" s="14" t="str">
        <f t="shared" si="2"/>
        <v>X</v>
      </c>
      <c r="L7" s="14" t="str">
        <f t="shared" si="2"/>
        <v>Y</v>
      </c>
      <c r="M7" s="14" t="str">
        <f t="shared" si="2"/>
        <v>Z</v>
      </c>
      <c r="N7" s="14" t="str">
        <f t="shared" si="2"/>
        <v>A</v>
      </c>
      <c r="O7" s="14" t="str">
        <f t="shared" si="2"/>
        <v>B</v>
      </c>
      <c r="P7" s="14" t="str">
        <f t="shared" si="2"/>
        <v>C</v>
      </c>
      <c r="Q7" s="14" t="str">
        <f t="shared" si="2"/>
        <v>D</v>
      </c>
      <c r="R7" s="14" t="str">
        <f t="shared" si="2"/>
        <v>E</v>
      </c>
      <c r="S7" s="14" t="str">
        <f t="shared" si="2"/>
        <v>F</v>
      </c>
      <c r="T7" s="14" t="str">
        <f t="shared" si="2"/>
        <v>G</v>
      </c>
      <c r="U7" s="14" t="str">
        <f t="shared" si="2"/>
        <v>H</v>
      </c>
      <c r="V7" s="14" t="str">
        <f t="shared" si="2"/>
        <v>I</v>
      </c>
      <c r="W7" s="14" t="str">
        <f t="shared" si="2"/>
        <v>J</v>
      </c>
      <c r="X7" s="14" t="str">
        <f t="shared" si="2"/>
        <v>K</v>
      </c>
      <c r="Y7" s="14" t="str">
        <f t="shared" si="2"/>
        <v>L</v>
      </c>
      <c r="Z7" s="14" t="str">
        <f t="shared" si="2"/>
        <v>M</v>
      </c>
      <c r="AA7" s="14" t="str">
        <f t="shared" si="2"/>
        <v>N</v>
      </c>
      <c r="AB7" s="14" t="str">
        <f t="shared" si="2"/>
        <v>O</v>
      </c>
      <c r="AC7" s="14" t="str">
        <f t="shared" si="2"/>
        <v>P</v>
      </c>
      <c r="AD7" s="14" t="str">
        <f t="shared" si="2"/>
        <v>Q</v>
      </c>
      <c r="AE7" s="14" t="str">
        <f t="shared" si="2"/>
        <v>R</v>
      </c>
      <c r="AF7" s="10"/>
      <c r="AH7" s="42" t="str">
        <f t="shared" ref="AH7:BG7" si="3">IF(LEN(AH9)=2,LEFT(AH9,1),"")</f>
        <v>A</v>
      </c>
      <c r="AI7" s="42" t="str">
        <f t="shared" si="3"/>
        <v>B</v>
      </c>
      <c r="AJ7" s="42" t="str">
        <f t="shared" si="3"/>
        <v>C</v>
      </c>
      <c r="AK7" s="42" t="str">
        <f t="shared" si="3"/>
        <v>D</v>
      </c>
      <c r="AL7" s="42" t="str">
        <f t="shared" si="3"/>
        <v>E</v>
      </c>
      <c r="AM7" s="42" t="str">
        <f t="shared" si="3"/>
        <v>F</v>
      </c>
      <c r="AN7" s="42" t="str">
        <f t="shared" si="3"/>
        <v>G</v>
      </c>
      <c r="AO7" s="42" t="str">
        <f t="shared" si="3"/>
        <v>H</v>
      </c>
      <c r="AP7" s="42" t="str">
        <f t="shared" si="3"/>
        <v>I</v>
      </c>
      <c r="AQ7" s="42" t="str">
        <f t="shared" si="3"/>
        <v>J</v>
      </c>
      <c r="AR7" s="42" t="str">
        <f t="shared" si="3"/>
        <v>K</v>
      </c>
      <c r="AS7" s="42" t="str">
        <f t="shared" si="3"/>
        <v>L</v>
      </c>
      <c r="AT7" s="42" t="str">
        <f t="shared" si="3"/>
        <v>M</v>
      </c>
      <c r="AU7" s="42" t="str">
        <f t="shared" si="3"/>
        <v>N</v>
      </c>
      <c r="AV7" s="42" t="str">
        <f t="shared" si="3"/>
        <v>O</v>
      </c>
      <c r="AW7" s="42" t="str">
        <f t="shared" si="3"/>
        <v>P</v>
      </c>
      <c r="AX7" s="42" t="str">
        <f t="shared" si="3"/>
        <v>Q</v>
      </c>
      <c r="AY7" s="42" t="str">
        <f t="shared" si="3"/>
        <v>R</v>
      </c>
      <c r="AZ7" s="42" t="str">
        <f t="shared" si="3"/>
        <v>S</v>
      </c>
      <c r="BA7" s="42" t="str">
        <f t="shared" si="3"/>
        <v>T</v>
      </c>
      <c r="BB7" s="42" t="str">
        <f t="shared" si="3"/>
        <v>U</v>
      </c>
      <c r="BC7" s="42" t="str">
        <f t="shared" si="3"/>
        <v>V</v>
      </c>
      <c r="BD7" s="42" t="str">
        <f t="shared" si="3"/>
        <v>W</v>
      </c>
      <c r="BE7" s="42" t="str">
        <f t="shared" si="3"/>
        <v>X</v>
      </c>
      <c r="BF7" s="42" t="str">
        <f t="shared" si="3"/>
        <v>Y</v>
      </c>
      <c r="BG7" s="42" t="str">
        <f t="shared" si="3"/>
        <v>Z</v>
      </c>
    </row>
    <row r="8" spans="1:59" x14ac:dyDescent="0.35">
      <c r="B8" s="22"/>
      <c r="C8" s="8"/>
      <c r="E8" t="s">
        <v>387</v>
      </c>
      <c r="F8" s="15" t="str">
        <f t="shared" ref="F8:AE8" si="4">IF(F5=1,VLOOKUP(nRotorR&amp;F7,nRotor,4,FALSE),"")</f>
        <v>Z</v>
      </c>
      <c r="G8" s="15" t="str">
        <f t="shared" si="4"/>
        <v>N</v>
      </c>
      <c r="H8" s="15" t="str">
        <f t="shared" si="4"/>
        <v>P</v>
      </c>
      <c r="I8" s="15" t="str">
        <f t="shared" si="4"/>
        <v>Y</v>
      </c>
      <c r="J8" s="15" t="str">
        <f t="shared" si="4"/>
        <v>F</v>
      </c>
      <c r="K8" s="15" t="str">
        <f t="shared" si="4"/>
        <v>V</v>
      </c>
      <c r="L8" s="15" t="str">
        <f t="shared" si="4"/>
        <v>O</v>
      </c>
      <c r="M8" s="15" t="str">
        <f t="shared" si="4"/>
        <v>E</v>
      </c>
      <c r="N8" s="15" t="str">
        <f t="shared" si="4"/>
        <v>A</v>
      </c>
      <c r="O8" s="15" t="str">
        <f t="shared" si="4"/>
        <v>J</v>
      </c>
      <c r="P8" s="15" t="str">
        <f t="shared" si="4"/>
        <v>D</v>
      </c>
      <c r="Q8" s="15" t="str">
        <f t="shared" si="4"/>
        <v>K</v>
      </c>
      <c r="R8" s="15" t="str">
        <f t="shared" si="4"/>
        <v>S</v>
      </c>
      <c r="S8" s="15" t="str">
        <f t="shared" si="4"/>
        <v>I</v>
      </c>
      <c r="T8" s="15" t="str">
        <f t="shared" si="4"/>
        <v>R</v>
      </c>
      <c r="U8" s="15" t="str">
        <f t="shared" si="4"/>
        <v>U</v>
      </c>
      <c r="V8" s="15" t="str">
        <f t="shared" si="4"/>
        <v>X</v>
      </c>
      <c r="W8" s="15" t="str">
        <f t="shared" si="4"/>
        <v>B</v>
      </c>
      <c r="X8" s="15" t="str">
        <f t="shared" si="4"/>
        <v>L</v>
      </c>
      <c r="Y8" s="15" t="str">
        <f t="shared" si="4"/>
        <v>H</v>
      </c>
      <c r="Z8" s="15" t="str">
        <f t="shared" si="4"/>
        <v>W</v>
      </c>
      <c r="AA8" s="15" t="str">
        <f t="shared" si="4"/>
        <v>T</v>
      </c>
      <c r="AB8" s="15" t="str">
        <f t="shared" si="4"/>
        <v>M</v>
      </c>
      <c r="AC8" s="15" t="str">
        <f t="shared" si="4"/>
        <v>C</v>
      </c>
      <c r="AD8" s="15" t="str">
        <f t="shared" si="4"/>
        <v>Q</v>
      </c>
      <c r="AE8" s="15" t="str">
        <f t="shared" si="4"/>
        <v>G</v>
      </c>
      <c r="AF8" s="10"/>
      <c r="AH8" s="28" t="str">
        <f t="shared" ref="AH8:BG8" si="5">IF(LEN(AH9)=2,RIGHT(AH9,1),"")</f>
        <v>H</v>
      </c>
      <c r="AI8" s="28" t="str">
        <f t="shared" si="5"/>
        <v>V</v>
      </c>
      <c r="AJ8" s="28" t="str">
        <f t="shared" si="5"/>
        <v>X</v>
      </c>
      <c r="AK8" s="28" t="str">
        <f t="shared" si="5"/>
        <v>G</v>
      </c>
      <c r="AL8" s="28" t="str">
        <f t="shared" si="5"/>
        <v>N</v>
      </c>
      <c r="AM8" s="28" t="str">
        <f t="shared" si="5"/>
        <v>D</v>
      </c>
      <c r="AN8" s="28" t="str">
        <f t="shared" si="5"/>
        <v>W</v>
      </c>
      <c r="AO8" s="28" t="str">
        <f t="shared" si="5"/>
        <v>M</v>
      </c>
      <c r="AP8" s="28" t="str">
        <f t="shared" si="5"/>
        <v>I</v>
      </c>
      <c r="AQ8" s="28" t="str">
        <f t="shared" si="5"/>
        <v>R</v>
      </c>
      <c r="AR8" s="28" t="str">
        <f t="shared" si="5"/>
        <v>L</v>
      </c>
      <c r="AS8" s="28" t="str">
        <f t="shared" si="5"/>
        <v>S</v>
      </c>
      <c r="AT8" s="28" t="str">
        <f t="shared" si="5"/>
        <v>A</v>
      </c>
      <c r="AU8" s="28" t="str">
        <f t="shared" si="5"/>
        <v>Q</v>
      </c>
      <c r="AV8" s="28" t="str">
        <f t="shared" si="5"/>
        <v>Z</v>
      </c>
      <c r="AW8" s="28" t="str">
        <f t="shared" si="5"/>
        <v>C</v>
      </c>
      <c r="AX8" s="28" t="str">
        <f t="shared" si="5"/>
        <v>F</v>
      </c>
      <c r="AY8" s="28" t="str">
        <f t="shared" si="5"/>
        <v>J</v>
      </c>
      <c r="AZ8" s="28" t="str">
        <f t="shared" si="5"/>
        <v>T</v>
      </c>
      <c r="BA8" s="28" t="str">
        <f t="shared" si="5"/>
        <v>P</v>
      </c>
      <c r="BB8" s="28" t="str">
        <f t="shared" si="5"/>
        <v>E</v>
      </c>
      <c r="BC8" s="28" t="str">
        <f t="shared" si="5"/>
        <v>B</v>
      </c>
      <c r="BD8" s="28" t="str">
        <f t="shared" si="5"/>
        <v>U</v>
      </c>
      <c r="BE8" s="28" t="str">
        <f t="shared" si="5"/>
        <v>K</v>
      </c>
      <c r="BF8" s="28" t="str">
        <f t="shared" si="5"/>
        <v>Y</v>
      </c>
      <c r="BG8" s="28" t="str">
        <f t="shared" si="5"/>
        <v>O</v>
      </c>
    </row>
    <row r="9" spans="1:59" ht="15" thickBot="1" x14ac:dyDescent="0.4">
      <c r="B9" s="23"/>
      <c r="C9" s="16"/>
      <c r="D9" s="17"/>
      <c r="E9" s="17" t="s">
        <v>388</v>
      </c>
      <c r="F9" s="18" t="str">
        <f t="shared" ref="F9:AE9" si="6">IF(F5=1,IF(CODE(F8)-CODE(F7)&lt;0,VLOOKUP((CODE(F8)-CODE(F7)+26)+(CODE(F4)-nCharOffset),nNum2Let,2,FALSE),VLOOKUP((CODE(F8)-CODE(F7))+(CODE(F4)-nCharOffset),nNum2Let,2,FALSE)),"")</f>
        <v>H</v>
      </c>
      <c r="G9" s="18" t="str">
        <f t="shared" si="6"/>
        <v>V</v>
      </c>
      <c r="H9" s="18" t="str">
        <f t="shared" si="6"/>
        <v>X</v>
      </c>
      <c r="I9" s="18" t="str">
        <f t="shared" si="6"/>
        <v>G</v>
      </c>
      <c r="J9" s="18" t="str">
        <f t="shared" si="6"/>
        <v>N</v>
      </c>
      <c r="K9" s="18" t="str">
        <f t="shared" si="6"/>
        <v>D</v>
      </c>
      <c r="L9" s="18" t="str">
        <f t="shared" si="6"/>
        <v>W</v>
      </c>
      <c r="M9" s="18" t="str">
        <f t="shared" si="6"/>
        <v>M</v>
      </c>
      <c r="N9" s="18" t="str">
        <f t="shared" si="6"/>
        <v>I</v>
      </c>
      <c r="O9" s="18" t="str">
        <f t="shared" si="6"/>
        <v>R</v>
      </c>
      <c r="P9" s="18" t="str">
        <f t="shared" si="6"/>
        <v>L</v>
      </c>
      <c r="Q9" s="18" t="str">
        <f t="shared" si="6"/>
        <v>S</v>
      </c>
      <c r="R9" s="18" t="str">
        <f t="shared" si="6"/>
        <v>A</v>
      </c>
      <c r="S9" s="18" t="str">
        <f t="shared" si="6"/>
        <v>Q</v>
      </c>
      <c r="T9" s="18" t="str">
        <f t="shared" si="6"/>
        <v>Z</v>
      </c>
      <c r="U9" s="18" t="str">
        <f t="shared" si="6"/>
        <v>C</v>
      </c>
      <c r="V9" s="18" t="str">
        <f t="shared" si="6"/>
        <v>F</v>
      </c>
      <c r="W9" s="18" t="str">
        <f t="shared" si="6"/>
        <v>J</v>
      </c>
      <c r="X9" s="18" t="str">
        <f t="shared" si="6"/>
        <v>T</v>
      </c>
      <c r="Y9" s="18" t="str">
        <f t="shared" si="6"/>
        <v>P</v>
      </c>
      <c r="Z9" s="18" t="str">
        <f t="shared" si="6"/>
        <v>E</v>
      </c>
      <c r="AA9" s="18" t="str">
        <f t="shared" si="6"/>
        <v>B</v>
      </c>
      <c r="AB9" s="18" t="str">
        <f t="shared" si="6"/>
        <v>U</v>
      </c>
      <c r="AC9" s="18" t="str">
        <f t="shared" si="6"/>
        <v>K</v>
      </c>
      <c r="AD9" s="18" t="str">
        <f t="shared" si="6"/>
        <v>Y</v>
      </c>
      <c r="AE9" s="18" t="str">
        <f t="shared" si="6"/>
        <v>O</v>
      </c>
      <c r="AF9" s="19" t="str">
        <f>CONCATENATE(F9,G9,H9,I9,J9,K9,L9,M9,N9,O9,P9,Q9,R9,S9,T9&amp;U9,V9,W9,X9,Y9,Z9,AA9,AB9,AC9,AD9,AE9)</f>
        <v>HVXGNDWMIRLSAQZCFJTPEBUKYO</v>
      </c>
      <c r="AH9" s="12" t="str">
        <f>F4&amp;F9</f>
        <v>AH</v>
      </c>
      <c r="AI9" s="12" t="str">
        <f t="shared" ref="AI9:BG9" si="7">G4&amp;G9</f>
        <v>BV</v>
      </c>
      <c r="AJ9" s="12" t="str">
        <f t="shared" si="7"/>
        <v>CX</v>
      </c>
      <c r="AK9" s="12" t="str">
        <f t="shared" si="7"/>
        <v>DG</v>
      </c>
      <c r="AL9" s="12" t="str">
        <f t="shared" si="7"/>
        <v>EN</v>
      </c>
      <c r="AM9" s="12" t="str">
        <f t="shared" si="7"/>
        <v>FD</v>
      </c>
      <c r="AN9" s="12" t="str">
        <f t="shared" si="7"/>
        <v>GW</v>
      </c>
      <c r="AO9" s="12" t="str">
        <f t="shared" si="7"/>
        <v>HM</v>
      </c>
      <c r="AP9" s="12" t="str">
        <f t="shared" si="7"/>
        <v>II</v>
      </c>
      <c r="AQ9" s="12" t="str">
        <f t="shared" si="7"/>
        <v>JR</v>
      </c>
      <c r="AR9" s="12" t="str">
        <f t="shared" si="7"/>
        <v>KL</v>
      </c>
      <c r="AS9" s="12" t="str">
        <f t="shared" si="7"/>
        <v>LS</v>
      </c>
      <c r="AT9" s="12" t="str">
        <f t="shared" si="7"/>
        <v>MA</v>
      </c>
      <c r="AU9" s="12" t="str">
        <f t="shared" si="7"/>
        <v>NQ</v>
      </c>
      <c r="AV9" s="12" t="str">
        <f t="shared" si="7"/>
        <v>OZ</v>
      </c>
      <c r="AW9" s="12" t="str">
        <f t="shared" si="7"/>
        <v>PC</v>
      </c>
      <c r="AX9" s="12" t="str">
        <f t="shared" si="7"/>
        <v>QF</v>
      </c>
      <c r="AY9" s="12" t="str">
        <f t="shared" si="7"/>
        <v>RJ</v>
      </c>
      <c r="AZ9" s="12" t="str">
        <f t="shared" si="7"/>
        <v>ST</v>
      </c>
      <c r="BA9" s="12" t="str">
        <f t="shared" si="7"/>
        <v>TP</v>
      </c>
      <c r="BB9" s="12" t="str">
        <f t="shared" si="7"/>
        <v>UE</v>
      </c>
      <c r="BC9" s="12" t="str">
        <f t="shared" si="7"/>
        <v>VB</v>
      </c>
      <c r="BD9" s="12" t="str">
        <f t="shared" si="7"/>
        <v>WU</v>
      </c>
      <c r="BE9" s="12" t="str">
        <f t="shared" si="7"/>
        <v>XK</v>
      </c>
      <c r="BF9" s="12" t="str">
        <f t="shared" si="7"/>
        <v>YY</v>
      </c>
      <c r="BG9" s="12" t="str">
        <f t="shared" si="7"/>
        <v>ZO</v>
      </c>
    </row>
    <row r="10" spans="1:59" x14ac:dyDescent="0.35">
      <c r="B10" s="21"/>
      <c r="C10" s="4"/>
      <c r="D10" s="5"/>
      <c r="E10" s="5" t="s">
        <v>385</v>
      </c>
      <c r="F10" s="6" t="s">
        <v>0</v>
      </c>
      <c r="G10" s="6" t="s">
        <v>1</v>
      </c>
      <c r="H10" s="6" t="s">
        <v>2</v>
      </c>
      <c r="I10" s="6" t="s">
        <v>3</v>
      </c>
      <c r="J10" s="6" t="s">
        <v>4</v>
      </c>
      <c r="K10" s="6" t="s">
        <v>5</v>
      </c>
      <c r="L10" s="6" t="s">
        <v>6</v>
      </c>
      <c r="M10" s="6" t="s">
        <v>7</v>
      </c>
      <c r="N10" s="6" t="s">
        <v>8</v>
      </c>
      <c r="O10" s="6" t="s">
        <v>9</v>
      </c>
      <c r="P10" s="6" t="s">
        <v>10</v>
      </c>
      <c r="Q10" s="6" t="s">
        <v>11</v>
      </c>
      <c r="R10" s="6" t="s">
        <v>12</v>
      </c>
      <c r="S10" s="6" t="s">
        <v>13</v>
      </c>
      <c r="T10" s="6" t="s">
        <v>14</v>
      </c>
      <c r="U10" s="6" t="s">
        <v>15</v>
      </c>
      <c r="V10" s="6" t="s">
        <v>16</v>
      </c>
      <c r="W10" s="6" t="s">
        <v>17</v>
      </c>
      <c r="X10" s="6" t="s">
        <v>18</v>
      </c>
      <c r="Y10" s="6" t="s">
        <v>19</v>
      </c>
      <c r="Z10" s="6" t="s">
        <v>20</v>
      </c>
      <c r="AA10" s="6" t="s">
        <v>21</v>
      </c>
      <c r="AB10" s="6" t="s">
        <v>22</v>
      </c>
      <c r="AC10" s="6" t="s">
        <v>23</v>
      </c>
      <c r="AD10" s="6" t="s">
        <v>24</v>
      </c>
      <c r="AE10" s="6" t="s">
        <v>25</v>
      </c>
      <c r="AF10" s="20"/>
    </row>
    <row r="11" spans="1:59" x14ac:dyDescent="0.35">
      <c r="A11" s="43">
        <f>INT(D2/26)</f>
        <v>142</v>
      </c>
      <c r="B11" s="10"/>
      <c r="C11" s="8"/>
      <c r="F11" s="1">
        <f>IF(ISERROR(FIND(F10,$AF9)),0,1)</f>
        <v>1</v>
      </c>
      <c r="G11" s="1">
        <f t="shared" ref="G11:AE11" si="8">IF(ISERROR(FIND(G10,$AF9)),0,1)</f>
        <v>1</v>
      </c>
      <c r="H11" s="1">
        <f t="shared" si="8"/>
        <v>1</v>
      </c>
      <c r="I11" s="1">
        <f t="shared" si="8"/>
        <v>1</v>
      </c>
      <c r="J11" s="1">
        <f t="shared" si="8"/>
        <v>1</v>
      </c>
      <c r="K11" s="1">
        <f t="shared" si="8"/>
        <v>1</v>
      </c>
      <c r="L11" s="1">
        <f t="shared" si="8"/>
        <v>1</v>
      </c>
      <c r="M11" s="1">
        <f t="shared" si="8"/>
        <v>1</v>
      </c>
      <c r="N11" s="1">
        <f t="shared" si="8"/>
        <v>1</v>
      </c>
      <c r="O11" s="1">
        <f t="shared" si="8"/>
        <v>1</v>
      </c>
      <c r="P11" s="1">
        <f t="shared" si="8"/>
        <v>1</v>
      </c>
      <c r="Q11" s="1">
        <f t="shared" si="8"/>
        <v>1</v>
      </c>
      <c r="R11" s="1">
        <f t="shared" si="8"/>
        <v>1</v>
      </c>
      <c r="S11" s="1">
        <f t="shared" si="8"/>
        <v>1</v>
      </c>
      <c r="T11" s="1">
        <f t="shared" si="8"/>
        <v>1</v>
      </c>
      <c r="U11" s="1">
        <f t="shared" si="8"/>
        <v>1</v>
      </c>
      <c r="V11" s="1">
        <f t="shared" si="8"/>
        <v>1</v>
      </c>
      <c r="W11" s="1">
        <f t="shared" si="8"/>
        <v>1</v>
      </c>
      <c r="X11" s="1">
        <f t="shared" si="8"/>
        <v>1</v>
      </c>
      <c r="Y11" s="1">
        <f t="shared" si="8"/>
        <v>1</v>
      </c>
      <c r="Z11" s="1">
        <f t="shared" si="8"/>
        <v>1</v>
      </c>
      <c r="AA11" s="1">
        <f t="shared" si="8"/>
        <v>1</v>
      </c>
      <c r="AB11" s="1">
        <f t="shared" si="8"/>
        <v>1</v>
      </c>
      <c r="AC11" s="1">
        <f t="shared" si="8"/>
        <v>1</v>
      </c>
      <c r="AD11" s="1">
        <f t="shared" si="8"/>
        <v>1</v>
      </c>
      <c r="AE11" s="1">
        <f t="shared" si="8"/>
        <v>1</v>
      </c>
      <c r="AF11" s="10"/>
    </row>
    <row r="12" spans="1:59" x14ac:dyDescent="0.35">
      <c r="A12" s="43">
        <f>IF(A11=0,26,A11)</f>
        <v>142</v>
      </c>
      <c r="B12" s="10" t="s">
        <v>380</v>
      </c>
      <c r="C12" s="41">
        <f>n_RotorM</f>
        <v>4</v>
      </c>
      <c r="D12" s="11">
        <f>A12</f>
        <v>142</v>
      </c>
      <c r="E12" s="11">
        <f>IF(MOD(D12,26)=0,26,MOD(D12,26))</f>
        <v>12</v>
      </c>
      <c r="F12" s="12" t="str">
        <f>CHAR(E12+nCharOffset)</f>
        <v>L</v>
      </c>
      <c r="G12" s="13" t="str">
        <f t="shared" ref="G12:AE12" si="9">VLOOKUP(F12,nNextLetter,2,FALSE)</f>
        <v>M</v>
      </c>
      <c r="H12" s="13" t="str">
        <f t="shared" si="9"/>
        <v>N</v>
      </c>
      <c r="I12" s="13" t="str">
        <f t="shared" si="9"/>
        <v>O</v>
      </c>
      <c r="J12" s="13" t="str">
        <f t="shared" si="9"/>
        <v>P</v>
      </c>
      <c r="K12" s="13" t="str">
        <f t="shared" si="9"/>
        <v>Q</v>
      </c>
      <c r="L12" s="13" t="str">
        <f t="shared" si="9"/>
        <v>R</v>
      </c>
      <c r="M12" s="13" t="str">
        <f t="shared" si="9"/>
        <v>S</v>
      </c>
      <c r="N12" s="13" t="str">
        <f t="shared" si="9"/>
        <v>T</v>
      </c>
      <c r="O12" s="13" t="str">
        <f t="shared" si="9"/>
        <v>U</v>
      </c>
      <c r="P12" s="13" t="str">
        <f t="shared" si="9"/>
        <v>V</v>
      </c>
      <c r="Q12" s="13" t="str">
        <f t="shared" si="9"/>
        <v>W</v>
      </c>
      <c r="R12" s="13" t="str">
        <f t="shared" si="9"/>
        <v>X</v>
      </c>
      <c r="S12" s="13" t="str">
        <f t="shared" si="9"/>
        <v>Y</v>
      </c>
      <c r="T12" s="13" t="str">
        <f t="shared" si="9"/>
        <v>Z</v>
      </c>
      <c r="U12" s="13" t="str">
        <f t="shared" si="9"/>
        <v>A</v>
      </c>
      <c r="V12" s="13" t="str">
        <f t="shared" si="9"/>
        <v>B</v>
      </c>
      <c r="W12" s="13" t="str">
        <f t="shared" si="9"/>
        <v>C</v>
      </c>
      <c r="X12" s="13" t="str">
        <f t="shared" si="9"/>
        <v>D</v>
      </c>
      <c r="Y12" s="13" t="str">
        <f t="shared" si="9"/>
        <v>E</v>
      </c>
      <c r="Z12" s="13" t="str">
        <f t="shared" si="9"/>
        <v>F</v>
      </c>
      <c r="AA12" s="13" t="str">
        <f t="shared" si="9"/>
        <v>G</v>
      </c>
      <c r="AB12" s="13" t="str">
        <f t="shared" si="9"/>
        <v>H</v>
      </c>
      <c r="AC12" s="13" t="str">
        <f t="shared" si="9"/>
        <v>I</v>
      </c>
      <c r="AD12" s="13" t="str">
        <f t="shared" si="9"/>
        <v>J</v>
      </c>
      <c r="AE12" s="13" t="str">
        <f t="shared" si="9"/>
        <v>K</v>
      </c>
      <c r="AF12" s="10"/>
    </row>
    <row r="13" spans="1:59" x14ac:dyDescent="0.35">
      <c r="B13" s="22" t="s">
        <v>390</v>
      </c>
      <c r="C13" s="41" t="str">
        <f>n_RingPosM</f>
        <v>A</v>
      </c>
      <c r="D13" s="11">
        <f>VLOOKUP(C13,nRingOffset,2,FALSE)</f>
        <v>0</v>
      </c>
      <c r="E13" t="s">
        <v>386</v>
      </c>
      <c r="F13" s="14" t="str">
        <f t="shared" ref="F13:AE13" si="10">IF(F11=1,VLOOKUP(nCurPosM+nRingOffsetM+(CODE(F10)-nCharOffset)-1,nNum2Let,2,FALSE),"")</f>
        <v>L</v>
      </c>
      <c r="G13" s="14" t="str">
        <f t="shared" si="10"/>
        <v>M</v>
      </c>
      <c r="H13" s="14" t="str">
        <f t="shared" si="10"/>
        <v>N</v>
      </c>
      <c r="I13" s="14" t="str">
        <f t="shared" si="10"/>
        <v>O</v>
      </c>
      <c r="J13" s="14" t="str">
        <f t="shared" si="10"/>
        <v>P</v>
      </c>
      <c r="K13" s="14" t="str">
        <f t="shared" si="10"/>
        <v>Q</v>
      </c>
      <c r="L13" s="14" t="str">
        <f t="shared" si="10"/>
        <v>R</v>
      </c>
      <c r="M13" s="14" t="str">
        <f t="shared" si="10"/>
        <v>S</v>
      </c>
      <c r="N13" s="14" t="str">
        <f t="shared" si="10"/>
        <v>T</v>
      </c>
      <c r="O13" s="14" t="str">
        <f t="shared" si="10"/>
        <v>U</v>
      </c>
      <c r="P13" s="14" t="str">
        <f t="shared" si="10"/>
        <v>V</v>
      </c>
      <c r="Q13" s="14" t="str">
        <f t="shared" si="10"/>
        <v>W</v>
      </c>
      <c r="R13" s="14" t="str">
        <f t="shared" si="10"/>
        <v>X</v>
      </c>
      <c r="S13" s="14" t="str">
        <f t="shared" si="10"/>
        <v>Y</v>
      </c>
      <c r="T13" s="14" t="str">
        <f t="shared" si="10"/>
        <v>Z</v>
      </c>
      <c r="U13" s="14" t="str">
        <f t="shared" si="10"/>
        <v>A</v>
      </c>
      <c r="V13" s="14" t="str">
        <f t="shared" si="10"/>
        <v>B</v>
      </c>
      <c r="W13" s="14" t="str">
        <f t="shared" si="10"/>
        <v>C</v>
      </c>
      <c r="X13" s="14" t="str">
        <f t="shared" si="10"/>
        <v>D</v>
      </c>
      <c r="Y13" s="14" t="str">
        <f t="shared" si="10"/>
        <v>E</v>
      </c>
      <c r="Z13" s="14" t="str">
        <f t="shared" si="10"/>
        <v>F</v>
      </c>
      <c r="AA13" s="14" t="str">
        <f t="shared" si="10"/>
        <v>G</v>
      </c>
      <c r="AB13" s="14" t="str">
        <f t="shared" si="10"/>
        <v>H</v>
      </c>
      <c r="AC13" s="14" t="str">
        <f t="shared" si="10"/>
        <v>I</v>
      </c>
      <c r="AD13" s="14" t="str">
        <f t="shared" si="10"/>
        <v>J</v>
      </c>
      <c r="AE13" s="14" t="str">
        <f t="shared" si="10"/>
        <v>K</v>
      </c>
      <c r="AF13" s="10"/>
      <c r="AH13" s="28" t="str">
        <f t="shared" ref="AH13:BG13" si="11">IF(LEN(AH15)=2,LEFT(AH15,1),"")</f>
        <v>A</v>
      </c>
      <c r="AI13" s="28" t="str">
        <f t="shared" si="11"/>
        <v>B</v>
      </c>
      <c r="AJ13" s="28" t="str">
        <f t="shared" si="11"/>
        <v>C</v>
      </c>
      <c r="AK13" s="28" t="str">
        <f t="shared" si="11"/>
        <v>D</v>
      </c>
      <c r="AL13" s="28" t="str">
        <f t="shared" si="11"/>
        <v>E</v>
      </c>
      <c r="AM13" s="28" t="str">
        <f t="shared" si="11"/>
        <v>F</v>
      </c>
      <c r="AN13" s="28" t="str">
        <f t="shared" si="11"/>
        <v>G</v>
      </c>
      <c r="AO13" s="28" t="str">
        <f t="shared" si="11"/>
        <v>H</v>
      </c>
      <c r="AP13" s="28" t="str">
        <f t="shared" si="11"/>
        <v>I</v>
      </c>
      <c r="AQ13" s="28" t="str">
        <f t="shared" si="11"/>
        <v>J</v>
      </c>
      <c r="AR13" s="28" t="str">
        <f t="shared" si="11"/>
        <v>K</v>
      </c>
      <c r="AS13" s="28" t="str">
        <f t="shared" si="11"/>
        <v>L</v>
      </c>
      <c r="AT13" s="28" t="str">
        <f t="shared" si="11"/>
        <v>M</v>
      </c>
      <c r="AU13" s="28" t="str">
        <f t="shared" si="11"/>
        <v>N</v>
      </c>
      <c r="AV13" s="28" t="str">
        <f t="shared" si="11"/>
        <v>O</v>
      </c>
      <c r="AW13" s="28" t="str">
        <f t="shared" si="11"/>
        <v>P</v>
      </c>
      <c r="AX13" s="28" t="str">
        <f t="shared" si="11"/>
        <v>Q</v>
      </c>
      <c r="AY13" s="28" t="str">
        <f t="shared" si="11"/>
        <v>R</v>
      </c>
      <c r="AZ13" s="28" t="str">
        <f t="shared" si="11"/>
        <v>S</v>
      </c>
      <c r="BA13" s="28" t="str">
        <f t="shared" si="11"/>
        <v>T</v>
      </c>
      <c r="BB13" s="28" t="str">
        <f t="shared" si="11"/>
        <v>U</v>
      </c>
      <c r="BC13" s="28" t="str">
        <f t="shared" si="11"/>
        <v>V</v>
      </c>
      <c r="BD13" s="28" t="str">
        <f t="shared" si="11"/>
        <v>W</v>
      </c>
      <c r="BE13" s="28" t="str">
        <f t="shared" si="11"/>
        <v>X</v>
      </c>
      <c r="BF13" s="28" t="str">
        <f t="shared" si="11"/>
        <v>Y</v>
      </c>
      <c r="BG13" s="28" t="str">
        <f t="shared" si="11"/>
        <v>Z</v>
      </c>
    </row>
    <row r="14" spans="1:59" x14ac:dyDescent="0.35">
      <c r="B14" s="22"/>
      <c r="C14" s="8"/>
      <c r="E14" t="s">
        <v>387</v>
      </c>
      <c r="F14" s="15" t="str">
        <f t="shared" ref="F14:AE14" si="12">IF(F11=1,VLOOKUP(nRotorM&amp;F13,nRotor,4,FALSE),"")</f>
        <v>I</v>
      </c>
      <c r="G14" s="15" t="str">
        <f t="shared" si="12"/>
        <v>R</v>
      </c>
      <c r="H14" s="15" t="str">
        <f t="shared" si="12"/>
        <v>H</v>
      </c>
      <c r="I14" s="15" t="str">
        <f t="shared" si="12"/>
        <v>X</v>
      </c>
      <c r="J14" s="15" t="str">
        <f t="shared" si="12"/>
        <v>L</v>
      </c>
      <c r="K14" s="15" t="str">
        <f t="shared" si="12"/>
        <v>N</v>
      </c>
      <c r="L14" s="15" t="str">
        <f t="shared" si="12"/>
        <v>F</v>
      </c>
      <c r="M14" s="15" t="str">
        <f t="shared" si="12"/>
        <v>T</v>
      </c>
      <c r="N14" s="15" t="str">
        <f t="shared" si="12"/>
        <v>G</v>
      </c>
      <c r="O14" s="15" t="str">
        <f t="shared" si="12"/>
        <v>K</v>
      </c>
      <c r="P14" s="15" t="str">
        <f t="shared" si="12"/>
        <v>D</v>
      </c>
      <c r="Q14" s="15" t="str">
        <f t="shared" si="12"/>
        <v>C</v>
      </c>
      <c r="R14" s="15" t="str">
        <f t="shared" si="12"/>
        <v>M</v>
      </c>
      <c r="S14" s="15" t="str">
        <f t="shared" si="12"/>
        <v>W</v>
      </c>
      <c r="T14" s="15" t="str">
        <f t="shared" si="12"/>
        <v>B</v>
      </c>
      <c r="U14" s="15" t="str">
        <f t="shared" si="12"/>
        <v>E</v>
      </c>
      <c r="V14" s="15" t="str">
        <f t="shared" si="12"/>
        <v>S</v>
      </c>
      <c r="W14" s="15" t="str">
        <f t="shared" si="12"/>
        <v>O</v>
      </c>
      <c r="X14" s="15" t="str">
        <f t="shared" si="12"/>
        <v>V</v>
      </c>
      <c r="Y14" s="15" t="str">
        <f t="shared" si="12"/>
        <v>P</v>
      </c>
      <c r="Z14" s="15" t="str">
        <f t="shared" si="12"/>
        <v>Z</v>
      </c>
      <c r="AA14" s="15" t="str">
        <f t="shared" si="12"/>
        <v>J</v>
      </c>
      <c r="AB14" s="15" t="str">
        <f t="shared" si="12"/>
        <v>A</v>
      </c>
      <c r="AC14" s="15" t="str">
        <f t="shared" si="12"/>
        <v>Y</v>
      </c>
      <c r="AD14" s="15" t="str">
        <f t="shared" si="12"/>
        <v>Q</v>
      </c>
      <c r="AE14" s="15" t="str">
        <f t="shared" si="12"/>
        <v>U</v>
      </c>
      <c r="AF14" s="10"/>
      <c r="AH14" s="28" t="str">
        <f t="shared" ref="AH14:BG14" si="13">IF(LEN(AH15)=2,RIGHT(AH15,1),"")</f>
        <v>X</v>
      </c>
      <c r="AI14" s="28" t="str">
        <f t="shared" si="13"/>
        <v>G</v>
      </c>
      <c r="AJ14" s="28" t="str">
        <f t="shared" si="13"/>
        <v>W</v>
      </c>
      <c r="AK14" s="28" t="str">
        <f t="shared" si="13"/>
        <v>M</v>
      </c>
      <c r="AL14" s="28" t="str">
        <f t="shared" si="13"/>
        <v>A</v>
      </c>
      <c r="AM14" s="28" t="str">
        <f t="shared" si="13"/>
        <v>C</v>
      </c>
      <c r="AN14" s="28" t="str">
        <f t="shared" si="13"/>
        <v>U</v>
      </c>
      <c r="AO14" s="28" t="str">
        <f t="shared" si="13"/>
        <v>I</v>
      </c>
      <c r="AP14" s="28" t="str">
        <f t="shared" si="13"/>
        <v>V</v>
      </c>
      <c r="AQ14" s="28" t="str">
        <f t="shared" si="13"/>
        <v>Z</v>
      </c>
      <c r="AR14" s="28" t="str">
        <f t="shared" si="13"/>
        <v>S</v>
      </c>
      <c r="AS14" s="28" t="str">
        <f t="shared" si="13"/>
        <v>R</v>
      </c>
      <c r="AT14" s="28" t="str">
        <f t="shared" si="13"/>
        <v>B</v>
      </c>
      <c r="AU14" s="28" t="str">
        <f t="shared" si="13"/>
        <v>L</v>
      </c>
      <c r="AV14" s="28" t="str">
        <f t="shared" si="13"/>
        <v>Q</v>
      </c>
      <c r="AW14" s="28" t="str">
        <f t="shared" si="13"/>
        <v>T</v>
      </c>
      <c r="AX14" s="28" t="str">
        <f t="shared" si="13"/>
        <v>H</v>
      </c>
      <c r="AY14" s="28" t="str">
        <f t="shared" si="13"/>
        <v>D</v>
      </c>
      <c r="AZ14" s="28" t="str">
        <f t="shared" si="13"/>
        <v>K</v>
      </c>
      <c r="BA14" s="28" t="str">
        <f t="shared" si="13"/>
        <v>E</v>
      </c>
      <c r="BB14" s="28" t="str">
        <f t="shared" si="13"/>
        <v>O</v>
      </c>
      <c r="BC14" s="28" t="str">
        <f t="shared" si="13"/>
        <v>Y</v>
      </c>
      <c r="BD14" s="28" t="str">
        <f t="shared" si="13"/>
        <v>P</v>
      </c>
      <c r="BE14" s="28" t="str">
        <f t="shared" si="13"/>
        <v>N</v>
      </c>
      <c r="BF14" s="28" t="str">
        <f t="shared" si="13"/>
        <v>F</v>
      </c>
      <c r="BG14" s="28" t="str">
        <f t="shared" si="13"/>
        <v>J</v>
      </c>
    </row>
    <row r="15" spans="1:59" ht="15" thickBot="1" x14ac:dyDescent="0.4">
      <c r="B15" s="23"/>
      <c r="C15" s="16"/>
      <c r="D15" s="17"/>
      <c r="E15" s="17" t="s">
        <v>388</v>
      </c>
      <c r="F15" s="18" t="str">
        <f t="shared" ref="F15:AE15" si="14">IF(F11=1,IF(CODE(F14)-CODE(F13)&lt;0,VLOOKUP((CODE(F14)-CODE(F13)+26)+(CODE(F10)-nCharOffset),nNum2Let,2,FALSE),VLOOKUP((CODE(F14)-CODE(F13))+(CODE(F10)-nCharOffset),nNum2Let,2,FALSE)),"")</f>
        <v>X</v>
      </c>
      <c r="G15" s="18" t="str">
        <f t="shared" si="14"/>
        <v>G</v>
      </c>
      <c r="H15" s="18" t="str">
        <f t="shared" si="14"/>
        <v>W</v>
      </c>
      <c r="I15" s="18" t="str">
        <f t="shared" si="14"/>
        <v>M</v>
      </c>
      <c r="J15" s="18" t="str">
        <f t="shared" si="14"/>
        <v>A</v>
      </c>
      <c r="K15" s="18" t="str">
        <f t="shared" si="14"/>
        <v>C</v>
      </c>
      <c r="L15" s="18" t="str">
        <f t="shared" si="14"/>
        <v>U</v>
      </c>
      <c r="M15" s="18" t="str">
        <f t="shared" si="14"/>
        <v>I</v>
      </c>
      <c r="N15" s="18" t="str">
        <f t="shared" si="14"/>
        <v>V</v>
      </c>
      <c r="O15" s="18" t="str">
        <f t="shared" si="14"/>
        <v>Z</v>
      </c>
      <c r="P15" s="18" t="str">
        <f t="shared" si="14"/>
        <v>S</v>
      </c>
      <c r="Q15" s="18" t="str">
        <f t="shared" si="14"/>
        <v>R</v>
      </c>
      <c r="R15" s="18" t="str">
        <f t="shared" si="14"/>
        <v>B</v>
      </c>
      <c r="S15" s="18" t="str">
        <f t="shared" si="14"/>
        <v>L</v>
      </c>
      <c r="T15" s="18" t="str">
        <f t="shared" si="14"/>
        <v>Q</v>
      </c>
      <c r="U15" s="18" t="str">
        <f t="shared" si="14"/>
        <v>T</v>
      </c>
      <c r="V15" s="18" t="str">
        <f t="shared" si="14"/>
        <v>H</v>
      </c>
      <c r="W15" s="18" t="str">
        <f t="shared" si="14"/>
        <v>D</v>
      </c>
      <c r="X15" s="18" t="str">
        <f t="shared" si="14"/>
        <v>K</v>
      </c>
      <c r="Y15" s="18" t="str">
        <f t="shared" si="14"/>
        <v>E</v>
      </c>
      <c r="Z15" s="18" t="str">
        <f t="shared" si="14"/>
        <v>O</v>
      </c>
      <c r="AA15" s="18" t="str">
        <f t="shared" si="14"/>
        <v>Y</v>
      </c>
      <c r="AB15" s="18" t="str">
        <f t="shared" si="14"/>
        <v>P</v>
      </c>
      <c r="AC15" s="18" t="str">
        <f t="shared" si="14"/>
        <v>N</v>
      </c>
      <c r="AD15" s="18" t="str">
        <f t="shared" si="14"/>
        <v>F</v>
      </c>
      <c r="AE15" s="18" t="str">
        <f t="shared" si="14"/>
        <v>J</v>
      </c>
      <c r="AF15" s="19" t="str">
        <f>CONCATENATE(F15,G15,H15,I15,J15,K15,L15,M15,N15,O15,P15,Q15,R15,S15,T15&amp;U15,V15,W15,X15,Y15,Z15,AA15,AB15,AC15,AD15,AE15)</f>
        <v>XGWMACUIVZSRBLQTHDKEOYPNFJ</v>
      </c>
      <c r="AH15" s="12" t="str">
        <f>F10&amp;F15</f>
        <v>AX</v>
      </c>
      <c r="AI15" s="12" t="str">
        <f t="shared" ref="AI15:BG15" si="15">G10&amp;G15</f>
        <v>BG</v>
      </c>
      <c r="AJ15" s="12" t="str">
        <f t="shared" si="15"/>
        <v>CW</v>
      </c>
      <c r="AK15" s="12" t="str">
        <f t="shared" si="15"/>
        <v>DM</v>
      </c>
      <c r="AL15" s="12" t="str">
        <f t="shared" si="15"/>
        <v>EA</v>
      </c>
      <c r="AM15" s="12" t="str">
        <f t="shared" si="15"/>
        <v>FC</v>
      </c>
      <c r="AN15" s="12" t="str">
        <f t="shared" si="15"/>
        <v>GU</v>
      </c>
      <c r="AO15" s="12" t="str">
        <f t="shared" si="15"/>
        <v>HI</v>
      </c>
      <c r="AP15" s="12" t="str">
        <f t="shared" si="15"/>
        <v>IV</v>
      </c>
      <c r="AQ15" s="12" t="str">
        <f t="shared" si="15"/>
        <v>JZ</v>
      </c>
      <c r="AR15" s="12" t="str">
        <f t="shared" si="15"/>
        <v>KS</v>
      </c>
      <c r="AS15" s="12" t="str">
        <f t="shared" si="15"/>
        <v>LR</v>
      </c>
      <c r="AT15" s="12" t="str">
        <f t="shared" si="15"/>
        <v>MB</v>
      </c>
      <c r="AU15" s="12" t="str">
        <f t="shared" si="15"/>
        <v>NL</v>
      </c>
      <c r="AV15" s="12" t="str">
        <f t="shared" si="15"/>
        <v>OQ</v>
      </c>
      <c r="AW15" s="12" t="str">
        <f t="shared" si="15"/>
        <v>PT</v>
      </c>
      <c r="AX15" s="12" t="str">
        <f t="shared" si="15"/>
        <v>QH</v>
      </c>
      <c r="AY15" s="12" t="str">
        <f t="shared" si="15"/>
        <v>RD</v>
      </c>
      <c r="AZ15" s="12" t="str">
        <f t="shared" si="15"/>
        <v>SK</v>
      </c>
      <c r="BA15" s="12" t="str">
        <f t="shared" si="15"/>
        <v>TE</v>
      </c>
      <c r="BB15" s="12" t="str">
        <f t="shared" si="15"/>
        <v>UO</v>
      </c>
      <c r="BC15" s="12" t="str">
        <f t="shared" si="15"/>
        <v>VY</v>
      </c>
      <c r="BD15" s="12" t="str">
        <f t="shared" si="15"/>
        <v>WP</v>
      </c>
      <c r="BE15" s="12" t="str">
        <f t="shared" si="15"/>
        <v>XN</v>
      </c>
      <c r="BF15" s="12" t="str">
        <f t="shared" si="15"/>
        <v>YF</v>
      </c>
      <c r="BG15" s="12" t="str">
        <f t="shared" si="15"/>
        <v>ZJ</v>
      </c>
    </row>
    <row r="16" spans="1:59" x14ac:dyDescent="0.35">
      <c r="B16" s="21"/>
      <c r="C16" s="4"/>
      <c r="D16" s="5"/>
      <c r="E16" s="5" t="s">
        <v>385</v>
      </c>
      <c r="F16" s="6" t="s">
        <v>0</v>
      </c>
      <c r="G16" s="6" t="s">
        <v>1</v>
      </c>
      <c r="H16" s="6" t="s">
        <v>2</v>
      </c>
      <c r="I16" s="6" t="s">
        <v>3</v>
      </c>
      <c r="J16" s="6" t="s">
        <v>4</v>
      </c>
      <c r="K16" s="6" t="s">
        <v>5</v>
      </c>
      <c r="L16" s="6" t="s">
        <v>6</v>
      </c>
      <c r="M16" s="6" t="s">
        <v>7</v>
      </c>
      <c r="N16" s="6" t="s">
        <v>8</v>
      </c>
      <c r="O16" s="6" t="s">
        <v>9</v>
      </c>
      <c r="P16" s="6" t="s">
        <v>10</v>
      </c>
      <c r="Q16" s="6" t="s">
        <v>11</v>
      </c>
      <c r="R16" s="6" t="s">
        <v>12</v>
      </c>
      <c r="S16" s="6" t="s">
        <v>13</v>
      </c>
      <c r="T16" s="6" t="s">
        <v>14</v>
      </c>
      <c r="U16" s="6" t="s">
        <v>15</v>
      </c>
      <c r="V16" s="6" t="s">
        <v>16</v>
      </c>
      <c r="W16" s="6" t="s">
        <v>17</v>
      </c>
      <c r="X16" s="6" t="s">
        <v>18</v>
      </c>
      <c r="Y16" s="6" t="s">
        <v>19</v>
      </c>
      <c r="Z16" s="6" t="s">
        <v>20</v>
      </c>
      <c r="AA16" s="6" t="s">
        <v>21</v>
      </c>
      <c r="AB16" s="6" t="s">
        <v>22</v>
      </c>
      <c r="AC16" s="6" t="s">
        <v>23</v>
      </c>
      <c r="AD16" s="6" t="s">
        <v>24</v>
      </c>
      <c r="AE16" s="6" t="s">
        <v>25</v>
      </c>
      <c r="AF16" s="7"/>
      <c r="AH16" s="28" t="str">
        <f>HLOOKUP(AH8,$AH13:$BG14,2,FALSE)</f>
        <v>I</v>
      </c>
      <c r="AI16" s="28" t="str">
        <f>HLOOKUP(AI8,$AH13:$BG14,2,FALSE)</f>
        <v>Y</v>
      </c>
      <c r="AJ16" s="28" t="str">
        <f>HLOOKUP(AJ8,$AH13:$BG14,2,FALSE)</f>
        <v>N</v>
      </c>
      <c r="AK16" s="28" t="str">
        <f t="shared" ref="AK16:BG16" si="16">HLOOKUP(AK8,$AH13:$BG14,2,FALSE)</f>
        <v>U</v>
      </c>
      <c r="AL16" s="28" t="str">
        <f t="shared" si="16"/>
        <v>L</v>
      </c>
      <c r="AM16" s="28" t="str">
        <f t="shared" si="16"/>
        <v>M</v>
      </c>
      <c r="AN16" s="28" t="str">
        <f t="shared" si="16"/>
        <v>P</v>
      </c>
      <c r="AO16" s="28" t="str">
        <f t="shared" si="16"/>
        <v>B</v>
      </c>
      <c r="AP16" s="28" t="str">
        <f t="shared" si="16"/>
        <v>V</v>
      </c>
      <c r="AQ16" s="28" t="str">
        <f t="shared" si="16"/>
        <v>D</v>
      </c>
      <c r="AR16" s="28" t="str">
        <f t="shared" si="16"/>
        <v>R</v>
      </c>
      <c r="AS16" s="28" t="str">
        <f t="shared" si="16"/>
        <v>K</v>
      </c>
      <c r="AT16" s="28" t="str">
        <f t="shared" si="16"/>
        <v>X</v>
      </c>
      <c r="AU16" s="28" t="str">
        <f t="shared" si="16"/>
        <v>H</v>
      </c>
      <c r="AV16" s="28" t="str">
        <f t="shared" si="16"/>
        <v>J</v>
      </c>
      <c r="AW16" s="28" t="str">
        <f t="shared" si="16"/>
        <v>W</v>
      </c>
      <c r="AX16" s="28" t="str">
        <f t="shared" si="16"/>
        <v>C</v>
      </c>
      <c r="AY16" s="28" t="str">
        <f t="shared" si="16"/>
        <v>Z</v>
      </c>
      <c r="AZ16" s="28" t="str">
        <f t="shared" si="16"/>
        <v>E</v>
      </c>
      <c r="BA16" s="28" t="str">
        <f t="shared" si="16"/>
        <v>T</v>
      </c>
      <c r="BB16" s="28" t="str">
        <f t="shared" si="16"/>
        <v>A</v>
      </c>
      <c r="BC16" s="28" t="str">
        <f t="shared" si="16"/>
        <v>G</v>
      </c>
      <c r="BD16" s="28" t="str">
        <f t="shared" si="16"/>
        <v>O</v>
      </c>
      <c r="BE16" s="28" t="str">
        <f t="shared" si="16"/>
        <v>S</v>
      </c>
      <c r="BF16" s="28" t="str">
        <f t="shared" si="16"/>
        <v>F</v>
      </c>
      <c r="BG16" s="28" t="str">
        <f t="shared" si="16"/>
        <v>Q</v>
      </c>
    </row>
    <row r="17" spans="1:59" x14ac:dyDescent="0.35">
      <c r="A17" s="43">
        <f>INT(D2/676)</f>
        <v>5</v>
      </c>
      <c r="B17" s="10"/>
      <c r="C17" s="8"/>
      <c r="F17" s="1">
        <f>IF(ISERROR(FIND(F16,$AF15)),0,1)</f>
        <v>1</v>
      </c>
      <c r="G17" s="1">
        <f t="shared" ref="G17:AE17" si="17">IF(ISERROR(FIND(G16,$AF15)),0,1)</f>
        <v>1</v>
      </c>
      <c r="H17" s="1">
        <f t="shared" si="17"/>
        <v>1</v>
      </c>
      <c r="I17" s="1">
        <f t="shared" si="17"/>
        <v>1</v>
      </c>
      <c r="J17" s="1">
        <f t="shared" si="17"/>
        <v>1</v>
      </c>
      <c r="K17" s="1">
        <f t="shared" si="17"/>
        <v>1</v>
      </c>
      <c r="L17" s="1">
        <f t="shared" si="17"/>
        <v>1</v>
      </c>
      <c r="M17" s="1">
        <f t="shared" si="17"/>
        <v>1</v>
      </c>
      <c r="N17" s="1">
        <f t="shared" si="17"/>
        <v>1</v>
      </c>
      <c r="O17" s="1">
        <f t="shared" si="17"/>
        <v>1</v>
      </c>
      <c r="P17" s="1">
        <f t="shared" si="17"/>
        <v>1</v>
      </c>
      <c r="Q17" s="1">
        <f t="shared" si="17"/>
        <v>1</v>
      </c>
      <c r="R17" s="1">
        <f t="shared" si="17"/>
        <v>1</v>
      </c>
      <c r="S17" s="1">
        <f t="shared" si="17"/>
        <v>1</v>
      </c>
      <c r="T17" s="1">
        <f t="shared" si="17"/>
        <v>1</v>
      </c>
      <c r="U17" s="1">
        <f t="shared" si="17"/>
        <v>1</v>
      </c>
      <c r="V17" s="1">
        <f t="shared" si="17"/>
        <v>1</v>
      </c>
      <c r="W17" s="1">
        <f t="shared" si="17"/>
        <v>1</v>
      </c>
      <c r="X17" s="1">
        <f t="shared" si="17"/>
        <v>1</v>
      </c>
      <c r="Y17" s="1">
        <f t="shared" si="17"/>
        <v>1</v>
      </c>
      <c r="Z17" s="1">
        <f t="shared" si="17"/>
        <v>1</v>
      </c>
      <c r="AA17" s="1">
        <f t="shared" si="17"/>
        <v>1</v>
      </c>
      <c r="AB17" s="1">
        <f t="shared" si="17"/>
        <v>1</v>
      </c>
      <c r="AC17" s="1">
        <f t="shared" si="17"/>
        <v>1</v>
      </c>
      <c r="AD17" s="1">
        <f t="shared" si="17"/>
        <v>1</v>
      </c>
      <c r="AE17" s="1">
        <f t="shared" si="17"/>
        <v>1</v>
      </c>
      <c r="AF17" s="10"/>
    </row>
    <row r="18" spans="1:59" x14ac:dyDescent="0.35">
      <c r="A18" s="43">
        <f>IF(A17=0,26,A17)</f>
        <v>5</v>
      </c>
      <c r="B18" s="10" t="s">
        <v>381</v>
      </c>
      <c r="C18" s="41">
        <f>n_RotorL</f>
        <v>1</v>
      </c>
      <c r="D18" s="11">
        <f>A18</f>
        <v>5</v>
      </c>
      <c r="E18" s="11">
        <f>IF(MOD(D18,26)=0,26,MOD(D18,26))</f>
        <v>5</v>
      </c>
      <c r="F18" s="12" t="str">
        <f>CHAR(E18+nCharOffset)</f>
        <v>E</v>
      </c>
      <c r="G18" s="13" t="str">
        <f t="shared" ref="G18:AE18" si="18">VLOOKUP(F18,nNextLetter,2,FALSE)</f>
        <v>F</v>
      </c>
      <c r="H18" s="13" t="str">
        <f t="shared" si="18"/>
        <v>G</v>
      </c>
      <c r="I18" s="13" t="str">
        <f t="shared" si="18"/>
        <v>H</v>
      </c>
      <c r="J18" s="13" t="str">
        <f t="shared" si="18"/>
        <v>I</v>
      </c>
      <c r="K18" s="13" t="str">
        <f t="shared" si="18"/>
        <v>J</v>
      </c>
      <c r="L18" s="13" t="str">
        <f t="shared" si="18"/>
        <v>K</v>
      </c>
      <c r="M18" s="13" t="str">
        <f t="shared" si="18"/>
        <v>L</v>
      </c>
      <c r="N18" s="13" t="str">
        <f t="shared" si="18"/>
        <v>M</v>
      </c>
      <c r="O18" s="13" t="str">
        <f t="shared" si="18"/>
        <v>N</v>
      </c>
      <c r="P18" s="13" t="str">
        <f t="shared" si="18"/>
        <v>O</v>
      </c>
      <c r="Q18" s="13" t="str">
        <f t="shared" si="18"/>
        <v>P</v>
      </c>
      <c r="R18" s="13" t="str">
        <f t="shared" si="18"/>
        <v>Q</v>
      </c>
      <c r="S18" s="13" t="str">
        <f t="shared" si="18"/>
        <v>R</v>
      </c>
      <c r="T18" s="13" t="str">
        <f t="shared" si="18"/>
        <v>S</v>
      </c>
      <c r="U18" s="13" t="str">
        <f t="shared" si="18"/>
        <v>T</v>
      </c>
      <c r="V18" s="13" t="str">
        <f t="shared" si="18"/>
        <v>U</v>
      </c>
      <c r="W18" s="13" t="str">
        <f t="shared" si="18"/>
        <v>V</v>
      </c>
      <c r="X18" s="13" t="str">
        <f t="shared" si="18"/>
        <v>W</v>
      </c>
      <c r="Y18" s="13" t="str">
        <f t="shared" si="18"/>
        <v>X</v>
      </c>
      <c r="Z18" s="13" t="str">
        <f t="shared" si="18"/>
        <v>Y</v>
      </c>
      <c r="AA18" s="13" t="str">
        <f t="shared" si="18"/>
        <v>Z</v>
      </c>
      <c r="AB18" s="13" t="str">
        <f t="shared" si="18"/>
        <v>A</v>
      </c>
      <c r="AC18" s="13" t="str">
        <f t="shared" si="18"/>
        <v>B</v>
      </c>
      <c r="AD18" s="13" t="str">
        <f t="shared" si="18"/>
        <v>C</v>
      </c>
      <c r="AE18" s="13" t="str">
        <f t="shared" si="18"/>
        <v>D</v>
      </c>
      <c r="AF18" s="10"/>
    </row>
    <row r="19" spans="1:59" x14ac:dyDescent="0.35">
      <c r="B19" s="22" t="s">
        <v>391</v>
      </c>
      <c r="C19" s="41" t="str">
        <f>n_RingPosL</f>
        <v>A</v>
      </c>
      <c r="D19" s="11">
        <f>VLOOKUP(C19,nRingOffset,2,FALSE)</f>
        <v>0</v>
      </c>
      <c r="E19" t="s">
        <v>386</v>
      </c>
      <c r="F19" s="14" t="str">
        <f t="shared" ref="F19:AE19" si="19">IF(F17=1,VLOOKUP(nCurPosL+nRingOffsetL+(CODE(F16)-nCharOffset)-1,nNum2Let,2,FALSE),"")</f>
        <v>E</v>
      </c>
      <c r="G19" s="14" t="str">
        <f t="shared" si="19"/>
        <v>F</v>
      </c>
      <c r="H19" s="14" t="str">
        <f t="shared" si="19"/>
        <v>G</v>
      </c>
      <c r="I19" s="14" t="str">
        <f t="shared" si="19"/>
        <v>H</v>
      </c>
      <c r="J19" s="14" t="str">
        <f t="shared" si="19"/>
        <v>I</v>
      </c>
      <c r="K19" s="14" t="str">
        <f t="shared" si="19"/>
        <v>J</v>
      </c>
      <c r="L19" s="14" t="str">
        <f t="shared" si="19"/>
        <v>K</v>
      </c>
      <c r="M19" s="14" t="str">
        <f t="shared" si="19"/>
        <v>L</v>
      </c>
      <c r="N19" s="14" t="str">
        <f t="shared" si="19"/>
        <v>M</v>
      </c>
      <c r="O19" s="14" t="str">
        <f t="shared" si="19"/>
        <v>N</v>
      </c>
      <c r="P19" s="14" t="str">
        <f t="shared" si="19"/>
        <v>O</v>
      </c>
      <c r="Q19" s="14" t="str">
        <f t="shared" si="19"/>
        <v>P</v>
      </c>
      <c r="R19" s="14" t="str">
        <f t="shared" si="19"/>
        <v>Q</v>
      </c>
      <c r="S19" s="14" t="str">
        <f t="shared" si="19"/>
        <v>R</v>
      </c>
      <c r="T19" s="14" t="str">
        <f t="shared" si="19"/>
        <v>S</v>
      </c>
      <c r="U19" s="14" t="str">
        <f t="shared" si="19"/>
        <v>T</v>
      </c>
      <c r="V19" s="14" t="str">
        <f t="shared" si="19"/>
        <v>U</v>
      </c>
      <c r="W19" s="14" t="str">
        <f t="shared" si="19"/>
        <v>V</v>
      </c>
      <c r="X19" s="14" t="str">
        <f t="shared" si="19"/>
        <v>W</v>
      </c>
      <c r="Y19" s="14" t="str">
        <f t="shared" si="19"/>
        <v>X</v>
      </c>
      <c r="Z19" s="14" t="str">
        <f t="shared" si="19"/>
        <v>Y</v>
      </c>
      <c r="AA19" s="14" t="str">
        <f t="shared" si="19"/>
        <v>Z</v>
      </c>
      <c r="AB19" s="14" t="str">
        <f t="shared" si="19"/>
        <v>A</v>
      </c>
      <c r="AC19" s="14" t="str">
        <f t="shared" si="19"/>
        <v>B</v>
      </c>
      <c r="AD19" s="14" t="str">
        <f t="shared" si="19"/>
        <v>C</v>
      </c>
      <c r="AE19" s="14" t="str">
        <f t="shared" si="19"/>
        <v>D</v>
      </c>
      <c r="AF19" s="10"/>
      <c r="AH19" s="28" t="str">
        <f t="shared" ref="AH19:BG19" si="20">IF(LEN(AH21)=2,LEFT(AH21,1),"")</f>
        <v>A</v>
      </c>
      <c r="AI19" s="28" t="str">
        <f t="shared" si="20"/>
        <v>B</v>
      </c>
      <c r="AJ19" s="28" t="str">
        <f t="shared" si="20"/>
        <v>C</v>
      </c>
      <c r="AK19" s="28" t="str">
        <f t="shared" si="20"/>
        <v>D</v>
      </c>
      <c r="AL19" s="28" t="str">
        <f t="shared" si="20"/>
        <v>E</v>
      </c>
      <c r="AM19" s="28" t="str">
        <f t="shared" si="20"/>
        <v>F</v>
      </c>
      <c r="AN19" s="28" t="str">
        <f t="shared" si="20"/>
        <v>G</v>
      </c>
      <c r="AO19" s="28" t="str">
        <f t="shared" si="20"/>
        <v>H</v>
      </c>
      <c r="AP19" s="28" t="str">
        <f t="shared" si="20"/>
        <v>I</v>
      </c>
      <c r="AQ19" s="28" t="str">
        <f t="shared" si="20"/>
        <v>J</v>
      </c>
      <c r="AR19" s="28" t="str">
        <f t="shared" si="20"/>
        <v>K</v>
      </c>
      <c r="AS19" s="28" t="str">
        <f t="shared" si="20"/>
        <v>L</v>
      </c>
      <c r="AT19" s="28" t="str">
        <f t="shared" si="20"/>
        <v>M</v>
      </c>
      <c r="AU19" s="28" t="str">
        <f t="shared" si="20"/>
        <v>N</v>
      </c>
      <c r="AV19" s="28" t="str">
        <f t="shared" si="20"/>
        <v>O</v>
      </c>
      <c r="AW19" s="28" t="str">
        <f t="shared" si="20"/>
        <v>P</v>
      </c>
      <c r="AX19" s="28" t="str">
        <f t="shared" si="20"/>
        <v>Q</v>
      </c>
      <c r="AY19" s="28" t="str">
        <f t="shared" si="20"/>
        <v>R</v>
      </c>
      <c r="AZ19" s="28" t="str">
        <f t="shared" si="20"/>
        <v>S</v>
      </c>
      <c r="BA19" s="28" t="str">
        <f t="shared" si="20"/>
        <v>T</v>
      </c>
      <c r="BB19" s="28" t="str">
        <f t="shared" si="20"/>
        <v>U</v>
      </c>
      <c r="BC19" s="28" t="str">
        <f t="shared" si="20"/>
        <v>V</v>
      </c>
      <c r="BD19" s="28" t="str">
        <f t="shared" si="20"/>
        <v>W</v>
      </c>
      <c r="BE19" s="28" t="str">
        <f t="shared" si="20"/>
        <v>X</v>
      </c>
      <c r="BF19" s="28" t="str">
        <f t="shared" si="20"/>
        <v>Y</v>
      </c>
      <c r="BG19" s="28" t="str">
        <f t="shared" si="20"/>
        <v>Z</v>
      </c>
    </row>
    <row r="20" spans="1:59" x14ac:dyDescent="0.35">
      <c r="B20" s="22"/>
      <c r="C20" s="8"/>
      <c r="E20" t="s">
        <v>387</v>
      </c>
      <c r="F20" s="15" t="str">
        <f t="shared" ref="F20:AE20" si="21">IF(F17=1,VLOOKUP(nRotorL&amp;F19,nRotor,4,FALSE),"")</f>
        <v>L</v>
      </c>
      <c r="G20" s="15" t="str">
        <f t="shared" si="21"/>
        <v>G</v>
      </c>
      <c r="H20" s="15" t="str">
        <f t="shared" si="21"/>
        <v>D</v>
      </c>
      <c r="I20" s="15" t="str">
        <f t="shared" si="21"/>
        <v>Q</v>
      </c>
      <c r="J20" s="15" t="str">
        <f t="shared" si="21"/>
        <v>V</v>
      </c>
      <c r="K20" s="15" t="str">
        <f t="shared" si="21"/>
        <v>Z</v>
      </c>
      <c r="L20" s="15" t="str">
        <f t="shared" si="21"/>
        <v>N</v>
      </c>
      <c r="M20" s="15" t="str">
        <f t="shared" si="21"/>
        <v>T</v>
      </c>
      <c r="N20" s="15" t="str">
        <f t="shared" si="21"/>
        <v>O</v>
      </c>
      <c r="O20" s="15" t="str">
        <f t="shared" si="21"/>
        <v>W</v>
      </c>
      <c r="P20" s="15" t="str">
        <f t="shared" si="21"/>
        <v>Y</v>
      </c>
      <c r="Q20" s="15" t="str">
        <f t="shared" si="21"/>
        <v>H</v>
      </c>
      <c r="R20" s="15" t="str">
        <f t="shared" si="21"/>
        <v>X</v>
      </c>
      <c r="S20" s="15" t="str">
        <f t="shared" si="21"/>
        <v>U</v>
      </c>
      <c r="T20" s="15" t="str">
        <f t="shared" si="21"/>
        <v>S</v>
      </c>
      <c r="U20" s="15" t="str">
        <f t="shared" si="21"/>
        <v>P</v>
      </c>
      <c r="V20" s="15" t="str">
        <f t="shared" si="21"/>
        <v>A</v>
      </c>
      <c r="W20" s="15" t="str">
        <f t="shared" si="21"/>
        <v>I</v>
      </c>
      <c r="X20" s="15" t="str">
        <f t="shared" si="21"/>
        <v>B</v>
      </c>
      <c r="Y20" s="15" t="str">
        <f t="shared" si="21"/>
        <v>R</v>
      </c>
      <c r="Z20" s="15" t="str">
        <f t="shared" si="21"/>
        <v>C</v>
      </c>
      <c r="AA20" s="15" t="str">
        <f t="shared" si="21"/>
        <v>J</v>
      </c>
      <c r="AB20" s="15" t="str">
        <f t="shared" si="21"/>
        <v>E</v>
      </c>
      <c r="AC20" s="15" t="str">
        <f t="shared" si="21"/>
        <v>K</v>
      </c>
      <c r="AD20" s="15" t="str">
        <f t="shared" si="21"/>
        <v>M</v>
      </c>
      <c r="AE20" s="15" t="str">
        <f t="shared" si="21"/>
        <v>F</v>
      </c>
      <c r="AF20" s="10"/>
      <c r="AH20" s="28" t="str">
        <f t="shared" ref="AH20:BG20" si="22">IF(LEN(AH21)=2,RIGHT(AH21,1),"")</f>
        <v>H</v>
      </c>
      <c r="AI20" s="28" t="str">
        <f t="shared" si="22"/>
        <v>C</v>
      </c>
      <c r="AJ20" s="28" t="str">
        <f t="shared" si="22"/>
        <v>Z</v>
      </c>
      <c r="AK20" s="28" t="str">
        <f t="shared" si="22"/>
        <v>M</v>
      </c>
      <c r="AL20" s="28" t="str">
        <f t="shared" si="22"/>
        <v>R</v>
      </c>
      <c r="AM20" s="28" t="str">
        <f t="shared" si="22"/>
        <v>V</v>
      </c>
      <c r="AN20" s="28" t="str">
        <f t="shared" si="22"/>
        <v>J</v>
      </c>
      <c r="AO20" s="28" t="str">
        <f t="shared" si="22"/>
        <v>P</v>
      </c>
      <c r="AP20" s="28" t="str">
        <f t="shared" si="22"/>
        <v>K</v>
      </c>
      <c r="AQ20" s="28" t="str">
        <f t="shared" si="22"/>
        <v>S</v>
      </c>
      <c r="AR20" s="28" t="str">
        <f t="shared" si="22"/>
        <v>U</v>
      </c>
      <c r="AS20" s="28" t="str">
        <f t="shared" si="22"/>
        <v>D</v>
      </c>
      <c r="AT20" s="28" t="str">
        <f t="shared" si="22"/>
        <v>T</v>
      </c>
      <c r="AU20" s="28" t="str">
        <f t="shared" si="22"/>
        <v>Q</v>
      </c>
      <c r="AV20" s="28" t="str">
        <f t="shared" si="22"/>
        <v>O</v>
      </c>
      <c r="AW20" s="28" t="str">
        <f t="shared" si="22"/>
        <v>L</v>
      </c>
      <c r="AX20" s="28" t="str">
        <f t="shared" si="22"/>
        <v>W</v>
      </c>
      <c r="AY20" s="28" t="str">
        <f t="shared" si="22"/>
        <v>E</v>
      </c>
      <c r="AZ20" s="28" t="str">
        <f t="shared" si="22"/>
        <v>X</v>
      </c>
      <c r="BA20" s="28" t="str">
        <f t="shared" si="22"/>
        <v>N</v>
      </c>
      <c r="BB20" s="28" t="str">
        <f t="shared" si="22"/>
        <v>Y</v>
      </c>
      <c r="BC20" s="28" t="str">
        <f t="shared" si="22"/>
        <v>F</v>
      </c>
      <c r="BD20" s="28" t="str">
        <f t="shared" si="22"/>
        <v>A</v>
      </c>
      <c r="BE20" s="28" t="str">
        <f t="shared" si="22"/>
        <v>G</v>
      </c>
      <c r="BF20" s="28" t="str">
        <f t="shared" si="22"/>
        <v>I</v>
      </c>
      <c r="BG20" s="28" t="str">
        <f t="shared" si="22"/>
        <v>B</v>
      </c>
    </row>
    <row r="21" spans="1:59" ht="15" thickBot="1" x14ac:dyDescent="0.4">
      <c r="B21" s="23"/>
      <c r="C21" s="16"/>
      <c r="D21" s="17"/>
      <c r="E21" s="17" t="s">
        <v>388</v>
      </c>
      <c r="F21" s="18" t="str">
        <f t="shared" ref="F21:AE21" si="23">IF(F17=1,IF(CODE(F20)-CODE(F19)&lt;0,VLOOKUP((CODE(F20)-CODE(F19)+26)+(CODE(F16)-nCharOffset),nNum2Let,2,FALSE),VLOOKUP((CODE(F20)-CODE(F19))+(CODE(F16)-nCharOffset),nNum2Let,2,FALSE)),"")</f>
        <v>H</v>
      </c>
      <c r="G21" s="18" t="str">
        <f t="shared" si="23"/>
        <v>C</v>
      </c>
      <c r="H21" s="18" t="str">
        <f t="shared" si="23"/>
        <v>Z</v>
      </c>
      <c r="I21" s="18" t="str">
        <f t="shared" si="23"/>
        <v>M</v>
      </c>
      <c r="J21" s="18" t="str">
        <f t="shared" si="23"/>
        <v>R</v>
      </c>
      <c r="K21" s="18" t="str">
        <f t="shared" si="23"/>
        <v>V</v>
      </c>
      <c r="L21" s="18" t="str">
        <f t="shared" si="23"/>
        <v>J</v>
      </c>
      <c r="M21" s="18" t="str">
        <f t="shared" si="23"/>
        <v>P</v>
      </c>
      <c r="N21" s="18" t="str">
        <f t="shared" si="23"/>
        <v>K</v>
      </c>
      <c r="O21" s="18" t="str">
        <f t="shared" si="23"/>
        <v>S</v>
      </c>
      <c r="P21" s="18" t="str">
        <f t="shared" si="23"/>
        <v>U</v>
      </c>
      <c r="Q21" s="18" t="str">
        <f t="shared" si="23"/>
        <v>D</v>
      </c>
      <c r="R21" s="18" t="str">
        <f t="shared" si="23"/>
        <v>T</v>
      </c>
      <c r="S21" s="18" t="str">
        <f t="shared" si="23"/>
        <v>Q</v>
      </c>
      <c r="T21" s="18" t="str">
        <f t="shared" si="23"/>
        <v>O</v>
      </c>
      <c r="U21" s="18" t="str">
        <f t="shared" si="23"/>
        <v>L</v>
      </c>
      <c r="V21" s="18" t="str">
        <f t="shared" si="23"/>
        <v>W</v>
      </c>
      <c r="W21" s="18" t="str">
        <f t="shared" si="23"/>
        <v>E</v>
      </c>
      <c r="X21" s="18" t="str">
        <f t="shared" si="23"/>
        <v>X</v>
      </c>
      <c r="Y21" s="18" t="str">
        <f t="shared" si="23"/>
        <v>N</v>
      </c>
      <c r="Z21" s="18" t="str">
        <f t="shared" si="23"/>
        <v>Y</v>
      </c>
      <c r="AA21" s="18" t="str">
        <f t="shared" si="23"/>
        <v>F</v>
      </c>
      <c r="AB21" s="18" t="str">
        <f t="shared" si="23"/>
        <v>A</v>
      </c>
      <c r="AC21" s="18" t="str">
        <f t="shared" si="23"/>
        <v>G</v>
      </c>
      <c r="AD21" s="18" t="str">
        <f t="shared" si="23"/>
        <v>I</v>
      </c>
      <c r="AE21" s="18" t="str">
        <f t="shared" si="23"/>
        <v>B</v>
      </c>
      <c r="AF21" s="19" t="str">
        <f>CONCATENATE(F21,G21,H21,I21,J21,K21,L21,M21,N21,O21,P21,Q21,R21,S21,T21&amp;U21,V21,W21,X21,Y21,Z21,AA21,AB21,AC21,AD21,AE21)</f>
        <v>HCZMRVJPKSUDTQOLWEXNYFAGIB</v>
      </c>
      <c r="AH21" s="12" t="str">
        <f>F16&amp;F21</f>
        <v>AH</v>
      </c>
      <c r="AI21" s="12" t="str">
        <f t="shared" ref="AI21:BG21" si="24">G16&amp;G21</f>
        <v>BC</v>
      </c>
      <c r="AJ21" s="12" t="str">
        <f t="shared" si="24"/>
        <v>CZ</v>
      </c>
      <c r="AK21" s="12" t="str">
        <f t="shared" si="24"/>
        <v>DM</v>
      </c>
      <c r="AL21" s="12" t="str">
        <f t="shared" si="24"/>
        <v>ER</v>
      </c>
      <c r="AM21" s="12" t="str">
        <f t="shared" si="24"/>
        <v>FV</v>
      </c>
      <c r="AN21" s="12" t="str">
        <f t="shared" si="24"/>
        <v>GJ</v>
      </c>
      <c r="AO21" s="12" t="str">
        <f t="shared" si="24"/>
        <v>HP</v>
      </c>
      <c r="AP21" s="12" t="str">
        <f t="shared" si="24"/>
        <v>IK</v>
      </c>
      <c r="AQ21" s="12" t="str">
        <f t="shared" si="24"/>
        <v>JS</v>
      </c>
      <c r="AR21" s="12" t="str">
        <f t="shared" si="24"/>
        <v>KU</v>
      </c>
      <c r="AS21" s="12" t="str">
        <f t="shared" si="24"/>
        <v>LD</v>
      </c>
      <c r="AT21" s="12" t="str">
        <f t="shared" si="24"/>
        <v>MT</v>
      </c>
      <c r="AU21" s="12" t="str">
        <f t="shared" si="24"/>
        <v>NQ</v>
      </c>
      <c r="AV21" s="12" t="str">
        <f t="shared" si="24"/>
        <v>OO</v>
      </c>
      <c r="AW21" s="12" t="str">
        <f t="shared" si="24"/>
        <v>PL</v>
      </c>
      <c r="AX21" s="12" t="str">
        <f t="shared" si="24"/>
        <v>QW</v>
      </c>
      <c r="AY21" s="12" t="str">
        <f t="shared" si="24"/>
        <v>RE</v>
      </c>
      <c r="AZ21" s="12" t="str">
        <f t="shared" si="24"/>
        <v>SX</v>
      </c>
      <c r="BA21" s="12" t="str">
        <f t="shared" si="24"/>
        <v>TN</v>
      </c>
      <c r="BB21" s="12" t="str">
        <f t="shared" si="24"/>
        <v>UY</v>
      </c>
      <c r="BC21" s="12" t="str">
        <f t="shared" si="24"/>
        <v>VF</v>
      </c>
      <c r="BD21" s="12" t="str">
        <f t="shared" si="24"/>
        <v>WA</v>
      </c>
      <c r="BE21" s="12" t="str">
        <f t="shared" si="24"/>
        <v>XG</v>
      </c>
      <c r="BF21" s="12" t="str">
        <f t="shared" si="24"/>
        <v>YI</v>
      </c>
      <c r="BG21" s="12" t="str">
        <f t="shared" si="24"/>
        <v>ZB</v>
      </c>
    </row>
    <row r="22" spans="1:59" x14ac:dyDescent="0.35">
      <c r="B22" s="21"/>
      <c r="C22" s="5"/>
      <c r="D22" s="5"/>
      <c r="E22" s="5" t="s">
        <v>385</v>
      </c>
      <c r="F22" s="6" t="s">
        <v>0</v>
      </c>
      <c r="G22" s="6" t="s">
        <v>1</v>
      </c>
      <c r="H22" s="6" t="s">
        <v>2</v>
      </c>
      <c r="I22" s="6" t="s">
        <v>3</v>
      </c>
      <c r="J22" s="6" t="s">
        <v>4</v>
      </c>
      <c r="K22" s="6" t="s">
        <v>5</v>
      </c>
      <c r="L22" s="6" t="s">
        <v>6</v>
      </c>
      <c r="M22" s="6" t="s">
        <v>7</v>
      </c>
      <c r="N22" s="6" t="s">
        <v>8</v>
      </c>
      <c r="O22" s="6" t="s">
        <v>9</v>
      </c>
      <c r="P22" s="6" t="s">
        <v>10</v>
      </c>
      <c r="Q22" s="6" t="s">
        <v>11</v>
      </c>
      <c r="R22" s="6" t="s">
        <v>12</v>
      </c>
      <c r="S22" s="6" t="s">
        <v>13</v>
      </c>
      <c r="T22" s="6" t="s">
        <v>14</v>
      </c>
      <c r="U22" s="6" t="s">
        <v>15</v>
      </c>
      <c r="V22" s="6" t="s">
        <v>16</v>
      </c>
      <c r="W22" s="6" t="s">
        <v>17</v>
      </c>
      <c r="X22" s="6" t="s">
        <v>18</v>
      </c>
      <c r="Y22" s="6" t="s">
        <v>19</v>
      </c>
      <c r="Z22" s="6" t="s">
        <v>20</v>
      </c>
      <c r="AA22" s="6" t="s">
        <v>21</v>
      </c>
      <c r="AB22" s="6" t="s">
        <v>22</v>
      </c>
      <c r="AC22" s="6" t="s">
        <v>23</v>
      </c>
      <c r="AD22" s="6" t="s">
        <v>24</v>
      </c>
      <c r="AE22" s="6" t="s">
        <v>25</v>
      </c>
      <c r="AF22" s="7"/>
      <c r="AH22" s="28" t="str">
        <f>HLOOKUP(AH16,$AH19:$BG20,2,FALSE)</f>
        <v>K</v>
      </c>
      <c r="AI22" s="28" t="str">
        <f>HLOOKUP(AI16,$AH19:$BG20,2,FALSE)</f>
        <v>I</v>
      </c>
      <c r="AJ22" s="28" t="str">
        <f t="shared" ref="AJ22:BG22" si="25">HLOOKUP(AJ16,$AH19:$BG20,2,FALSE)</f>
        <v>Q</v>
      </c>
      <c r="AK22" s="28" t="str">
        <f t="shared" si="25"/>
        <v>Y</v>
      </c>
      <c r="AL22" s="28" t="str">
        <f t="shared" si="25"/>
        <v>D</v>
      </c>
      <c r="AM22" s="28" t="str">
        <f t="shared" si="25"/>
        <v>T</v>
      </c>
      <c r="AN22" s="28" t="str">
        <f t="shared" si="25"/>
        <v>L</v>
      </c>
      <c r="AO22" s="28" t="str">
        <f t="shared" si="25"/>
        <v>C</v>
      </c>
      <c r="AP22" s="28" t="str">
        <f t="shared" si="25"/>
        <v>F</v>
      </c>
      <c r="AQ22" s="28" t="str">
        <f t="shared" si="25"/>
        <v>M</v>
      </c>
      <c r="AR22" s="28" t="str">
        <f t="shared" si="25"/>
        <v>E</v>
      </c>
      <c r="AS22" s="28" t="str">
        <f t="shared" si="25"/>
        <v>U</v>
      </c>
      <c r="AT22" s="28" t="str">
        <f t="shared" si="25"/>
        <v>G</v>
      </c>
      <c r="AU22" s="28" t="str">
        <f t="shared" si="25"/>
        <v>P</v>
      </c>
      <c r="AV22" s="28" t="str">
        <f t="shared" si="25"/>
        <v>S</v>
      </c>
      <c r="AW22" s="28" t="str">
        <f t="shared" si="25"/>
        <v>A</v>
      </c>
      <c r="AX22" s="28" t="str">
        <f t="shared" si="25"/>
        <v>Z</v>
      </c>
      <c r="AY22" s="28" t="str">
        <f t="shared" si="25"/>
        <v>B</v>
      </c>
      <c r="AZ22" s="28" t="str">
        <f t="shared" si="25"/>
        <v>R</v>
      </c>
      <c r="BA22" s="28" t="str">
        <f t="shared" si="25"/>
        <v>N</v>
      </c>
      <c r="BB22" s="28" t="str">
        <f t="shared" si="25"/>
        <v>H</v>
      </c>
      <c r="BC22" s="28" t="str">
        <f t="shared" si="25"/>
        <v>J</v>
      </c>
      <c r="BD22" s="28" t="str">
        <f t="shared" si="25"/>
        <v>O</v>
      </c>
      <c r="BE22" s="28" t="str">
        <f t="shared" si="25"/>
        <v>X</v>
      </c>
      <c r="BF22" s="28" t="str">
        <f t="shared" si="25"/>
        <v>V</v>
      </c>
      <c r="BG22" s="28" t="str">
        <f t="shared" si="25"/>
        <v>W</v>
      </c>
    </row>
    <row r="23" spans="1:59" x14ac:dyDescent="0.35">
      <c r="B23" s="22" t="s">
        <v>26</v>
      </c>
      <c r="C23" s="41" t="str">
        <f>n_Reflector</f>
        <v>B</v>
      </c>
      <c r="D23" s="11" t="str">
        <f>"Wide"&amp;C23</f>
        <v>WideB</v>
      </c>
      <c r="F23" s="1">
        <f>IF(ISERROR(FIND(F22,$AF21)),0,1)</f>
        <v>1</v>
      </c>
      <c r="G23" s="1">
        <f t="shared" ref="G23:AE23" si="26">IF(ISERROR(FIND(G22,$AF21)),0,1)</f>
        <v>1</v>
      </c>
      <c r="H23" s="1">
        <f t="shared" si="26"/>
        <v>1</v>
      </c>
      <c r="I23" s="1">
        <f t="shared" si="26"/>
        <v>1</v>
      </c>
      <c r="J23" s="1">
        <f t="shared" si="26"/>
        <v>1</v>
      </c>
      <c r="K23" s="1">
        <f t="shared" si="26"/>
        <v>1</v>
      </c>
      <c r="L23" s="1">
        <f t="shared" si="26"/>
        <v>1</v>
      </c>
      <c r="M23" s="1">
        <f t="shared" si="26"/>
        <v>1</v>
      </c>
      <c r="N23" s="1">
        <f t="shared" si="26"/>
        <v>1</v>
      </c>
      <c r="O23" s="1">
        <f t="shared" si="26"/>
        <v>1</v>
      </c>
      <c r="P23" s="1">
        <f t="shared" si="26"/>
        <v>1</v>
      </c>
      <c r="Q23" s="1">
        <f t="shared" si="26"/>
        <v>1</v>
      </c>
      <c r="R23" s="1">
        <f t="shared" si="26"/>
        <v>1</v>
      </c>
      <c r="S23" s="1">
        <f t="shared" si="26"/>
        <v>1</v>
      </c>
      <c r="T23" s="1">
        <f t="shared" si="26"/>
        <v>1</v>
      </c>
      <c r="U23" s="1">
        <f t="shared" si="26"/>
        <v>1</v>
      </c>
      <c r="V23" s="1">
        <f t="shared" si="26"/>
        <v>1</v>
      </c>
      <c r="W23" s="1">
        <f t="shared" si="26"/>
        <v>1</v>
      </c>
      <c r="X23" s="1">
        <f t="shared" si="26"/>
        <v>1</v>
      </c>
      <c r="Y23" s="1">
        <f t="shared" si="26"/>
        <v>1</v>
      </c>
      <c r="Z23" s="1">
        <f t="shared" si="26"/>
        <v>1</v>
      </c>
      <c r="AA23" s="1">
        <f t="shared" si="26"/>
        <v>1</v>
      </c>
      <c r="AB23" s="1">
        <f t="shared" si="26"/>
        <v>1</v>
      </c>
      <c r="AC23" s="1">
        <f t="shared" si="26"/>
        <v>1</v>
      </c>
      <c r="AD23" s="1">
        <f t="shared" si="26"/>
        <v>1</v>
      </c>
      <c r="AE23" s="1">
        <f t="shared" si="26"/>
        <v>1</v>
      </c>
      <c r="AF23" s="10"/>
      <c r="AH23" s="28" t="str">
        <f>HLOOKUP(AH22,$AH25:$BG26,2,FALSE)</f>
        <v>N</v>
      </c>
      <c r="AI23" s="28" t="str">
        <f t="shared" ref="AI23:BG23" si="27">HLOOKUP(AI22,$AH25:$BG26,2,FALSE)</f>
        <v>P</v>
      </c>
      <c r="AJ23" s="28" t="str">
        <f t="shared" si="27"/>
        <v>E</v>
      </c>
      <c r="AK23" s="28" t="str">
        <f t="shared" si="27"/>
        <v>A</v>
      </c>
      <c r="AL23" s="28" t="str">
        <f t="shared" si="27"/>
        <v>H</v>
      </c>
      <c r="AM23" s="28" t="str">
        <f t="shared" si="27"/>
        <v>Z</v>
      </c>
      <c r="AN23" s="28" t="str">
        <f t="shared" si="27"/>
        <v>G</v>
      </c>
      <c r="AO23" s="28" t="str">
        <f t="shared" si="27"/>
        <v>U</v>
      </c>
      <c r="AP23" s="28" t="str">
        <f t="shared" si="27"/>
        <v>S</v>
      </c>
      <c r="AQ23" s="28" t="str">
        <f t="shared" si="27"/>
        <v>O</v>
      </c>
      <c r="AR23" s="28" t="str">
        <f t="shared" si="27"/>
        <v>Q</v>
      </c>
      <c r="AS23" s="28" t="str">
        <f t="shared" si="27"/>
        <v>C</v>
      </c>
      <c r="AT23" s="28" t="str">
        <f t="shared" si="27"/>
        <v>L</v>
      </c>
      <c r="AU23" s="28" t="str">
        <f t="shared" si="27"/>
        <v>I</v>
      </c>
      <c r="AV23" s="28" t="str">
        <f t="shared" si="27"/>
        <v>F</v>
      </c>
      <c r="AW23" s="28" t="str">
        <f t="shared" si="27"/>
        <v>Y</v>
      </c>
      <c r="AX23" s="28" t="str">
        <f t="shared" si="27"/>
        <v>T</v>
      </c>
      <c r="AY23" s="28" t="str">
        <f t="shared" si="27"/>
        <v>R</v>
      </c>
      <c r="AZ23" s="28" t="str">
        <f t="shared" si="27"/>
        <v>B</v>
      </c>
      <c r="BA23" s="28" t="str">
        <f t="shared" si="27"/>
        <v>K</v>
      </c>
      <c r="BB23" s="28" t="str">
        <f t="shared" si="27"/>
        <v>D</v>
      </c>
      <c r="BC23" s="28" t="str">
        <f t="shared" si="27"/>
        <v>X</v>
      </c>
      <c r="BD23" s="28" t="str">
        <f t="shared" si="27"/>
        <v>M</v>
      </c>
      <c r="BE23" s="28" t="str">
        <f t="shared" si="27"/>
        <v>J</v>
      </c>
      <c r="BF23" s="28" t="str">
        <f t="shared" si="27"/>
        <v>W</v>
      </c>
      <c r="BG23" s="28" t="str">
        <f t="shared" si="27"/>
        <v>V</v>
      </c>
    </row>
    <row r="24" spans="1:59" ht="15" thickBot="1" x14ac:dyDescent="0.4">
      <c r="B24" s="23"/>
      <c r="C24" s="17"/>
      <c r="D24" s="17"/>
      <c r="E24" s="17"/>
      <c r="F24" s="24" t="str">
        <f t="shared" ref="F24:AE24" si="28">IF(F23=1,VLOOKUP(nReflector&amp;"_"&amp;F22,nReflectorWide,4,FALSE),"")</f>
        <v>Y</v>
      </c>
      <c r="G24" s="24" t="str">
        <f t="shared" si="28"/>
        <v>R</v>
      </c>
      <c r="H24" s="24" t="str">
        <f t="shared" si="28"/>
        <v>U</v>
      </c>
      <c r="I24" s="24" t="str">
        <f t="shared" si="28"/>
        <v>H</v>
      </c>
      <c r="J24" s="24" t="str">
        <f t="shared" si="28"/>
        <v>Q</v>
      </c>
      <c r="K24" s="24" t="str">
        <f t="shared" si="28"/>
        <v>S</v>
      </c>
      <c r="L24" s="24" t="str">
        <f t="shared" si="28"/>
        <v>L</v>
      </c>
      <c r="M24" s="24" t="str">
        <f t="shared" si="28"/>
        <v>D</v>
      </c>
      <c r="N24" s="24" t="str">
        <f t="shared" si="28"/>
        <v>P</v>
      </c>
      <c r="O24" s="24" t="str">
        <f t="shared" si="28"/>
        <v>X</v>
      </c>
      <c r="P24" s="24" t="str">
        <f t="shared" si="28"/>
        <v>N</v>
      </c>
      <c r="Q24" s="24" t="str">
        <f t="shared" si="28"/>
        <v>G</v>
      </c>
      <c r="R24" s="24" t="str">
        <f t="shared" si="28"/>
        <v>O</v>
      </c>
      <c r="S24" s="24" t="str">
        <f t="shared" si="28"/>
        <v>K</v>
      </c>
      <c r="T24" s="24" t="str">
        <f t="shared" si="28"/>
        <v>M</v>
      </c>
      <c r="U24" s="24" t="str">
        <f t="shared" si="28"/>
        <v>I</v>
      </c>
      <c r="V24" s="24" t="str">
        <f t="shared" si="28"/>
        <v>E</v>
      </c>
      <c r="W24" s="24" t="str">
        <f t="shared" si="28"/>
        <v>B</v>
      </c>
      <c r="X24" s="24" t="str">
        <f t="shared" si="28"/>
        <v>F</v>
      </c>
      <c r="Y24" s="24" t="str">
        <f t="shared" si="28"/>
        <v>Z</v>
      </c>
      <c r="Z24" s="24" t="str">
        <f t="shared" si="28"/>
        <v>C</v>
      </c>
      <c r="AA24" s="24" t="str">
        <f t="shared" si="28"/>
        <v>W</v>
      </c>
      <c r="AB24" s="24" t="str">
        <f t="shared" si="28"/>
        <v>V</v>
      </c>
      <c r="AC24" s="24" t="str">
        <f t="shared" si="28"/>
        <v>J</v>
      </c>
      <c r="AD24" s="24" t="str">
        <f t="shared" si="28"/>
        <v>A</v>
      </c>
      <c r="AE24" s="24" t="str">
        <f t="shared" si="28"/>
        <v>T</v>
      </c>
      <c r="AF24" s="25" t="str">
        <f>CONCATENATE(F24,G24,H24,I24,J24,K24,L24,M24,N24,O24,P24,Q24,R24,S24,T24&amp;U24,V24,W24,X24,Y24,Z24,AA24,AB24,AC24,AD24,AE24)</f>
        <v>YRUHQSLDPXNGOKMIEBFZCWVJAT</v>
      </c>
      <c r="AH24" s="27" t="str">
        <f>F22&amp;F24</f>
        <v>AY</v>
      </c>
      <c r="AI24" s="27" t="str">
        <f t="shared" ref="AI24:BG24" si="29">G22&amp;G24</f>
        <v>BR</v>
      </c>
      <c r="AJ24" s="27" t="str">
        <f t="shared" si="29"/>
        <v>CU</v>
      </c>
      <c r="AK24" s="27" t="str">
        <f t="shared" si="29"/>
        <v>DH</v>
      </c>
      <c r="AL24" s="27" t="str">
        <f t="shared" si="29"/>
        <v>EQ</v>
      </c>
      <c r="AM24" s="27" t="str">
        <f t="shared" si="29"/>
        <v>FS</v>
      </c>
      <c r="AN24" s="27" t="str">
        <f t="shared" si="29"/>
        <v>GL</v>
      </c>
      <c r="AO24" s="27" t="str">
        <f t="shared" si="29"/>
        <v>HD</v>
      </c>
      <c r="AP24" s="27" t="str">
        <f t="shared" si="29"/>
        <v>IP</v>
      </c>
      <c r="AQ24" s="27" t="str">
        <f t="shared" si="29"/>
        <v>JX</v>
      </c>
      <c r="AR24" s="27" t="str">
        <f t="shared" si="29"/>
        <v>KN</v>
      </c>
      <c r="AS24" s="27" t="str">
        <f t="shared" si="29"/>
        <v>LG</v>
      </c>
      <c r="AT24" s="27" t="str">
        <f t="shared" si="29"/>
        <v>MO</v>
      </c>
      <c r="AU24" s="27" t="str">
        <f t="shared" si="29"/>
        <v>NK</v>
      </c>
      <c r="AV24" s="27" t="str">
        <f t="shared" si="29"/>
        <v>OM</v>
      </c>
      <c r="AW24" s="27" t="str">
        <f t="shared" si="29"/>
        <v>PI</v>
      </c>
      <c r="AX24" s="27" t="str">
        <f t="shared" si="29"/>
        <v>QE</v>
      </c>
      <c r="AY24" s="27" t="str">
        <f t="shared" si="29"/>
        <v>RB</v>
      </c>
      <c r="AZ24" s="27" t="str">
        <f t="shared" si="29"/>
        <v>SF</v>
      </c>
      <c r="BA24" s="27" t="str">
        <f t="shared" si="29"/>
        <v>TZ</v>
      </c>
      <c r="BB24" s="27" t="str">
        <f t="shared" si="29"/>
        <v>UC</v>
      </c>
      <c r="BC24" s="27" t="str">
        <f t="shared" si="29"/>
        <v>VW</v>
      </c>
      <c r="BD24" s="27" t="str">
        <f t="shared" si="29"/>
        <v>WV</v>
      </c>
      <c r="BE24" s="27" t="str">
        <f t="shared" si="29"/>
        <v>XJ</v>
      </c>
      <c r="BF24" s="27" t="str">
        <f t="shared" si="29"/>
        <v>YA</v>
      </c>
      <c r="BG24" s="27" t="str">
        <f t="shared" si="29"/>
        <v>ZT</v>
      </c>
    </row>
    <row r="25" spans="1:59" x14ac:dyDescent="0.35">
      <c r="B25" s="21"/>
      <c r="C25" s="4"/>
      <c r="D25" s="5"/>
      <c r="E25" s="5" t="s">
        <v>385</v>
      </c>
      <c r="F25" s="6" t="s">
        <v>0</v>
      </c>
      <c r="G25" s="6" t="s">
        <v>1</v>
      </c>
      <c r="H25" s="6" t="s">
        <v>2</v>
      </c>
      <c r="I25" s="6" t="s">
        <v>3</v>
      </c>
      <c r="J25" s="6" t="s">
        <v>4</v>
      </c>
      <c r="K25" s="6" t="s">
        <v>5</v>
      </c>
      <c r="L25" s="6" t="s">
        <v>6</v>
      </c>
      <c r="M25" s="6" t="s">
        <v>7</v>
      </c>
      <c r="N25" s="6" t="s">
        <v>8</v>
      </c>
      <c r="O25" s="6" t="s">
        <v>9</v>
      </c>
      <c r="P25" s="6" t="s">
        <v>10</v>
      </c>
      <c r="Q25" s="6" t="s">
        <v>11</v>
      </c>
      <c r="R25" s="6" t="s">
        <v>12</v>
      </c>
      <c r="S25" s="6" t="s">
        <v>13</v>
      </c>
      <c r="T25" s="6" t="s">
        <v>14</v>
      </c>
      <c r="U25" s="6" t="s">
        <v>15</v>
      </c>
      <c r="V25" s="6" t="s">
        <v>16</v>
      </c>
      <c r="W25" s="6" t="s">
        <v>17</v>
      </c>
      <c r="X25" s="6" t="s">
        <v>18</v>
      </c>
      <c r="Y25" s="6" t="s">
        <v>19</v>
      </c>
      <c r="Z25" s="6" t="s">
        <v>20</v>
      </c>
      <c r="AA25" s="6" t="s">
        <v>21</v>
      </c>
      <c r="AB25" s="6" t="s">
        <v>22</v>
      </c>
      <c r="AC25" s="6" t="s">
        <v>23</v>
      </c>
      <c r="AD25" s="6" t="s">
        <v>24</v>
      </c>
      <c r="AE25" s="6" t="s">
        <v>25</v>
      </c>
      <c r="AF25" s="7"/>
      <c r="AH25" s="28" t="str">
        <f>IF(LEN(AH24)=2,LEFT(AH24,1),"")</f>
        <v>A</v>
      </c>
      <c r="AI25" s="28" t="str">
        <f t="shared" ref="AI25:BG25" si="30">IF(LEN(AI24)=2,LEFT(AI24,1),"")</f>
        <v>B</v>
      </c>
      <c r="AJ25" s="28" t="str">
        <f t="shared" si="30"/>
        <v>C</v>
      </c>
      <c r="AK25" s="28" t="str">
        <f t="shared" si="30"/>
        <v>D</v>
      </c>
      <c r="AL25" s="28" t="str">
        <f t="shared" si="30"/>
        <v>E</v>
      </c>
      <c r="AM25" s="28" t="str">
        <f t="shared" si="30"/>
        <v>F</v>
      </c>
      <c r="AN25" s="28" t="str">
        <f t="shared" si="30"/>
        <v>G</v>
      </c>
      <c r="AO25" s="28" t="str">
        <f t="shared" si="30"/>
        <v>H</v>
      </c>
      <c r="AP25" s="28" t="str">
        <f t="shared" si="30"/>
        <v>I</v>
      </c>
      <c r="AQ25" s="28" t="str">
        <f t="shared" si="30"/>
        <v>J</v>
      </c>
      <c r="AR25" s="28" t="str">
        <f t="shared" si="30"/>
        <v>K</v>
      </c>
      <c r="AS25" s="28" t="str">
        <f t="shared" si="30"/>
        <v>L</v>
      </c>
      <c r="AT25" s="28" t="str">
        <f t="shared" si="30"/>
        <v>M</v>
      </c>
      <c r="AU25" s="28" t="str">
        <f t="shared" si="30"/>
        <v>N</v>
      </c>
      <c r="AV25" s="28" t="str">
        <f t="shared" si="30"/>
        <v>O</v>
      </c>
      <c r="AW25" s="28" t="str">
        <f t="shared" si="30"/>
        <v>P</v>
      </c>
      <c r="AX25" s="28" t="str">
        <f t="shared" si="30"/>
        <v>Q</v>
      </c>
      <c r="AY25" s="28" t="str">
        <f t="shared" si="30"/>
        <v>R</v>
      </c>
      <c r="AZ25" s="28" t="str">
        <f t="shared" si="30"/>
        <v>S</v>
      </c>
      <c r="BA25" s="28" t="str">
        <f t="shared" si="30"/>
        <v>T</v>
      </c>
      <c r="BB25" s="28" t="str">
        <f t="shared" si="30"/>
        <v>U</v>
      </c>
      <c r="BC25" s="28" t="str">
        <f t="shared" si="30"/>
        <v>V</v>
      </c>
      <c r="BD25" s="28" t="str">
        <f t="shared" si="30"/>
        <v>W</v>
      </c>
      <c r="BE25" s="28" t="str">
        <f t="shared" si="30"/>
        <v>X</v>
      </c>
      <c r="BF25" s="28" t="str">
        <f t="shared" si="30"/>
        <v>Y</v>
      </c>
      <c r="BG25" s="28" t="str">
        <f t="shared" si="30"/>
        <v>Z</v>
      </c>
    </row>
    <row r="26" spans="1:59" x14ac:dyDescent="0.35">
      <c r="B26" s="22"/>
      <c r="C26" s="8"/>
      <c r="F26" s="1">
        <f t="shared" ref="F26:AE26" si="31">IF(ISERROR(FIND(F25,$AF24)),0,1)</f>
        <v>1</v>
      </c>
      <c r="G26" s="1">
        <f t="shared" si="31"/>
        <v>1</v>
      </c>
      <c r="H26" s="1">
        <f t="shared" si="31"/>
        <v>1</v>
      </c>
      <c r="I26" s="1">
        <f t="shared" si="31"/>
        <v>1</v>
      </c>
      <c r="J26" s="1">
        <f t="shared" si="31"/>
        <v>1</v>
      </c>
      <c r="K26" s="1">
        <f t="shared" si="31"/>
        <v>1</v>
      </c>
      <c r="L26" s="1">
        <f t="shared" si="31"/>
        <v>1</v>
      </c>
      <c r="M26" s="1">
        <f t="shared" si="31"/>
        <v>1</v>
      </c>
      <c r="N26" s="1">
        <f t="shared" si="31"/>
        <v>1</v>
      </c>
      <c r="O26" s="1">
        <f t="shared" si="31"/>
        <v>1</v>
      </c>
      <c r="P26" s="1">
        <f t="shared" si="31"/>
        <v>1</v>
      </c>
      <c r="Q26" s="1">
        <f t="shared" si="31"/>
        <v>1</v>
      </c>
      <c r="R26" s="1">
        <f t="shared" si="31"/>
        <v>1</v>
      </c>
      <c r="S26" s="1">
        <f t="shared" si="31"/>
        <v>1</v>
      </c>
      <c r="T26" s="1">
        <f t="shared" si="31"/>
        <v>1</v>
      </c>
      <c r="U26" s="1">
        <f t="shared" si="31"/>
        <v>1</v>
      </c>
      <c r="V26" s="1">
        <f t="shared" si="31"/>
        <v>1</v>
      </c>
      <c r="W26" s="1">
        <f t="shared" si="31"/>
        <v>1</v>
      </c>
      <c r="X26" s="1">
        <f t="shared" si="31"/>
        <v>1</v>
      </c>
      <c r="Y26" s="1">
        <f t="shared" si="31"/>
        <v>1</v>
      </c>
      <c r="Z26" s="1">
        <f t="shared" si="31"/>
        <v>1</v>
      </c>
      <c r="AA26" s="1">
        <f t="shared" si="31"/>
        <v>1</v>
      </c>
      <c r="AB26" s="1">
        <f t="shared" si="31"/>
        <v>1</v>
      </c>
      <c r="AC26" s="1">
        <f t="shared" si="31"/>
        <v>1</v>
      </c>
      <c r="AD26" s="1">
        <f t="shared" si="31"/>
        <v>1</v>
      </c>
      <c r="AE26" s="1">
        <f t="shared" si="31"/>
        <v>1</v>
      </c>
      <c r="AF26" s="10"/>
      <c r="AH26" s="28" t="str">
        <f>IF(LEN(AH24)=2,RIGHT(AH24,1),"")</f>
        <v>Y</v>
      </c>
      <c r="AI26" s="28" t="str">
        <f t="shared" ref="AI26:BG26" si="32">IF(LEN(AI24)=2,RIGHT(AI24,1),"")</f>
        <v>R</v>
      </c>
      <c r="AJ26" s="28" t="str">
        <f t="shared" si="32"/>
        <v>U</v>
      </c>
      <c r="AK26" s="28" t="str">
        <f t="shared" si="32"/>
        <v>H</v>
      </c>
      <c r="AL26" s="28" t="str">
        <f t="shared" si="32"/>
        <v>Q</v>
      </c>
      <c r="AM26" s="28" t="str">
        <f t="shared" si="32"/>
        <v>S</v>
      </c>
      <c r="AN26" s="28" t="str">
        <f t="shared" si="32"/>
        <v>L</v>
      </c>
      <c r="AO26" s="28" t="str">
        <f t="shared" si="32"/>
        <v>D</v>
      </c>
      <c r="AP26" s="28" t="str">
        <f t="shared" si="32"/>
        <v>P</v>
      </c>
      <c r="AQ26" s="28" t="str">
        <f t="shared" si="32"/>
        <v>X</v>
      </c>
      <c r="AR26" s="28" t="str">
        <f t="shared" si="32"/>
        <v>N</v>
      </c>
      <c r="AS26" s="28" t="str">
        <f t="shared" si="32"/>
        <v>G</v>
      </c>
      <c r="AT26" s="28" t="str">
        <f t="shared" si="32"/>
        <v>O</v>
      </c>
      <c r="AU26" s="28" t="str">
        <f t="shared" si="32"/>
        <v>K</v>
      </c>
      <c r="AV26" s="28" t="str">
        <f t="shared" si="32"/>
        <v>M</v>
      </c>
      <c r="AW26" s="28" t="str">
        <f t="shared" si="32"/>
        <v>I</v>
      </c>
      <c r="AX26" s="28" t="str">
        <f t="shared" si="32"/>
        <v>E</v>
      </c>
      <c r="AY26" s="28" t="str">
        <f t="shared" si="32"/>
        <v>B</v>
      </c>
      <c r="AZ26" s="28" t="str">
        <f t="shared" si="32"/>
        <v>F</v>
      </c>
      <c r="BA26" s="28" t="str">
        <f t="shared" si="32"/>
        <v>Z</v>
      </c>
      <c r="BB26" s="28" t="str">
        <f t="shared" si="32"/>
        <v>C</v>
      </c>
      <c r="BC26" s="28" t="str">
        <f t="shared" si="32"/>
        <v>W</v>
      </c>
      <c r="BD26" s="28" t="str">
        <f t="shared" si="32"/>
        <v>V</v>
      </c>
      <c r="BE26" s="28" t="str">
        <f t="shared" si="32"/>
        <v>J</v>
      </c>
      <c r="BF26" s="28" t="str">
        <f t="shared" si="32"/>
        <v>A</v>
      </c>
      <c r="BG26" s="28" t="str">
        <f t="shared" si="32"/>
        <v>T</v>
      </c>
    </row>
    <row r="27" spans="1:59" x14ac:dyDescent="0.35">
      <c r="B27" s="22" t="s">
        <v>382</v>
      </c>
      <c r="C27" s="26" t="str">
        <f>"R"&amp;C18</f>
        <v>R1</v>
      </c>
      <c r="D27" s="11">
        <f>D18</f>
        <v>5</v>
      </c>
      <c r="E27" s="11">
        <f>E18</f>
        <v>5</v>
      </c>
      <c r="F27" s="12" t="str">
        <f>F18</f>
        <v>E</v>
      </c>
      <c r="G27" s="13" t="str">
        <f t="shared" ref="G27:AE27" si="33">VLOOKUP(F27,nNextLetter,2,FALSE)</f>
        <v>F</v>
      </c>
      <c r="H27" s="13" t="str">
        <f t="shared" si="33"/>
        <v>G</v>
      </c>
      <c r="I27" s="13" t="str">
        <f t="shared" si="33"/>
        <v>H</v>
      </c>
      <c r="J27" s="13" t="str">
        <f t="shared" si="33"/>
        <v>I</v>
      </c>
      <c r="K27" s="13" t="str">
        <f t="shared" si="33"/>
        <v>J</v>
      </c>
      <c r="L27" s="13" t="str">
        <f t="shared" si="33"/>
        <v>K</v>
      </c>
      <c r="M27" s="13" t="str">
        <f t="shared" si="33"/>
        <v>L</v>
      </c>
      <c r="N27" s="13" t="str">
        <f t="shared" si="33"/>
        <v>M</v>
      </c>
      <c r="O27" s="13" t="str">
        <f t="shared" si="33"/>
        <v>N</v>
      </c>
      <c r="P27" s="13" t="str">
        <f t="shared" si="33"/>
        <v>O</v>
      </c>
      <c r="Q27" s="13" t="str">
        <f t="shared" si="33"/>
        <v>P</v>
      </c>
      <c r="R27" s="13" t="str">
        <f t="shared" si="33"/>
        <v>Q</v>
      </c>
      <c r="S27" s="13" t="str">
        <f t="shared" si="33"/>
        <v>R</v>
      </c>
      <c r="T27" s="13" t="str">
        <f t="shared" si="33"/>
        <v>S</v>
      </c>
      <c r="U27" s="13" t="str">
        <f t="shared" si="33"/>
        <v>T</v>
      </c>
      <c r="V27" s="13" t="str">
        <f t="shared" si="33"/>
        <v>U</v>
      </c>
      <c r="W27" s="13" t="str">
        <f t="shared" si="33"/>
        <v>V</v>
      </c>
      <c r="X27" s="13" t="str">
        <f t="shared" si="33"/>
        <v>W</v>
      </c>
      <c r="Y27" s="13" t="str">
        <f t="shared" si="33"/>
        <v>X</v>
      </c>
      <c r="Z27" s="13" t="str">
        <f t="shared" si="33"/>
        <v>Y</v>
      </c>
      <c r="AA27" s="13" t="str">
        <f t="shared" si="33"/>
        <v>Z</v>
      </c>
      <c r="AB27" s="13" t="str">
        <f t="shared" si="33"/>
        <v>A</v>
      </c>
      <c r="AC27" s="13" t="str">
        <f t="shared" si="33"/>
        <v>B</v>
      </c>
      <c r="AD27" s="13" t="str">
        <f t="shared" si="33"/>
        <v>C</v>
      </c>
      <c r="AE27" s="13" t="str">
        <f t="shared" si="33"/>
        <v>D</v>
      </c>
      <c r="AF27" s="10"/>
    </row>
    <row r="28" spans="1:59" x14ac:dyDescent="0.35">
      <c r="B28" s="22"/>
      <c r="C28" s="8"/>
      <c r="E28" t="s">
        <v>386</v>
      </c>
      <c r="F28" s="14" t="str">
        <f t="shared" ref="F28:AE28" si="34">IF(F26=1,VLOOKUP(nCurPosL+nRingOffsetL+(CODE(F25)-nCharOffset)-1,nNum2Let,2,FALSE),"")</f>
        <v>E</v>
      </c>
      <c r="G28" s="14" t="str">
        <f t="shared" si="34"/>
        <v>F</v>
      </c>
      <c r="H28" s="14" t="str">
        <f t="shared" si="34"/>
        <v>G</v>
      </c>
      <c r="I28" s="14" t="str">
        <f t="shared" si="34"/>
        <v>H</v>
      </c>
      <c r="J28" s="14" t="str">
        <f t="shared" si="34"/>
        <v>I</v>
      </c>
      <c r="K28" s="14" t="str">
        <f t="shared" si="34"/>
        <v>J</v>
      </c>
      <c r="L28" s="14" t="str">
        <f t="shared" si="34"/>
        <v>K</v>
      </c>
      <c r="M28" s="14" t="str">
        <f t="shared" si="34"/>
        <v>L</v>
      </c>
      <c r="N28" s="14" t="str">
        <f t="shared" si="34"/>
        <v>M</v>
      </c>
      <c r="O28" s="14" t="str">
        <f t="shared" si="34"/>
        <v>N</v>
      </c>
      <c r="P28" s="14" t="str">
        <f t="shared" si="34"/>
        <v>O</v>
      </c>
      <c r="Q28" s="14" t="str">
        <f t="shared" si="34"/>
        <v>P</v>
      </c>
      <c r="R28" s="14" t="str">
        <f t="shared" si="34"/>
        <v>Q</v>
      </c>
      <c r="S28" s="14" t="str">
        <f t="shared" si="34"/>
        <v>R</v>
      </c>
      <c r="T28" s="14" t="str">
        <f t="shared" si="34"/>
        <v>S</v>
      </c>
      <c r="U28" s="14" t="str">
        <f t="shared" si="34"/>
        <v>T</v>
      </c>
      <c r="V28" s="14" t="str">
        <f t="shared" si="34"/>
        <v>U</v>
      </c>
      <c r="W28" s="14" t="str">
        <f t="shared" si="34"/>
        <v>V</v>
      </c>
      <c r="X28" s="14" t="str">
        <f t="shared" si="34"/>
        <v>W</v>
      </c>
      <c r="Y28" s="14" t="str">
        <f t="shared" si="34"/>
        <v>X</v>
      </c>
      <c r="Z28" s="14" t="str">
        <f t="shared" si="34"/>
        <v>Y</v>
      </c>
      <c r="AA28" s="14" t="str">
        <f t="shared" si="34"/>
        <v>Z</v>
      </c>
      <c r="AB28" s="14" t="str">
        <f t="shared" si="34"/>
        <v>A</v>
      </c>
      <c r="AC28" s="14" t="str">
        <f t="shared" si="34"/>
        <v>B</v>
      </c>
      <c r="AD28" s="14" t="str">
        <f t="shared" si="34"/>
        <v>C</v>
      </c>
      <c r="AE28" s="14" t="str">
        <f t="shared" si="34"/>
        <v>D</v>
      </c>
      <c r="AF28" s="10"/>
      <c r="AH28" s="28" t="str">
        <f t="shared" ref="AH28:BG28" si="35">IF(LEN(AH30)=2,LEFT(AH30,1),"")</f>
        <v>A</v>
      </c>
      <c r="AI28" s="28" t="str">
        <f t="shared" si="35"/>
        <v>B</v>
      </c>
      <c r="AJ28" s="28" t="str">
        <f t="shared" si="35"/>
        <v>C</v>
      </c>
      <c r="AK28" s="28" t="str">
        <f t="shared" si="35"/>
        <v>D</v>
      </c>
      <c r="AL28" s="28" t="str">
        <f t="shared" si="35"/>
        <v>E</v>
      </c>
      <c r="AM28" s="28" t="str">
        <f t="shared" si="35"/>
        <v>F</v>
      </c>
      <c r="AN28" s="28" t="str">
        <f t="shared" si="35"/>
        <v>G</v>
      </c>
      <c r="AO28" s="28" t="str">
        <f t="shared" si="35"/>
        <v>H</v>
      </c>
      <c r="AP28" s="28" t="str">
        <f t="shared" si="35"/>
        <v>I</v>
      </c>
      <c r="AQ28" s="28" t="str">
        <f t="shared" si="35"/>
        <v>J</v>
      </c>
      <c r="AR28" s="28" t="str">
        <f t="shared" si="35"/>
        <v>K</v>
      </c>
      <c r="AS28" s="28" t="str">
        <f t="shared" si="35"/>
        <v>L</v>
      </c>
      <c r="AT28" s="28" t="str">
        <f t="shared" si="35"/>
        <v>M</v>
      </c>
      <c r="AU28" s="28" t="str">
        <f t="shared" si="35"/>
        <v>N</v>
      </c>
      <c r="AV28" s="28" t="str">
        <f t="shared" si="35"/>
        <v>O</v>
      </c>
      <c r="AW28" s="28" t="str">
        <f t="shared" si="35"/>
        <v>P</v>
      </c>
      <c r="AX28" s="28" t="str">
        <f t="shared" si="35"/>
        <v>Q</v>
      </c>
      <c r="AY28" s="28" t="str">
        <f t="shared" si="35"/>
        <v>R</v>
      </c>
      <c r="AZ28" s="28" t="str">
        <f t="shared" si="35"/>
        <v>S</v>
      </c>
      <c r="BA28" s="28" t="str">
        <f t="shared" si="35"/>
        <v>T</v>
      </c>
      <c r="BB28" s="28" t="str">
        <f t="shared" si="35"/>
        <v>U</v>
      </c>
      <c r="BC28" s="28" t="str">
        <f t="shared" si="35"/>
        <v>V</v>
      </c>
      <c r="BD28" s="28" t="str">
        <f t="shared" si="35"/>
        <v>W</v>
      </c>
      <c r="BE28" s="28" t="str">
        <f t="shared" si="35"/>
        <v>X</v>
      </c>
      <c r="BF28" s="28" t="str">
        <f t="shared" si="35"/>
        <v>Y</v>
      </c>
      <c r="BG28" s="28" t="str">
        <f t="shared" si="35"/>
        <v>Z</v>
      </c>
    </row>
    <row r="29" spans="1:59" x14ac:dyDescent="0.35">
      <c r="B29" s="22"/>
      <c r="C29" s="8"/>
      <c r="E29" t="s">
        <v>387</v>
      </c>
      <c r="F29" s="15" t="str">
        <f t="shared" ref="F29:AE29" si="36">IF(F26=1,VLOOKUP(nRotorL_Rev&amp;F28,nRotorRev,4,FALSE),"")</f>
        <v>A</v>
      </c>
      <c r="G29" s="15" t="str">
        <f t="shared" si="36"/>
        <v>D</v>
      </c>
      <c r="H29" s="15" t="str">
        <f t="shared" si="36"/>
        <v>F</v>
      </c>
      <c r="I29" s="15" t="str">
        <f t="shared" si="36"/>
        <v>P</v>
      </c>
      <c r="J29" s="15" t="str">
        <f t="shared" si="36"/>
        <v>V</v>
      </c>
      <c r="K29" s="15" t="str">
        <f t="shared" si="36"/>
        <v>Z</v>
      </c>
      <c r="L29" s="15" t="str">
        <f t="shared" si="36"/>
        <v>B</v>
      </c>
      <c r="M29" s="15" t="str">
        <f t="shared" si="36"/>
        <v>E</v>
      </c>
      <c r="N29" s="15" t="str">
        <f t="shared" si="36"/>
        <v>C</v>
      </c>
      <c r="O29" s="15" t="str">
        <f t="shared" si="36"/>
        <v>K</v>
      </c>
      <c r="P29" s="15" t="str">
        <f t="shared" si="36"/>
        <v>M</v>
      </c>
      <c r="Q29" s="15" t="str">
        <f t="shared" si="36"/>
        <v>T</v>
      </c>
      <c r="R29" s="15" t="str">
        <f t="shared" si="36"/>
        <v>H</v>
      </c>
      <c r="S29" s="15" t="str">
        <f t="shared" si="36"/>
        <v>X</v>
      </c>
      <c r="T29" s="15" t="str">
        <f t="shared" si="36"/>
        <v>S</v>
      </c>
      <c r="U29" s="15" t="str">
        <f t="shared" si="36"/>
        <v>L</v>
      </c>
      <c r="V29" s="15" t="str">
        <f t="shared" si="36"/>
        <v>R</v>
      </c>
      <c r="W29" s="15" t="str">
        <f t="shared" si="36"/>
        <v>I</v>
      </c>
      <c r="X29" s="15" t="str">
        <f t="shared" si="36"/>
        <v>N</v>
      </c>
      <c r="Y29" s="15" t="str">
        <f t="shared" si="36"/>
        <v>Q</v>
      </c>
      <c r="Z29" s="15" t="str">
        <f t="shared" si="36"/>
        <v>O</v>
      </c>
      <c r="AA29" s="15" t="str">
        <f t="shared" si="36"/>
        <v>J</v>
      </c>
      <c r="AB29" s="15" t="str">
        <f t="shared" si="36"/>
        <v>U</v>
      </c>
      <c r="AC29" s="15" t="str">
        <f t="shared" si="36"/>
        <v>W</v>
      </c>
      <c r="AD29" s="15" t="str">
        <f t="shared" si="36"/>
        <v>Y</v>
      </c>
      <c r="AE29" s="15" t="str">
        <f t="shared" si="36"/>
        <v>G</v>
      </c>
      <c r="AF29" s="10"/>
      <c r="AH29" s="28" t="str">
        <f t="shared" ref="AH29:BG29" si="37">IF(LEN(AH30)=2,RIGHT(AH30,1),"")</f>
        <v>W</v>
      </c>
      <c r="AI29" s="28" t="str">
        <f t="shared" si="37"/>
        <v>Z</v>
      </c>
      <c r="AJ29" s="28" t="str">
        <f t="shared" si="37"/>
        <v>B</v>
      </c>
      <c r="AK29" s="28" t="str">
        <f t="shared" si="37"/>
        <v>L</v>
      </c>
      <c r="AL29" s="28" t="str">
        <f t="shared" si="37"/>
        <v>R</v>
      </c>
      <c r="AM29" s="28" t="str">
        <f t="shared" si="37"/>
        <v>V</v>
      </c>
      <c r="AN29" s="28" t="str">
        <f t="shared" si="37"/>
        <v>X</v>
      </c>
      <c r="AO29" s="28" t="str">
        <f t="shared" si="37"/>
        <v>A</v>
      </c>
      <c r="AP29" s="28" t="str">
        <f t="shared" si="37"/>
        <v>Y</v>
      </c>
      <c r="AQ29" s="28" t="str">
        <f t="shared" si="37"/>
        <v>G</v>
      </c>
      <c r="AR29" s="28" t="str">
        <f t="shared" si="37"/>
        <v>I</v>
      </c>
      <c r="AS29" s="28" t="str">
        <f t="shared" si="37"/>
        <v>P</v>
      </c>
      <c r="AT29" s="28" t="str">
        <f t="shared" si="37"/>
        <v>D</v>
      </c>
      <c r="AU29" s="28" t="str">
        <f t="shared" si="37"/>
        <v>T</v>
      </c>
      <c r="AV29" s="28" t="str">
        <f t="shared" si="37"/>
        <v>O</v>
      </c>
      <c r="AW29" s="28" t="str">
        <f t="shared" si="37"/>
        <v>H</v>
      </c>
      <c r="AX29" s="28" t="str">
        <f t="shared" si="37"/>
        <v>N</v>
      </c>
      <c r="AY29" s="28" t="str">
        <f t="shared" si="37"/>
        <v>E</v>
      </c>
      <c r="AZ29" s="28" t="str">
        <f t="shared" si="37"/>
        <v>J</v>
      </c>
      <c r="BA29" s="28" t="str">
        <f t="shared" si="37"/>
        <v>M</v>
      </c>
      <c r="BB29" s="28" t="str">
        <f t="shared" si="37"/>
        <v>K</v>
      </c>
      <c r="BC29" s="28" t="str">
        <f t="shared" si="37"/>
        <v>F</v>
      </c>
      <c r="BD29" s="28" t="str">
        <f t="shared" si="37"/>
        <v>Q</v>
      </c>
      <c r="BE29" s="28" t="str">
        <f t="shared" si="37"/>
        <v>S</v>
      </c>
      <c r="BF29" s="28" t="str">
        <f t="shared" si="37"/>
        <v>U</v>
      </c>
      <c r="BG29" s="28" t="str">
        <f t="shared" si="37"/>
        <v>C</v>
      </c>
    </row>
    <row r="30" spans="1:59" ht="15" thickBot="1" x14ac:dyDescent="0.4">
      <c r="B30" s="23"/>
      <c r="C30" s="16"/>
      <c r="D30" s="17"/>
      <c r="E30" s="17" t="s">
        <v>388</v>
      </c>
      <c r="F30" s="18" t="str">
        <f t="shared" ref="F30:AE30" si="38">IF(F26=1,IF(CODE(F29)-CODE(F28)&lt;0,VLOOKUP((CODE(F29)-CODE(F28)+26)+(CODE(F25)-nCharOffset),nNum2Let,2,FALSE),VLOOKUP((CODE(F29)-CODE(F28))+(CODE(F25)-nCharOffset),nNum2Let,2,FALSE)),"")</f>
        <v>W</v>
      </c>
      <c r="G30" s="18" t="str">
        <f t="shared" si="38"/>
        <v>Z</v>
      </c>
      <c r="H30" s="18" t="str">
        <f t="shared" si="38"/>
        <v>B</v>
      </c>
      <c r="I30" s="18" t="str">
        <f t="shared" si="38"/>
        <v>L</v>
      </c>
      <c r="J30" s="18" t="str">
        <f t="shared" si="38"/>
        <v>R</v>
      </c>
      <c r="K30" s="18" t="str">
        <f t="shared" si="38"/>
        <v>V</v>
      </c>
      <c r="L30" s="18" t="str">
        <f t="shared" si="38"/>
        <v>X</v>
      </c>
      <c r="M30" s="18" t="str">
        <f t="shared" si="38"/>
        <v>A</v>
      </c>
      <c r="N30" s="18" t="str">
        <f t="shared" si="38"/>
        <v>Y</v>
      </c>
      <c r="O30" s="18" t="str">
        <f t="shared" si="38"/>
        <v>G</v>
      </c>
      <c r="P30" s="18" t="str">
        <f t="shared" si="38"/>
        <v>I</v>
      </c>
      <c r="Q30" s="18" t="str">
        <f t="shared" si="38"/>
        <v>P</v>
      </c>
      <c r="R30" s="18" t="str">
        <f t="shared" si="38"/>
        <v>D</v>
      </c>
      <c r="S30" s="18" t="str">
        <f t="shared" si="38"/>
        <v>T</v>
      </c>
      <c r="T30" s="18" t="str">
        <f t="shared" si="38"/>
        <v>O</v>
      </c>
      <c r="U30" s="18" t="str">
        <f t="shared" si="38"/>
        <v>H</v>
      </c>
      <c r="V30" s="18" t="str">
        <f t="shared" si="38"/>
        <v>N</v>
      </c>
      <c r="W30" s="18" t="str">
        <f t="shared" si="38"/>
        <v>E</v>
      </c>
      <c r="X30" s="18" t="str">
        <f t="shared" si="38"/>
        <v>J</v>
      </c>
      <c r="Y30" s="18" t="str">
        <f t="shared" si="38"/>
        <v>M</v>
      </c>
      <c r="Z30" s="18" t="str">
        <f t="shared" si="38"/>
        <v>K</v>
      </c>
      <c r="AA30" s="18" t="str">
        <f t="shared" si="38"/>
        <v>F</v>
      </c>
      <c r="AB30" s="18" t="str">
        <f t="shared" si="38"/>
        <v>Q</v>
      </c>
      <c r="AC30" s="18" t="str">
        <f t="shared" si="38"/>
        <v>S</v>
      </c>
      <c r="AD30" s="18" t="str">
        <f t="shared" si="38"/>
        <v>U</v>
      </c>
      <c r="AE30" s="18" t="str">
        <f t="shared" si="38"/>
        <v>C</v>
      </c>
      <c r="AF30" s="19" t="str">
        <f>CONCATENATE(F30,G30,H30,I30,J30,K30,L30,M30,N30,O30,P30,Q30,R30,S30,T30&amp;U30,V30,W30,X30,Y30,Z30,AA30,AB30,AC30,AD30,AE30)</f>
        <v>WZBLRVXAYGIPDTOHNEJMKFQSUC</v>
      </c>
      <c r="AH30" s="12" t="str">
        <f>F25&amp;F30</f>
        <v>AW</v>
      </c>
      <c r="AI30" s="12" t="str">
        <f t="shared" ref="AI30:BG30" si="39">G25&amp;G30</f>
        <v>BZ</v>
      </c>
      <c r="AJ30" s="12" t="str">
        <f t="shared" si="39"/>
        <v>CB</v>
      </c>
      <c r="AK30" s="12" t="str">
        <f t="shared" si="39"/>
        <v>DL</v>
      </c>
      <c r="AL30" s="12" t="str">
        <f t="shared" si="39"/>
        <v>ER</v>
      </c>
      <c r="AM30" s="12" t="str">
        <f t="shared" si="39"/>
        <v>FV</v>
      </c>
      <c r="AN30" s="12" t="str">
        <f t="shared" si="39"/>
        <v>GX</v>
      </c>
      <c r="AO30" s="12" t="str">
        <f t="shared" si="39"/>
        <v>HA</v>
      </c>
      <c r="AP30" s="12" t="str">
        <f t="shared" si="39"/>
        <v>IY</v>
      </c>
      <c r="AQ30" s="12" t="str">
        <f t="shared" si="39"/>
        <v>JG</v>
      </c>
      <c r="AR30" s="12" t="str">
        <f t="shared" si="39"/>
        <v>KI</v>
      </c>
      <c r="AS30" s="12" t="str">
        <f t="shared" si="39"/>
        <v>LP</v>
      </c>
      <c r="AT30" s="12" t="str">
        <f t="shared" si="39"/>
        <v>MD</v>
      </c>
      <c r="AU30" s="12" t="str">
        <f t="shared" si="39"/>
        <v>NT</v>
      </c>
      <c r="AV30" s="12" t="str">
        <f t="shared" si="39"/>
        <v>OO</v>
      </c>
      <c r="AW30" s="12" t="str">
        <f t="shared" si="39"/>
        <v>PH</v>
      </c>
      <c r="AX30" s="12" t="str">
        <f t="shared" si="39"/>
        <v>QN</v>
      </c>
      <c r="AY30" s="12" t="str">
        <f t="shared" si="39"/>
        <v>RE</v>
      </c>
      <c r="AZ30" s="12" t="str">
        <f t="shared" si="39"/>
        <v>SJ</v>
      </c>
      <c r="BA30" s="12" t="str">
        <f t="shared" si="39"/>
        <v>TM</v>
      </c>
      <c r="BB30" s="12" t="str">
        <f t="shared" si="39"/>
        <v>UK</v>
      </c>
      <c r="BC30" s="12" t="str">
        <f t="shared" si="39"/>
        <v>VF</v>
      </c>
      <c r="BD30" s="12" t="str">
        <f t="shared" si="39"/>
        <v>WQ</v>
      </c>
      <c r="BE30" s="12" t="str">
        <f t="shared" si="39"/>
        <v>XS</v>
      </c>
      <c r="BF30" s="12" t="str">
        <f t="shared" si="39"/>
        <v>YU</v>
      </c>
      <c r="BG30" s="12" t="str">
        <f t="shared" si="39"/>
        <v>ZC</v>
      </c>
    </row>
    <row r="31" spans="1:59" x14ac:dyDescent="0.35">
      <c r="B31" s="21"/>
      <c r="C31" s="4"/>
      <c r="D31" s="5"/>
      <c r="E31" s="5" t="s">
        <v>385</v>
      </c>
      <c r="F31" s="6" t="s">
        <v>0</v>
      </c>
      <c r="G31" s="6" t="s">
        <v>1</v>
      </c>
      <c r="H31" s="6" t="s">
        <v>2</v>
      </c>
      <c r="I31" s="6" t="s">
        <v>3</v>
      </c>
      <c r="J31" s="6" t="s">
        <v>4</v>
      </c>
      <c r="K31" s="6" t="s">
        <v>5</v>
      </c>
      <c r="L31" s="6" t="s">
        <v>6</v>
      </c>
      <c r="M31" s="6" t="s">
        <v>7</v>
      </c>
      <c r="N31" s="6" t="s">
        <v>8</v>
      </c>
      <c r="O31" s="6" t="s">
        <v>9</v>
      </c>
      <c r="P31" s="6" t="s">
        <v>10</v>
      </c>
      <c r="Q31" s="6" t="s">
        <v>11</v>
      </c>
      <c r="R31" s="6" t="s">
        <v>12</v>
      </c>
      <c r="S31" s="6" t="s">
        <v>13</v>
      </c>
      <c r="T31" s="6" t="s">
        <v>14</v>
      </c>
      <c r="U31" s="6" t="s">
        <v>15</v>
      </c>
      <c r="V31" s="6" t="s">
        <v>16</v>
      </c>
      <c r="W31" s="6" t="s">
        <v>17</v>
      </c>
      <c r="X31" s="6" t="s">
        <v>18</v>
      </c>
      <c r="Y31" s="6" t="s">
        <v>19</v>
      </c>
      <c r="Z31" s="6" t="s">
        <v>20</v>
      </c>
      <c r="AA31" s="6" t="s">
        <v>21</v>
      </c>
      <c r="AB31" s="6" t="s">
        <v>22</v>
      </c>
      <c r="AC31" s="6" t="s">
        <v>23</v>
      </c>
      <c r="AD31" s="6" t="s">
        <v>24</v>
      </c>
      <c r="AE31" s="6" t="s">
        <v>25</v>
      </c>
      <c r="AF31" s="7"/>
      <c r="AH31" s="28" t="str">
        <f>HLOOKUP(AH23,$AH28:$BG29,2,FALSE)</f>
        <v>T</v>
      </c>
      <c r="AI31" s="28" t="str">
        <f>HLOOKUP(AI23,$AH28:$BG29,2,FALSE)</f>
        <v>H</v>
      </c>
      <c r="AJ31" s="28" t="str">
        <f t="shared" ref="AJ31:BG31" si="40">HLOOKUP(AJ23,$AH28:$BG29,2,FALSE)</f>
        <v>R</v>
      </c>
      <c r="AK31" s="28" t="str">
        <f t="shared" si="40"/>
        <v>W</v>
      </c>
      <c r="AL31" s="28" t="str">
        <f t="shared" si="40"/>
        <v>A</v>
      </c>
      <c r="AM31" s="28" t="str">
        <f t="shared" si="40"/>
        <v>C</v>
      </c>
      <c r="AN31" s="28" t="str">
        <f t="shared" si="40"/>
        <v>X</v>
      </c>
      <c r="AO31" s="28" t="str">
        <f t="shared" si="40"/>
        <v>K</v>
      </c>
      <c r="AP31" s="28" t="str">
        <f t="shared" si="40"/>
        <v>J</v>
      </c>
      <c r="AQ31" s="28" t="str">
        <f t="shared" si="40"/>
        <v>O</v>
      </c>
      <c r="AR31" s="28" t="str">
        <f t="shared" si="40"/>
        <v>N</v>
      </c>
      <c r="AS31" s="28" t="str">
        <f t="shared" si="40"/>
        <v>B</v>
      </c>
      <c r="AT31" s="28" t="str">
        <f t="shared" si="40"/>
        <v>P</v>
      </c>
      <c r="AU31" s="28" t="str">
        <f t="shared" si="40"/>
        <v>Y</v>
      </c>
      <c r="AV31" s="28" t="str">
        <f t="shared" si="40"/>
        <v>V</v>
      </c>
      <c r="AW31" s="28" t="str">
        <f t="shared" si="40"/>
        <v>U</v>
      </c>
      <c r="AX31" s="28" t="str">
        <f t="shared" si="40"/>
        <v>M</v>
      </c>
      <c r="AY31" s="28" t="str">
        <f t="shared" si="40"/>
        <v>E</v>
      </c>
      <c r="AZ31" s="28" t="str">
        <f t="shared" si="40"/>
        <v>Z</v>
      </c>
      <c r="BA31" s="28" t="str">
        <f t="shared" si="40"/>
        <v>I</v>
      </c>
      <c r="BB31" s="28" t="str">
        <f t="shared" si="40"/>
        <v>L</v>
      </c>
      <c r="BC31" s="28" t="str">
        <f t="shared" si="40"/>
        <v>S</v>
      </c>
      <c r="BD31" s="28" t="str">
        <f t="shared" si="40"/>
        <v>D</v>
      </c>
      <c r="BE31" s="28" t="str">
        <f t="shared" si="40"/>
        <v>G</v>
      </c>
      <c r="BF31" s="28" t="str">
        <f t="shared" si="40"/>
        <v>Q</v>
      </c>
      <c r="BG31" s="28" t="str">
        <f t="shared" si="40"/>
        <v>F</v>
      </c>
    </row>
    <row r="32" spans="1:59" x14ac:dyDescent="0.35">
      <c r="B32" s="22"/>
      <c r="C32" s="8"/>
      <c r="F32" s="1">
        <f>IF(ISERROR(FIND(F31,$AF30)),0,1)</f>
        <v>1</v>
      </c>
      <c r="G32" s="1">
        <f t="shared" ref="G32:AE32" si="41">IF(ISERROR(FIND(G31,$AF30)),0,1)</f>
        <v>1</v>
      </c>
      <c r="H32" s="1">
        <f t="shared" si="41"/>
        <v>1</v>
      </c>
      <c r="I32" s="1">
        <f t="shared" si="41"/>
        <v>1</v>
      </c>
      <c r="J32" s="1">
        <f t="shared" si="41"/>
        <v>1</v>
      </c>
      <c r="K32" s="1">
        <f t="shared" si="41"/>
        <v>1</v>
      </c>
      <c r="L32" s="1">
        <f t="shared" si="41"/>
        <v>1</v>
      </c>
      <c r="M32" s="1">
        <f t="shared" si="41"/>
        <v>1</v>
      </c>
      <c r="N32" s="1">
        <f t="shared" si="41"/>
        <v>1</v>
      </c>
      <c r="O32" s="1">
        <f t="shared" si="41"/>
        <v>1</v>
      </c>
      <c r="P32" s="1">
        <f t="shared" si="41"/>
        <v>1</v>
      </c>
      <c r="Q32" s="1">
        <f t="shared" si="41"/>
        <v>1</v>
      </c>
      <c r="R32" s="1">
        <f t="shared" si="41"/>
        <v>1</v>
      </c>
      <c r="S32" s="1">
        <f t="shared" si="41"/>
        <v>1</v>
      </c>
      <c r="T32" s="1">
        <f t="shared" si="41"/>
        <v>1</v>
      </c>
      <c r="U32" s="1">
        <f t="shared" si="41"/>
        <v>1</v>
      </c>
      <c r="V32" s="1">
        <f t="shared" si="41"/>
        <v>1</v>
      </c>
      <c r="W32" s="1">
        <f t="shared" si="41"/>
        <v>1</v>
      </c>
      <c r="X32" s="1">
        <f t="shared" si="41"/>
        <v>1</v>
      </c>
      <c r="Y32" s="1">
        <f t="shared" si="41"/>
        <v>1</v>
      </c>
      <c r="Z32" s="1">
        <f t="shared" si="41"/>
        <v>1</v>
      </c>
      <c r="AA32" s="1">
        <f t="shared" si="41"/>
        <v>1</v>
      </c>
      <c r="AB32" s="1">
        <f t="shared" si="41"/>
        <v>1</v>
      </c>
      <c r="AC32" s="1">
        <f t="shared" si="41"/>
        <v>1</v>
      </c>
      <c r="AD32" s="1">
        <f t="shared" si="41"/>
        <v>1</v>
      </c>
      <c r="AE32" s="1">
        <f t="shared" si="41"/>
        <v>1</v>
      </c>
      <c r="AF32" s="10"/>
    </row>
    <row r="33" spans="2:59" x14ac:dyDescent="0.35">
      <c r="B33" s="22" t="s">
        <v>383</v>
      </c>
      <c r="C33" s="26" t="str">
        <f>"R"&amp;C12</f>
        <v>R4</v>
      </c>
      <c r="D33" s="11">
        <f>D12</f>
        <v>142</v>
      </c>
      <c r="E33" s="11">
        <f>E12</f>
        <v>12</v>
      </c>
      <c r="F33" s="12" t="str">
        <f>F12</f>
        <v>L</v>
      </c>
      <c r="G33" s="13" t="str">
        <f t="shared" ref="G33:AE33" si="42">VLOOKUP(F33,nNextLetter,2,FALSE)</f>
        <v>M</v>
      </c>
      <c r="H33" s="13" t="str">
        <f t="shared" si="42"/>
        <v>N</v>
      </c>
      <c r="I33" s="13" t="str">
        <f t="shared" si="42"/>
        <v>O</v>
      </c>
      <c r="J33" s="13" t="str">
        <f t="shared" si="42"/>
        <v>P</v>
      </c>
      <c r="K33" s="13" t="str">
        <f t="shared" si="42"/>
        <v>Q</v>
      </c>
      <c r="L33" s="13" t="str">
        <f t="shared" si="42"/>
        <v>R</v>
      </c>
      <c r="M33" s="13" t="str">
        <f t="shared" si="42"/>
        <v>S</v>
      </c>
      <c r="N33" s="13" t="str">
        <f t="shared" si="42"/>
        <v>T</v>
      </c>
      <c r="O33" s="13" t="str">
        <f t="shared" si="42"/>
        <v>U</v>
      </c>
      <c r="P33" s="13" t="str">
        <f t="shared" si="42"/>
        <v>V</v>
      </c>
      <c r="Q33" s="13" t="str">
        <f t="shared" si="42"/>
        <v>W</v>
      </c>
      <c r="R33" s="13" t="str">
        <f t="shared" si="42"/>
        <v>X</v>
      </c>
      <c r="S33" s="13" t="str">
        <f t="shared" si="42"/>
        <v>Y</v>
      </c>
      <c r="T33" s="13" t="str">
        <f t="shared" si="42"/>
        <v>Z</v>
      </c>
      <c r="U33" s="13" t="str">
        <f t="shared" si="42"/>
        <v>A</v>
      </c>
      <c r="V33" s="13" t="str">
        <f t="shared" si="42"/>
        <v>B</v>
      </c>
      <c r="W33" s="13" t="str">
        <f t="shared" si="42"/>
        <v>C</v>
      </c>
      <c r="X33" s="13" t="str">
        <f t="shared" si="42"/>
        <v>D</v>
      </c>
      <c r="Y33" s="13" t="str">
        <f t="shared" si="42"/>
        <v>E</v>
      </c>
      <c r="Z33" s="13" t="str">
        <f t="shared" si="42"/>
        <v>F</v>
      </c>
      <c r="AA33" s="13" t="str">
        <f t="shared" si="42"/>
        <v>G</v>
      </c>
      <c r="AB33" s="13" t="str">
        <f t="shared" si="42"/>
        <v>H</v>
      </c>
      <c r="AC33" s="13" t="str">
        <f t="shared" si="42"/>
        <v>I</v>
      </c>
      <c r="AD33" s="13" t="str">
        <f t="shared" si="42"/>
        <v>J</v>
      </c>
      <c r="AE33" s="13" t="str">
        <f t="shared" si="42"/>
        <v>K</v>
      </c>
      <c r="AF33" s="10"/>
    </row>
    <row r="34" spans="2:59" x14ac:dyDescent="0.35">
      <c r="B34" s="22"/>
      <c r="C34" s="8"/>
      <c r="E34" t="s">
        <v>386</v>
      </c>
      <c r="F34" s="14" t="str">
        <f t="shared" ref="F34:AE34" si="43">IF(F32=1,VLOOKUP(nCurPosM+nRingOffsetM+(CODE(F31)-nCharOffset)-1,nNum2Let,2,FALSE),"")</f>
        <v>L</v>
      </c>
      <c r="G34" s="14" t="str">
        <f t="shared" si="43"/>
        <v>M</v>
      </c>
      <c r="H34" s="14" t="str">
        <f t="shared" si="43"/>
        <v>N</v>
      </c>
      <c r="I34" s="14" t="str">
        <f t="shared" si="43"/>
        <v>O</v>
      </c>
      <c r="J34" s="14" t="str">
        <f t="shared" si="43"/>
        <v>P</v>
      </c>
      <c r="K34" s="14" t="str">
        <f t="shared" si="43"/>
        <v>Q</v>
      </c>
      <c r="L34" s="14" t="str">
        <f t="shared" si="43"/>
        <v>R</v>
      </c>
      <c r="M34" s="14" t="str">
        <f t="shared" si="43"/>
        <v>S</v>
      </c>
      <c r="N34" s="14" t="str">
        <f t="shared" si="43"/>
        <v>T</v>
      </c>
      <c r="O34" s="14" t="str">
        <f t="shared" si="43"/>
        <v>U</v>
      </c>
      <c r="P34" s="14" t="str">
        <f t="shared" si="43"/>
        <v>V</v>
      </c>
      <c r="Q34" s="14" t="str">
        <f t="shared" si="43"/>
        <v>W</v>
      </c>
      <c r="R34" s="14" t="str">
        <f t="shared" si="43"/>
        <v>X</v>
      </c>
      <c r="S34" s="14" t="str">
        <f t="shared" si="43"/>
        <v>Y</v>
      </c>
      <c r="T34" s="14" t="str">
        <f t="shared" si="43"/>
        <v>Z</v>
      </c>
      <c r="U34" s="14" t="str">
        <f t="shared" si="43"/>
        <v>A</v>
      </c>
      <c r="V34" s="14" t="str">
        <f t="shared" si="43"/>
        <v>B</v>
      </c>
      <c r="W34" s="14" t="str">
        <f t="shared" si="43"/>
        <v>C</v>
      </c>
      <c r="X34" s="14" t="str">
        <f t="shared" si="43"/>
        <v>D</v>
      </c>
      <c r="Y34" s="14" t="str">
        <f t="shared" si="43"/>
        <v>E</v>
      </c>
      <c r="Z34" s="14" t="str">
        <f t="shared" si="43"/>
        <v>F</v>
      </c>
      <c r="AA34" s="14" t="str">
        <f t="shared" si="43"/>
        <v>G</v>
      </c>
      <c r="AB34" s="14" t="str">
        <f t="shared" si="43"/>
        <v>H</v>
      </c>
      <c r="AC34" s="14" t="str">
        <f t="shared" si="43"/>
        <v>I</v>
      </c>
      <c r="AD34" s="14" t="str">
        <f t="shared" si="43"/>
        <v>J</v>
      </c>
      <c r="AE34" s="14" t="str">
        <f t="shared" si="43"/>
        <v>K</v>
      </c>
      <c r="AF34" s="10"/>
      <c r="AH34" s="28" t="str">
        <f t="shared" ref="AH34:BG34" si="44">IF(LEN(AH36)=2,LEFT(AH36,1),"")</f>
        <v>A</v>
      </c>
      <c r="AI34" s="28" t="str">
        <f t="shared" si="44"/>
        <v>B</v>
      </c>
      <c r="AJ34" s="28" t="str">
        <f t="shared" si="44"/>
        <v>C</v>
      </c>
      <c r="AK34" s="28" t="str">
        <f t="shared" si="44"/>
        <v>D</v>
      </c>
      <c r="AL34" s="28" t="str">
        <f t="shared" si="44"/>
        <v>E</v>
      </c>
      <c r="AM34" s="28" t="str">
        <f t="shared" si="44"/>
        <v>F</v>
      </c>
      <c r="AN34" s="28" t="str">
        <f t="shared" si="44"/>
        <v>G</v>
      </c>
      <c r="AO34" s="28" t="str">
        <f t="shared" si="44"/>
        <v>H</v>
      </c>
      <c r="AP34" s="28" t="str">
        <f t="shared" si="44"/>
        <v>I</v>
      </c>
      <c r="AQ34" s="28" t="str">
        <f t="shared" si="44"/>
        <v>J</v>
      </c>
      <c r="AR34" s="28" t="str">
        <f t="shared" si="44"/>
        <v>K</v>
      </c>
      <c r="AS34" s="28" t="str">
        <f t="shared" si="44"/>
        <v>L</v>
      </c>
      <c r="AT34" s="28" t="str">
        <f t="shared" si="44"/>
        <v>M</v>
      </c>
      <c r="AU34" s="28" t="str">
        <f t="shared" si="44"/>
        <v>N</v>
      </c>
      <c r="AV34" s="28" t="str">
        <f t="shared" si="44"/>
        <v>O</v>
      </c>
      <c r="AW34" s="28" t="str">
        <f t="shared" si="44"/>
        <v>P</v>
      </c>
      <c r="AX34" s="28" t="str">
        <f t="shared" si="44"/>
        <v>Q</v>
      </c>
      <c r="AY34" s="28" t="str">
        <f t="shared" si="44"/>
        <v>R</v>
      </c>
      <c r="AZ34" s="28" t="str">
        <f t="shared" si="44"/>
        <v>S</v>
      </c>
      <c r="BA34" s="28" t="str">
        <f t="shared" si="44"/>
        <v>T</v>
      </c>
      <c r="BB34" s="28" t="str">
        <f t="shared" si="44"/>
        <v>U</v>
      </c>
      <c r="BC34" s="28" t="str">
        <f t="shared" si="44"/>
        <v>V</v>
      </c>
      <c r="BD34" s="28" t="str">
        <f t="shared" si="44"/>
        <v>W</v>
      </c>
      <c r="BE34" s="28" t="str">
        <f t="shared" si="44"/>
        <v>X</v>
      </c>
      <c r="BF34" s="28" t="str">
        <f t="shared" si="44"/>
        <v>Y</v>
      </c>
      <c r="BG34" s="28" t="str">
        <f t="shared" si="44"/>
        <v>Z</v>
      </c>
    </row>
    <row r="35" spans="2:59" x14ac:dyDescent="0.35">
      <c r="B35" s="22"/>
      <c r="C35" s="8"/>
      <c r="E35" t="s">
        <v>387</v>
      </c>
      <c r="F35" s="15" t="str">
        <f t="shared" ref="F35:AE35" si="45">IF(F32=1,VLOOKUP(nRotorM_Rev&amp;F34,nRotorRev,4,FALSE),"")</f>
        <v>P</v>
      </c>
      <c r="G35" s="15" t="str">
        <f t="shared" si="45"/>
        <v>X</v>
      </c>
      <c r="H35" s="15" t="str">
        <f t="shared" si="45"/>
        <v>Q</v>
      </c>
      <c r="I35" s="15" t="str">
        <f t="shared" si="45"/>
        <v>C</v>
      </c>
      <c r="J35" s="15" t="str">
        <f t="shared" si="45"/>
        <v>E</v>
      </c>
      <c r="K35" s="15" t="str">
        <f t="shared" si="45"/>
        <v>J</v>
      </c>
      <c r="L35" s="15" t="str">
        <f t="shared" si="45"/>
        <v>M</v>
      </c>
      <c r="M35" s="15" t="str">
        <f t="shared" si="45"/>
        <v>B</v>
      </c>
      <c r="N35" s="15" t="str">
        <f t="shared" si="45"/>
        <v>S</v>
      </c>
      <c r="O35" s="15" t="str">
        <f t="shared" si="45"/>
        <v>K</v>
      </c>
      <c r="P35" s="15" t="str">
        <f t="shared" si="45"/>
        <v>D</v>
      </c>
      <c r="Q35" s="15" t="str">
        <f t="shared" si="45"/>
        <v>Y</v>
      </c>
      <c r="R35" s="15" t="str">
        <f t="shared" si="45"/>
        <v>O</v>
      </c>
      <c r="S35" s="15" t="str">
        <f t="shared" si="45"/>
        <v>I</v>
      </c>
      <c r="T35" s="15" t="str">
        <f t="shared" si="45"/>
        <v>F</v>
      </c>
      <c r="U35" s="15" t="str">
        <f t="shared" si="45"/>
        <v>H</v>
      </c>
      <c r="V35" s="15" t="str">
        <f t="shared" si="45"/>
        <v>Z</v>
      </c>
      <c r="W35" s="15" t="str">
        <f t="shared" si="45"/>
        <v>W</v>
      </c>
      <c r="X35" s="15" t="str">
        <f t="shared" si="45"/>
        <v>V</v>
      </c>
      <c r="Y35" s="15" t="str">
        <f t="shared" si="45"/>
        <v>A</v>
      </c>
      <c r="Z35" s="15" t="str">
        <f t="shared" si="45"/>
        <v>R</v>
      </c>
      <c r="AA35" s="15" t="str">
        <f t="shared" si="45"/>
        <v>T</v>
      </c>
      <c r="AB35" s="15" t="str">
        <f t="shared" si="45"/>
        <v>N</v>
      </c>
      <c r="AC35" s="15" t="str">
        <f t="shared" si="45"/>
        <v>L</v>
      </c>
      <c r="AD35" s="15" t="str">
        <f t="shared" si="45"/>
        <v>G</v>
      </c>
      <c r="AE35" s="15" t="str">
        <f t="shared" si="45"/>
        <v>U</v>
      </c>
      <c r="AF35" s="10"/>
      <c r="AH35" s="28" t="str">
        <f t="shared" ref="AH35:BG35" si="46">IF(LEN(AH36)=2,RIGHT(AH36,1),"")</f>
        <v>E</v>
      </c>
      <c r="AI35" s="28" t="str">
        <f t="shared" si="46"/>
        <v>M</v>
      </c>
      <c r="AJ35" s="28" t="str">
        <f t="shared" si="46"/>
        <v>F</v>
      </c>
      <c r="AK35" s="28" t="str">
        <f t="shared" si="46"/>
        <v>R</v>
      </c>
      <c r="AL35" s="28" t="str">
        <f t="shared" si="46"/>
        <v>T</v>
      </c>
      <c r="AM35" s="28" t="str">
        <f t="shared" si="46"/>
        <v>Y</v>
      </c>
      <c r="AN35" s="28" t="str">
        <f t="shared" si="46"/>
        <v>B</v>
      </c>
      <c r="AO35" s="28" t="str">
        <f t="shared" si="46"/>
        <v>Q</v>
      </c>
      <c r="AP35" s="28" t="str">
        <f t="shared" si="46"/>
        <v>H</v>
      </c>
      <c r="AQ35" s="28" t="str">
        <f t="shared" si="46"/>
        <v>Z</v>
      </c>
      <c r="AR35" s="28" t="str">
        <f t="shared" si="46"/>
        <v>S</v>
      </c>
      <c r="AS35" s="28" t="str">
        <f t="shared" si="46"/>
        <v>N</v>
      </c>
      <c r="AT35" s="28" t="str">
        <f t="shared" si="46"/>
        <v>D</v>
      </c>
      <c r="AU35" s="28" t="str">
        <f t="shared" si="46"/>
        <v>X</v>
      </c>
      <c r="AV35" s="28" t="str">
        <f t="shared" si="46"/>
        <v>U</v>
      </c>
      <c r="AW35" s="28" t="str">
        <f t="shared" si="46"/>
        <v>W</v>
      </c>
      <c r="AX35" s="28" t="str">
        <f t="shared" si="46"/>
        <v>O</v>
      </c>
      <c r="AY35" s="28" t="str">
        <f t="shared" si="46"/>
        <v>L</v>
      </c>
      <c r="AZ35" s="28" t="str">
        <f t="shared" si="46"/>
        <v>K</v>
      </c>
      <c r="BA35" s="28" t="str">
        <f t="shared" si="46"/>
        <v>P</v>
      </c>
      <c r="BB35" s="28" t="str">
        <f t="shared" si="46"/>
        <v>G</v>
      </c>
      <c r="BC35" s="28" t="str">
        <f t="shared" si="46"/>
        <v>I</v>
      </c>
      <c r="BD35" s="28" t="str">
        <f t="shared" si="46"/>
        <v>C</v>
      </c>
      <c r="BE35" s="28" t="str">
        <f t="shared" si="46"/>
        <v>A</v>
      </c>
      <c r="BF35" s="28" t="str">
        <f t="shared" si="46"/>
        <v>V</v>
      </c>
      <c r="BG35" s="28" t="str">
        <f t="shared" si="46"/>
        <v>J</v>
      </c>
    </row>
    <row r="36" spans="2:59" ht="15" thickBot="1" x14ac:dyDescent="0.4">
      <c r="B36" s="23"/>
      <c r="C36" s="16"/>
      <c r="D36" s="17"/>
      <c r="E36" s="17" t="s">
        <v>388</v>
      </c>
      <c r="F36" s="18" t="str">
        <f t="shared" ref="F36:AE36" si="47">IF(F32=1,IF(CODE(F35)-CODE(F34)&lt;0,VLOOKUP((CODE(F35)-CODE(F34)+26)+(CODE(F31)-nCharOffset),nNum2Let,2,FALSE),VLOOKUP((CODE(F35)-CODE(F34))+(CODE(F31)-nCharOffset),nNum2Let,2,FALSE)),"")</f>
        <v>E</v>
      </c>
      <c r="G36" s="18" t="str">
        <f t="shared" si="47"/>
        <v>M</v>
      </c>
      <c r="H36" s="18" t="str">
        <f t="shared" si="47"/>
        <v>F</v>
      </c>
      <c r="I36" s="18" t="str">
        <f t="shared" si="47"/>
        <v>R</v>
      </c>
      <c r="J36" s="18" t="str">
        <f t="shared" si="47"/>
        <v>T</v>
      </c>
      <c r="K36" s="18" t="str">
        <f t="shared" si="47"/>
        <v>Y</v>
      </c>
      <c r="L36" s="18" t="str">
        <f t="shared" si="47"/>
        <v>B</v>
      </c>
      <c r="M36" s="18" t="str">
        <f t="shared" si="47"/>
        <v>Q</v>
      </c>
      <c r="N36" s="18" t="str">
        <f t="shared" si="47"/>
        <v>H</v>
      </c>
      <c r="O36" s="18" t="str">
        <f t="shared" si="47"/>
        <v>Z</v>
      </c>
      <c r="P36" s="18" t="str">
        <f t="shared" si="47"/>
        <v>S</v>
      </c>
      <c r="Q36" s="18" t="str">
        <f t="shared" si="47"/>
        <v>N</v>
      </c>
      <c r="R36" s="18" t="str">
        <f t="shared" si="47"/>
        <v>D</v>
      </c>
      <c r="S36" s="18" t="str">
        <f t="shared" si="47"/>
        <v>X</v>
      </c>
      <c r="T36" s="18" t="str">
        <f t="shared" si="47"/>
        <v>U</v>
      </c>
      <c r="U36" s="18" t="str">
        <f t="shared" si="47"/>
        <v>W</v>
      </c>
      <c r="V36" s="18" t="str">
        <f t="shared" si="47"/>
        <v>O</v>
      </c>
      <c r="W36" s="18" t="str">
        <f t="shared" si="47"/>
        <v>L</v>
      </c>
      <c r="X36" s="18" t="str">
        <f t="shared" si="47"/>
        <v>K</v>
      </c>
      <c r="Y36" s="18" t="str">
        <f t="shared" si="47"/>
        <v>P</v>
      </c>
      <c r="Z36" s="18" t="str">
        <f t="shared" si="47"/>
        <v>G</v>
      </c>
      <c r="AA36" s="18" t="str">
        <f t="shared" si="47"/>
        <v>I</v>
      </c>
      <c r="AB36" s="18" t="str">
        <f t="shared" si="47"/>
        <v>C</v>
      </c>
      <c r="AC36" s="18" t="str">
        <f t="shared" si="47"/>
        <v>A</v>
      </c>
      <c r="AD36" s="18" t="str">
        <f t="shared" si="47"/>
        <v>V</v>
      </c>
      <c r="AE36" s="18" t="str">
        <f t="shared" si="47"/>
        <v>J</v>
      </c>
      <c r="AF36" s="19" t="str">
        <f>CONCATENATE(F36,G36,H36,I36,J36,K36,L36,M36,N36,O36,P36,Q36,R36,S36,T36&amp;U36,V36,W36,X36,Y36,Z36,AA36,AB36,AC36,AD36,AE36)</f>
        <v>EMFRTYBQHZSNDXUWOLKPGICAVJ</v>
      </c>
      <c r="AH36" s="12" t="str">
        <f>F31&amp;F36</f>
        <v>AE</v>
      </c>
      <c r="AI36" s="12" t="str">
        <f t="shared" ref="AI36:BG36" si="48">G31&amp;G36</f>
        <v>BM</v>
      </c>
      <c r="AJ36" s="12" t="str">
        <f t="shared" si="48"/>
        <v>CF</v>
      </c>
      <c r="AK36" s="12" t="str">
        <f t="shared" si="48"/>
        <v>DR</v>
      </c>
      <c r="AL36" s="12" t="str">
        <f t="shared" si="48"/>
        <v>ET</v>
      </c>
      <c r="AM36" s="12" t="str">
        <f t="shared" si="48"/>
        <v>FY</v>
      </c>
      <c r="AN36" s="12" t="str">
        <f t="shared" si="48"/>
        <v>GB</v>
      </c>
      <c r="AO36" s="12" t="str">
        <f t="shared" si="48"/>
        <v>HQ</v>
      </c>
      <c r="AP36" s="12" t="str">
        <f t="shared" si="48"/>
        <v>IH</v>
      </c>
      <c r="AQ36" s="12" t="str">
        <f t="shared" si="48"/>
        <v>JZ</v>
      </c>
      <c r="AR36" s="12" t="str">
        <f t="shared" si="48"/>
        <v>KS</v>
      </c>
      <c r="AS36" s="12" t="str">
        <f t="shared" si="48"/>
        <v>LN</v>
      </c>
      <c r="AT36" s="12" t="str">
        <f t="shared" si="48"/>
        <v>MD</v>
      </c>
      <c r="AU36" s="12" t="str">
        <f t="shared" si="48"/>
        <v>NX</v>
      </c>
      <c r="AV36" s="12" t="str">
        <f t="shared" si="48"/>
        <v>OU</v>
      </c>
      <c r="AW36" s="12" t="str">
        <f t="shared" si="48"/>
        <v>PW</v>
      </c>
      <c r="AX36" s="12" t="str">
        <f t="shared" si="48"/>
        <v>QO</v>
      </c>
      <c r="AY36" s="12" t="str">
        <f t="shared" si="48"/>
        <v>RL</v>
      </c>
      <c r="AZ36" s="12" t="str">
        <f t="shared" si="48"/>
        <v>SK</v>
      </c>
      <c r="BA36" s="12" t="str">
        <f t="shared" si="48"/>
        <v>TP</v>
      </c>
      <c r="BB36" s="12" t="str">
        <f t="shared" si="48"/>
        <v>UG</v>
      </c>
      <c r="BC36" s="12" t="str">
        <f t="shared" si="48"/>
        <v>VI</v>
      </c>
      <c r="BD36" s="12" t="str">
        <f t="shared" si="48"/>
        <v>WC</v>
      </c>
      <c r="BE36" s="12" t="str">
        <f t="shared" si="48"/>
        <v>XA</v>
      </c>
      <c r="BF36" s="12" t="str">
        <f t="shared" si="48"/>
        <v>YV</v>
      </c>
      <c r="BG36" s="12" t="str">
        <f t="shared" si="48"/>
        <v>ZJ</v>
      </c>
    </row>
    <row r="37" spans="2:59" x14ac:dyDescent="0.35">
      <c r="B37" s="21"/>
      <c r="C37" s="4"/>
      <c r="D37" s="5"/>
      <c r="E37" s="5" t="s">
        <v>385</v>
      </c>
      <c r="F37" s="6" t="s">
        <v>0</v>
      </c>
      <c r="G37" s="6" t="s">
        <v>1</v>
      </c>
      <c r="H37" s="6" t="s">
        <v>2</v>
      </c>
      <c r="I37" s="6" t="s">
        <v>3</v>
      </c>
      <c r="J37" s="6" t="s">
        <v>4</v>
      </c>
      <c r="K37" s="6" t="s">
        <v>5</v>
      </c>
      <c r="L37" s="6" t="s">
        <v>6</v>
      </c>
      <c r="M37" s="6" t="s">
        <v>7</v>
      </c>
      <c r="N37" s="6" t="s">
        <v>8</v>
      </c>
      <c r="O37" s="6" t="s">
        <v>9</v>
      </c>
      <c r="P37" s="6" t="s">
        <v>10</v>
      </c>
      <c r="Q37" s="6" t="s">
        <v>11</v>
      </c>
      <c r="R37" s="6" t="s">
        <v>12</v>
      </c>
      <c r="S37" s="6" t="s">
        <v>13</v>
      </c>
      <c r="T37" s="6" t="s">
        <v>14</v>
      </c>
      <c r="U37" s="6" t="s">
        <v>15</v>
      </c>
      <c r="V37" s="6" t="s">
        <v>16</v>
      </c>
      <c r="W37" s="6" t="s">
        <v>17</v>
      </c>
      <c r="X37" s="6" t="s">
        <v>18</v>
      </c>
      <c r="Y37" s="6" t="s">
        <v>19</v>
      </c>
      <c r="Z37" s="6" t="s">
        <v>20</v>
      </c>
      <c r="AA37" s="6" t="s">
        <v>21</v>
      </c>
      <c r="AB37" s="6" t="s">
        <v>22</v>
      </c>
      <c r="AC37" s="6" t="s">
        <v>23</v>
      </c>
      <c r="AD37" s="6" t="s">
        <v>24</v>
      </c>
      <c r="AE37" s="6" t="s">
        <v>25</v>
      </c>
      <c r="AF37" s="20"/>
      <c r="AH37" s="28" t="str">
        <f>HLOOKUP(AH31,$AH34:$BG35,2,FALSE)</f>
        <v>P</v>
      </c>
      <c r="AI37" s="28" t="str">
        <f>HLOOKUP(AI31,$AH34:$BG35,2,FALSE)</f>
        <v>Q</v>
      </c>
      <c r="AJ37" s="28" t="str">
        <f>HLOOKUP(AJ31,$AH34:$BG35,2,FALSE)</f>
        <v>L</v>
      </c>
      <c r="AK37" s="28" t="str">
        <f t="shared" ref="AK37:BG37" si="49">HLOOKUP(AK31,$AH34:$BG35,2,FALSE)</f>
        <v>C</v>
      </c>
      <c r="AL37" s="28" t="str">
        <f t="shared" si="49"/>
        <v>E</v>
      </c>
      <c r="AM37" s="28" t="str">
        <f t="shared" si="49"/>
        <v>F</v>
      </c>
      <c r="AN37" s="28" t="str">
        <f t="shared" si="49"/>
        <v>A</v>
      </c>
      <c r="AO37" s="28" t="str">
        <f t="shared" si="49"/>
        <v>S</v>
      </c>
      <c r="AP37" s="28" t="str">
        <f t="shared" si="49"/>
        <v>Z</v>
      </c>
      <c r="AQ37" s="28" t="str">
        <f t="shared" si="49"/>
        <v>U</v>
      </c>
      <c r="AR37" s="28" t="str">
        <f t="shared" si="49"/>
        <v>X</v>
      </c>
      <c r="AS37" s="28" t="str">
        <f t="shared" si="49"/>
        <v>M</v>
      </c>
      <c r="AT37" s="28" t="str">
        <f t="shared" si="49"/>
        <v>W</v>
      </c>
      <c r="AU37" s="28" t="str">
        <f t="shared" si="49"/>
        <v>V</v>
      </c>
      <c r="AV37" s="28" t="str">
        <f t="shared" si="49"/>
        <v>I</v>
      </c>
      <c r="AW37" s="28" t="str">
        <f t="shared" si="49"/>
        <v>G</v>
      </c>
      <c r="AX37" s="28" t="str">
        <f t="shared" si="49"/>
        <v>D</v>
      </c>
      <c r="AY37" s="28" t="str">
        <f t="shared" si="49"/>
        <v>T</v>
      </c>
      <c r="AZ37" s="28" t="str">
        <f t="shared" si="49"/>
        <v>J</v>
      </c>
      <c r="BA37" s="28" t="str">
        <f t="shared" si="49"/>
        <v>H</v>
      </c>
      <c r="BB37" s="28" t="str">
        <f t="shared" si="49"/>
        <v>N</v>
      </c>
      <c r="BC37" s="28" t="str">
        <f t="shared" si="49"/>
        <v>K</v>
      </c>
      <c r="BD37" s="28" t="str">
        <f t="shared" si="49"/>
        <v>R</v>
      </c>
      <c r="BE37" s="28" t="str">
        <f t="shared" si="49"/>
        <v>B</v>
      </c>
      <c r="BF37" s="28" t="str">
        <f t="shared" si="49"/>
        <v>O</v>
      </c>
      <c r="BG37" s="28" t="str">
        <f t="shared" si="49"/>
        <v>Y</v>
      </c>
    </row>
    <row r="38" spans="2:59" x14ac:dyDescent="0.35">
      <c r="B38" s="22"/>
      <c r="C38" s="8"/>
      <c r="F38" s="1">
        <f t="shared" ref="F38:AE38" si="50">IF(ISERROR(FIND(F37,$AF36)),0,1)</f>
        <v>1</v>
      </c>
      <c r="G38" s="1">
        <f t="shared" si="50"/>
        <v>1</v>
      </c>
      <c r="H38" s="1">
        <f t="shared" si="50"/>
        <v>1</v>
      </c>
      <c r="I38" s="1">
        <f t="shared" si="50"/>
        <v>1</v>
      </c>
      <c r="J38" s="1">
        <f t="shared" si="50"/>
        <v>1</v>
      </c>
      <c r="K38" s="1">
        <f t="shared" si="50"/>
        <v>1</v>
      </c>
      <c r="L38" s="1">
        <f t="shared" si="50"/>
        <v>1</v>
      </c>
      <c r="M38" s="1">
        <f t="shared" si="50"/>
        <v>1</v>
      </c>
      <c r="N38" s="1">
        <f t="shared" si="50"/>
        <v>1</v>
      </c>
      <c r="O38" s="1">
        <f t="shared" si="50"/>
        <v>1</v>
      </c>
      <c r="P38" s="1">
        <f t="shared" si="50"/>
        <v>1</v>
      </c>
      <c r="Q38" s="1">
        <f t="shared" si="50"/>
        <v>1</v>
      </c>
      <c r="R38" s="1">
        <f t="shared" si="50"/>
        <v>1</v>
      </c>
      <c r="S38" s="1">
        <f t="shared" si="50"/>
        <v>1</v>
      </c>
      <c r="T38" s="1">
        <f t="shared" si="50"/>
        <v>1</v>
      </c>
      <c r="U38" s="1">
        <f t="shared" si="50"/>
        <v>1</v>
      </c>
      <c r="V38" s="1">
        <f t="shared" si="50"/>
        <v>1</v>
      </c>
      <c r="W38" s="1">
        <f t="shared" si="50"/>
        <v>1</v>
      </c>
      <c r="X38" s="1">
        <f t="shared" si="50"/>
        <v>1</v>
      </c>
      <c r="Y38" s="1">
        <f t="shared" si="50"/>
        <v>1</v>
      </c>
      <c r="Z38" s="1">
        <f t="shared" si="50"/>
        <v>1</v>
      </c>
      <c r="AA38" s="1">
        <f t="shared" si="50"/>
        <v>1</v>
      </c>
      <c r="AB38" s="1">
        <f t="shared" si="50"/>
        <v>1</v>
      </c>
      <c r="AC38" s="1">
        <f t="shared" si="50"/>
        <v>1</v>
      </c>
      <c r="AD38" s="1">
        <f t="shared" si="50"/>
        <v>1</v>
      </c>
      <c r="AE38" s="1">
        <f t="shared" si="50"/>
        <v>1</v>
      </c>
      <c r="AF38" s="10"/>
    </row>
    <row r="39" spans="2:59" x14ac:dyDescent="0.35">
      <c r="B39" s="22" t="s">
        <v>384</v>
      </c>
      <c r="C39" s="26" t="str">
        <f>"R"&amp;C6</f>
        <v>R2</v>
      </c>
      <c r="D39" s="11">
        <f>D6</f>
        <v>3711</v>
      </c>
      <c r="E39" s="11">
        <f>E6</f>
        <v>19</v>
      </c>
      <c r="F39" s="12" t="str">
        <f>F6</f>
        <v>S</v>
      </c>
      <c r="G39" s="13" t="str">
        <f t="shared" ref="G39:AE39" si="51">VLOOKUP(F39,nNextLetter,2,FALSE)</f>
        <v>T</v>
      </c>
      <c r="H39" s="13" t="str">
        <f t="shared" si="51"/>
        <v>U</v>
      </c>
      <c r="I39" s="13" t="str">
        <f t="shared" si="51"/>
        <v>V</v>
      </c>
      <c r="J39" s="13" t="str">
        <f t="shared" si="51"/>
        <v>W</v>
      </c>
      <c r="K39" s="13" t="str">
        <f t="shared" si="51"/>
        <v>X</v>
      </c>
      <c r="L39" s="13" t="str">
        <f t="shared" si="51"/>
        <v>Y</v>
      </c>
      <c r="M39" s="13" t="str">
        <f t="shared" si="51"/>
        <v>Z</v>
      </c>
      <c r="N39" s="13" t="str">
        <f t="shared" si="51"/>
        <v>A</v>
      </c>
      <c r="O39" s="13" t="str">
        <f t="shared" si="51"/>
        <v>B</v>
      </c>
      <c r="P39" s="13" t="str">
        <f t="shared" si="51"/>
        <v>C</v>
      </c>
      <c r="Q39" s="13" t="str">
        <f t="shared" si="51"/>
        <v>D</v>
      </c>
      <c r="R39" s="13" t="str">
        <f t="shared" si="51"/>
        <v>E</v>
      </c>
      <c r="S39" s="13" t="str">
        <f t="shared" si="51"/>
        <v>F</v>
      </c>
      <c r="T39" s="13" t="str">
        <f t="shared" si="51"/>
        <v>G</v>
      </c>
      <c r="U39" s="13" t="str">
        <f t="shared" si="51"/>
        <v>H</v>
      </c>
      <c r="V39" s="13" t="str">
        <f t="shared" si="51"/>
        <v>I</v>
      </c>
      <c r="W39" s="13" t="str">
        <f t="shared" si="51"/>
        <v>J</v>
      </c>
      <c r="X39" s="13" t="str">
        <f t="shared" si="51"/>
        <v>K</v>
      </c>
      <c r="Y39" s="13" t="str">
        <f t="shared" si="51"/>
        <v>L</v>
      </c>
      <c r="Z39" s="13" t="str">
        <f t="shared" si="51"/>
        <v>M</v>
      </c>
      <c r="AA39" s="13" t="str">
        <f t="shared" si="51"/>
        <v>N</v>
      </c>
      <c r="AB39" s="13" t="str">
        <f t="shared" si="51"/>
        <v>O</v>
      </c>
      <c r="AC39" s="13" t="str">
        <f t="shared" si="51"/>
        <v>P</v>
      </c>
      <c r="AD39" s="13" t="str">
        <f t="shared" si="51"/>
        <v>Q</v>
      </c>
      <c r="AE39" s="13" t="str">
        <f t="shared" si="51"/>
        <v>R</v>
      </c>
      <c r="AF39" s="10"/>
    </row>
    <row r="40" spans="2:59" x14ac:dyDescent="0.35">
      <c r="B40" s="22"/>
      <c r="C40" s="8"/>
      <c r="E40" t="s">
        <v>386</v>
      </c>
      <c r="F40" s="14" t="str">
        <f t="shared" ref="F40:AE40" si="52">IF(F38=1,VLOOKUP(nCurPosR+nRingOffsetR+(CODE(F37)-nCharOffset)-1,nNum2Let,2,FALSE),"")</f>
        <v>S</v>
      </c>
      <c r="G40" s="14" t="str">
        <f t="shared" si="52"/>
        <v>T</v>
      </c>
      <c r="H40" s="14" t="str">
        <f t="shared" si="52"/>
        <v>U</v>
      </c>
      <c r="I40" s="14" t="str">
        <f t="shared" si="52"/>
        <v>V</v>
      </c>
      <c r="J40" s="14" t="str">
        <f t="shared" si="52"/>
        <v>W</v>
      </c>
      <c r="K40" s="14" t="str">
        <f t="shared" si="52"/>
        <v>X</v>
      </c>
      <c r="L40" s="14" t="str">
        <f t="shared" si="52"/>
        <v>Y</v>
      </c>
      <c r="M40" s="14" t="str">
        <f t="shared" si="52"/>
        <v>Z</v>
      </c>
      <c r="N40" s="14" t="str">
        <f t="shared" si="52"/>
        <v>A</v>
      </c>
      <c r="O40" s="14" t="str">
        <f t="shared" si="52"/>
        <v>B</v>
      </c>
      <c r="P40" s="14" t="str">
        <f t="shared" si="52"/>
        <v>C</v>
      </c>
      <c r="Q40" s="14" t="str">
        <f t="shared" si="52"/>
        <v>D</v>
      </c>
      <c r="R40" s="14" t="str">
        <f t="shared" si="52"/>
        <v>E</v>
      </c>
      <c r="S40" s="14" t="str">
        <f t="shared" si="52"/>
        <v>F</v>
      </c>
      <c r="T40" s="14" t="str">
        <f t="shared" si="52"/>
        <v>G</v>
      </c>
      <c r="U40" s="14" t="str">
        <f t="shared" si="52"/>
        <v>H</v>
      </c>
      <c r="V40" s="14" t="str">
        <f t="shared" si="52"/>
        <v>I</v>
      </c>
      <c r="W40" s="14" t="str">
        <f t="shared" si="52"/>
        <v>J</v>
      </c>
      <c r="X40" s="14" t="str">
        <f t="shared" si="52"/>
        <v>K</v>
      </c>
      <c r="Y40" s="14" t="str">
        <f t="shared" si="52"/>
        <v>L</v>
      </c>
      <c r="Z40" s="14" t="str">
        <f t="shared" si="52"/>
        <v>M</v>
      </c>
      <c r="AA40" s="14" t="str">
        <f t="shared" si="52"/>
        <v>N</v>
      </c>
      <c r="AB40" s="14" t="str">
        <f t="shared" si="52"/>
        <v>O</v>
      </c>
      <c r="AC40" s="14" t="str">
        <f t="shared" si="52"/>
        <v>P</v>
      </c>
      <c r="AD40" s="14" t="str">
        <f t="shared" si="52"/>
        <v>Q</v>
      </c>
      <c r="AE40" s="14" t="str">
        <f t="shared" si="52"/>
        <v>R</v>
      </c>
      <c r="AF40" s="10"/>
      <c r="AH40" s="28" t="str">
        <f t="shared" ref="AH40:BG40" si="53">IF(LEN(AH42)=2,LEFT(AH42,1),"")</f>
        <v>A</v>
      </c>
      <c r="AI40" s="28" t="str">
        <f t="shared" si="53"/>
        <v>B</v>
      </c>
      <c r="AJ40" s="28" t="str">
        <f t="shared" si="53"/>
        <v>C</v>
      </c>
      <c r="AK40" s="28" t="str">
        <f t="shared" si="53"/>
        <v>D</v>
      </c>
      <c r="AL40" s="28" t="str">
        <f t="shared" si="53"/>
        <v>E</v>
      </c>
      <c r="AM40" s="28" t="str">
        <f t="shared" si="53"/>
        <v>F</v>
      </c>
      <c r="AN40" s="28" t="str">
        <f t="shared" si="53"/>
        <v>G</v>
      </c>
      <c r="AO40" s="28" t="str">
        <f t="shared" si="53"/>
        <v>H</v>
      </c>
      <c r="AP40" s="28" t="str">
        <f t="shared" si="53"/>
        <v>I</v>
      </c>
      <c r="AQ40" s="28" t="str">
        <f t="shared" si="53"/>
        <v>J</v>
      </c>
      <c r="AR40" s="28" t="str">
        <f t="shared" si="53"/>
        <v>K</v>
      </c>
      <c r="AS40" s="28" t="str">
        <f t="shared" si="53"/>
        <v>L</v>
      </c>
      <c r="AT40" s="28" t="str">
        <f t="shared" si="53"/>
        <v>M</v>
      </c>
      <c r="AU40" s="28" t="str">
        <f t="shared" si="53"/>
        <v>N</v>
      </c>
      <c r="AV40" s="28" t="str">
        <f t="shared" si="53"/>
        <v>O</v>
      </c>
      <c r="AW40" s="28" t="str">
        <f t="shared" si="53"/>
        <v>P</v>
      </c>
      <c r="AX40" s="28" t="str">
        <f t="shared" si="53"/>
        <v>Q</v>
      </c>
      <c r="AY40" s="28" t="str">
        <f t="shared" si="53"/>
        <v>R</v>
      </c>
      <c r="AZ40" s="28" t="str">
        <f t="shared" si="53"/>
        <v>S</v>
      </c>
      <c r="BA40" s="28" t="str">
        <f t="shared" si="53"/>
        <v>T</v>
      </c>
      <c r="BB40" s="28" t="str">
        <f t="shared" si="53"/>
        <v>U</v>
      </c>
      <c r="BC40" s="28" t="str">
        <f t="shared" si="53"/>
        <v>V</v>
      </c>
      <c r="BD40" s="28" t="str">
        <f t="shared" si="53"/>
        <v>W</v>
      </c>
      <c r="BE40" s="28" t="str">
        <f t="shared" si="53"/>
        <v>X</v>
      </c>
      <c r="BF40" s="28" t="str">
        <f t="shared" si="53"/>
        <v>Y</v>
      </c>
      <c r="BG40" s="28" t="str">
        <f t="shared" si="53"/>
        <v>Z</v>
      </c>
    </row>
    <row r="41" spans="2:59" x14ac:dyDescent="0.35">
      <c r="B41" s="22"/>
      <c r="C41" s="8"/>
      <c r="E41" t="s">
        <v>387</v>
      </c>
      <c r="F41" s="15" t="str">
        <f t="shared" ref="F41:AE41" si="54">IF(F38=1,VLOOKUP(nRotorR_Rev&amp;F40,nRotorRev,4,FALSE),"")</f>
        <v>E</v>
      </c>
      <c r="G41" s="15" t="str">
        <f t="shared" si="54"/>
        <v>N</v>
      </c>
      <c r="H41" s="15" t="str">
        <f t="shared" si="54"/>
        <v>H</v>
      </c>
      <c r="I41" s="15" t="str">
        <f t="shared" si="54"/>
        <v>X</v>
      </c>
      <c r="J41" s="15" t="str">
        <f t="shared" si="54"/>
        <v>M</v>
      </c>
      <c r="K41" s="15" t="str">
        <f t="shared" si="54"/>
        <v>I</v>
      </c>
      <c r="L41" s="15" t="str">
        <f t="shared" si="54"/>
        <v>V</v>
      </c>
      <c r="M41" s="15" t="str">
        <f t="shared" si="54"/>
        <v>S</v>
      </c>
      <c r="N41" s="15" t="str">
        <f t="shared" si="54"/>
        <v>A</v>
      </c>
      <c r="O41" s="15" t="str">
        <f t="shared" si="54"/>
        <v>J</v>
      </c>
      <c r="P41" s="15" t="str">
        <f t="shared" si="54"/>
        <v>P</v>
      </c>
      <c r="Q41" s="15" t="str">
        <f t="shared" si="54"/>
        <v>C</v>
      </c>
      <c r="R41" s="15" t="str">
        <f t="shared" si="54"/>
        <v>Z</v>
      </c>
      <c r="S41" s="15" t="str">
        <f t="shared" si="54"/>
        <v>W</v>
      </c>
      <c r="T41" s="15" t="str">
        <f t="shared" si="54"/>
        <v>R</v>
      </c>
      <c r="U41" s="15" t="str">
        <f t="shared" si="54"/>
        <v>L</v>
      </c>
      <c r="V41" s="15" t="str">
        <f t="shared" si="54"/>
        <v>F</v>
      </c>
      <c r="W41" s="15" t="str">
        <f t="shared" si="54"/>
        <v>B</v>
      </c>
      <c r="X41" s="15" t="str">
        <f t="shared" si="54"/>
        <v>D</v>
      </c>
      <c r="Y41" s="15" t="str">
        <f t="shared" si="54"/>
        <v>K</v>
      </c>
      <c r="Z41" s="15" t="str">
        <f t="shared" si="54"/>
        <v>O</v>
      </c>
      <c r="AA41" s="15" t="str">
        <f t="shared" si="54"/>
        <v>T</v>
      </c>
      <c r="AB41" s="15" t="str">
        <f t="shared" si="54"/>
        <v>Y</v>
      </c>
      <c r="AC41" s="15" t="str">
        <f t="shared" si="54"/>
        <v>U</v>
      </c>
      <c r="AD41" s="15" t="str">
        <f t="shared" si="54"/>
        <v>Q</v>
      </c>
      <c r="AE41" s="15" t="str">
        <f t="shared" si="54"/>
        <v>G</v>
      </c>
      <c r="AF41" s="10"/>
      <c r="AH41" s="28" t="str">
        <f t="shared" ref="AH41:BG41" si="55">IF(LEN(AH42)=2,RIGHT(AH42,1),"")</f>
        <v>M</v>
      </c>
      <c r="AI41" s="28" t="str">
        <f t="shared" si="55"/>
        <v>V</v>
      </c>
      <c r="AJ41" s="28" t="str">
        <f t="shared" si="55"/>
        <v>P</v>
      </c>
      <c r="AK41" s="28" t="str">
        <f t="shared" si="55"/>
        <v>F</v>
      </c>
      <c r="AL41" s="28" t="str">
        <f t="shared" si="55"/>
        <v>U</v>
      </c>
      <c r="AM41" s="28" t="str">
        <f t="shared" si="55"/>
        <v>Q</v>
      </c>
      <c r="AN41" s="28" t="str">
        <f t="shared" si="55"/>
        <v>D</v>
      </c>
      <c r="AO41" s="28" t="str">
        <f t="shared" si="55"/>
        <v>A</v>
      </c>
      <c r="AP41" s="28" t="str">
        <f t="shared" si="55"/>
        <v>I</v>
      </c>
      <c r="AQ41" s="28" t="str">
        <f t="shared" si="55"/>
        <v>R</v>
      </c>
      <c r="AR41" s="28" t="str">
        <f t="shared" si="55"/>
        <v>X</v>
      </c>
      <c r="AS41" s="28" t="str">
        <f t="shared" si="55"/>
        <v>K</v>
      </c>
      <c r="AT41" s="28" t="str">
        <f t="shared" si="55"/>
        <v>H</v>
      </c>
      <c r="AU41" s="28" t="str">
        <f t="shared" si="55"/>
        <v>E</v>
      </c>
      <c r="AV41" s="28" t="str">
        <f t="shared" si="55"/>
        <v>Z</v>
      </c>
      <c r="AW41" s="28" t="str">
        <f t="shared" si="55"/>
        <v>T</v>
      </c>
      <c r="AX41" s="28" t="str">
        <f t="shared" si="55"/>
        <v>N</v>
      </c>
      <c r="AY41" s="28" t="str">
        <f t="shared" si="55"/>
        <v>J</v>
      </c>
      <c r="AZ41" s="28" t="str">
        <f t="shared" si="55"/>
        <v>L</v>
      </c>
      <c r="BA41" s="28" t="str">
        <f t="shared" si="55"/>
        <v>S</v>
      </c>
      <c r="BB41" s="28" t="str">
        <f t="shared" si="55"/>
        <v>W</v>
      </c>
      <c r="BC41" s="28" t="str">
        <f t="shared" si="55"/>
        <v>B</v>
      </c>
      <c r="BD41" s="28" t="str">
        <f t="shared" si="55"/>
        <v>G</v>
      </c>
      <c r="BE41" s="28" t="str">
        <f t="shared" si="55"/>
        <v>C</v>
      </c>
      <c r="BF41" s="28" t="str">
        <f t="shared" si="55"/>
        <v>Y</v>
      </c>
      <c r="BG41" s="28" t="str">
        <f t="shared" si="55"/>
        <v>O</v>
      </c>
    </row>
    <row r="42" spans="2:59" ht="15" thickBot="1" x14ac:dyDescent="0.4">
      <c r="B42" s="23"/>
      <c r="C42" s="16"/>
      <c r="D42" s="17"/>
      <c r="E42" s="17" t="s">
        <v>388</v>
      </c>
      <c r="F42" s="18" t="str">
        <f t="shared" ref="F42:AE42" si="56">IF(F38=1,IF(CODE(F41)-CODE(F40)&lt;0,VLOOKUP((CODE(F41)-CODE(F40)+26)+(CODE(F37)-nCharOffset),nNum2Let,2,FALSE),VLOOKUP((CODE(F41)-CODE(F40))+(CODE(F37)-nCharOffset),nNum2Let,2,FALSE)),"")</f>
        <v>M</v>
      </c>
      <c r="G42" s="18" t="str">
        <f t="shared" si="56"/>
        <v>V</v>
      </c>
      <c r="H42" s="18" t="str">
        <f t="shared" si="56"/>
        <v>P</v>
      </c>
      <c r="I42" s="18" t="str">
        <f t="shared" si="56"/>
        <v>F</v>
      </c>
      <c r="J42" s="18" t="str">
        <f t="shared" si="56"/>
        <v>U</v>
      </c>
      <c r="K42" s="18" t="str">
        <f t="shared" si="56"/>
        <v>Q</v>
      </c>
      <c r="L42" s="18" t="str">
        <f t="shared" si="56"/>
        <v>D</v>
      </c>
      <c r="M42" s="18" t="str">
        <f t="shared" si="56"/>
        <v>A</v>
      </c>
      <c r="N42" s="18" t="str">
        <f t="shared" si="56"/>
        <v>I</v>
      </c>
      <c r="O42" s="18" t="str">
        <f t="shared" si="56"/>
        <v>R</v>
      </c>
      <c r="P42" s="18" t="str">
        <f t="shared" si="56"/>
        <v>X</v>
      </c>
      <c r="Q42" s="18" t="str">
        <f t="shared" si="56"/>
        <v>K</v>
      </c>
      <c r="R42" s="18" t="str">
        <f t="shared" si="56"/>
        <v>H</v>
      </c>
      <c r="S42" s="18" t="str">
        <f t="shared" si="56"/>
        <v>E</v>
      </c>
      <c r="T42" s="18" t="str">
        <f t="shared" si="56"/>
        <v>Z</v>
      </c>
      <c r="U42" s="18" t="str">
        <f t="shared" si="56"/>
        <v>T</v>
      </c>
      <c r="V42" s="18" t="str">
        <f t="shared" si="56"/>
        <v>N</v>
      </c>
      <c r="W42" s="18" t="str">
        <f t="shared" si="56"/>
        <v>J</v>
      </c>
      <c r="X42" s="18" t="str">
        <f t="shared" si="56"/>
        <v>L</v>
      </c>
      <c r="Y42" s="18" t="str">
        <f t="shared" si="56"/>
        <v>S</v>
      </c>
      <c r="Z42" s="18" t="str">
        <f t="shared" si="56"/>
        <v>W</v>
      </c>
      <c r="AA42" s="18" t="str">
        <f t="shared" si="56"/>
        <v>B</v>
      </c>
      <c r="AB42" s="18" t="str">
        <f t="shared" si="56"/>
        <v>G</v>
      </c>
      <c r="AC42" s="18" t="str">
        <f t="shared" si="56"/>
        <v>C</v>
      </c>
      <c r="AD42" s="18" t="str">
        <f t="shared" si="56"/>
        <v>Y</v>
      </c>
      <c r="AE42" s="18" t="str">
        <f t="shared" si="56"/>
        <v>O</v>
      </c>
      <c r="AF42" s="19" t="str">
        <f>CONCATENATE(F42,G42,H42,I42,J42,K42,L42,M42,N42,O42,P42,Q42,R42,S42,T42&amp;U42,V42,W42,X42,Y42,Z42,AA42,AB42,AC42,AD42,AE42)</f>
        <v>MVPFUQDAIRXKHEZTNJLSWBGCYO</v>
      </c>
      <c r="AH42" s="12" t="str">
        <f>F37&amp;F42</f>
        <v>AM</v>
      </c>
      <c r="AI42" s="12" t="str">
        <f t="shared" ref="AI42:BG42" si="57">G37&amp;G42</f>
        <v>BV</v>
      </c>
      <c r="AJ42" s="12" t="str">
        <f t="shared" si="57"/>
        <v>CP</v>
      </c>
      <c r="AK42" s="12" t="str">
        <f t="shared" si="57"/>
        <v>DF</v>
      </c>
      <c r="AL42" s="12" t="str">
        <f t="shared" si="57"/>
        <v>EU</v>
      </c>
      <c r="AM42" s="12" t="str">
        <f t="shared" si="57"/>
        <v>FQ</v>
      </c>
      <c r="AN42" s="12" t="str">
        <f t="shared" si="57"/>
        <v>GD</v>
      </c>
      <c r="AO42" s="12" t="str">
        <f t="shared" si="57"/>
        <v>HA</v>
      </c>
      <c r="AP42" s="12" t="str">
        <f t="shared" si="57"/>
        <v>II</v>
      </c>
      <c r="AQ42" s="12" t="str">
        <f t="shared" si="57"/>
        <v>JR</v>
      </c>
      <c r="AR42" s="12" t="str">
        <f t="shared" si="57"/>
        <v>KX</v>
      </c>
      <c r="AS42" s="12" t="str">
        <f t="shared" si="57"/>
        <v>LK</v>
      </c>
      <c r="AT42" s="12" t="str">
        <f t="shared" si="57"/>
        <v>MH</v>
      </c>
      <c r="AU42" s="12" t="str">
        <f t="shared" si="57"/>
        <v>NE</v>
      </c>
      <c r="AV42" s="12" t="str">
        <f t="shared" si="57"/>
        <v>OZ</v>
      </c>
      <c r="AW42" s="12" t="str">
        <f t="shared" si="57"/>
        <v>PT</v>
      </c>
      <c r="AX42" s="12" t="str">
        <f t="shared" si="57"/>
        <v>QN</v>
      </c>
      <c r="AY42" s="12" t="str">
        <f t="shared" si="57"/>
        <v>RJ</v>
      </c>
      <c r="AZ42" s="12" t="str">
        <f t="shared" si="57"/>
        <v>SL</v>
      </c>
      <c r="BA42" s="12" t="str">
        <f t="shared" si="57"/>
        <v>TS</v>
      </c>
      <c r="BB42" s="12" t="str">
        <f t="shared" si="57"/>
        <v>UW</v>
      </c>
      <c r="BC42" s="12" t="str">
        <f t="shared" si="57"/>
        <v>VB</v>
      </c>
      <c r="BD42" s="12" t="str">
        <f t="shared" si="57"/>
        <v>WG</v>
      </c>
      <c r="BE42" s="12" t="str">
        <f t="shared" si="57"/>
        <v>XC</v>
      </c>
      <c r="BF42" s="12" t="str">
        <f t="shared" si="57"/>
        <v>YY</v>
      </c>
      <c r="BG42" s="12" t="str">
        <f t="shared" si="57"/>
        <v>ZO</v>
      </c>
    </row>
    <row r="43" spans="2:59" x14ac:dyDescent="0.35">
      <c r="F43" s="3" t="s">
        <v>0</v>
      </c>
      <c r="G43" s="3" t="s">
        <v>1</v>
      </c>
      <c r="H43" s="3" t="s">
        <v>2</v>
      </c>
      <c r="I43" s="3" t="s">
        <v>3</v>
      </c>
      <c r="J43" s="3" t="s">
        <v>4</v>
      </c>
      <c r="K43" s="3" t="s">
        <v>5</v>
      </c>
      <c r="L43" s="3" t="s">
        <v>6</v>
      </c>
      <c r="M43" s="3" t="s">
        <v>7</v>
      </c>
      <c r="N43" s="3" t="s">
        <v>8</v>
      </c>
      <c r="O43" s="3" t="s">
        <v>9</v>
      </c>
      <c r="P43" s="3" t="s">
        <v>10</v>
      </c>
      <c r="Q43" s="3" t="s">
        <v>11</v>
      </c>
      <c r="R43" s="3" t="s">
        <v>12</v>
      </c>
      <c r="S43" s="3" t="s">
        <v>13</v>
      </c>
      <c r="T43" s="3" t="s">
        <v>14</v>
      </c>
      <c r="U43" s="3" t="s">
        <v>15</v>
      </c>
      <c r="V43" s="3" t="s">
        <v>16</v>
      </c>
      <c r="W43" s="3" t="s">
        <v>17</v>
      </c>
      <c r="X43" s="3" t="s">
        <v>18</v>
      </c>
      <c r="Y43" s="3" t="s">
        <v>19</v>
      </c>
      <c r="Z43" s="3" t="s">
        <v>20</v>
      </c>
      <c r="AA43" s="3" t="s">
        <v>21</v>
      </c>
      <c r="AB43" s="3" t="s">
        <v>22</v>
      </c>
      <c r="AC43" s="3" t="s">
        <v>23</v>
      </c>
      <c r="AD43" s="3" t="s">
        <v>24</v>
      </c>
      <c r="AE43" s="3" t="s">
        <v>25</v>
      </c>
      <c r="AH43" s="42" t="str">
        <f>HLOOKUP(AH37,$AH40:$BG41,2,FALSE)</f>
        <v>T</v>
      </c>
      <c r="AI43" s="42" t="str">
        <f>HLOOKUP(AI37,$AH40:$BG41,2,FALSE)</f>
        <v>N</v>
      </c>
      <c r="AJ43" s="42" t="str">
        <f t="shared" ref="AJ43:BG43" si="58">HLOOKUP(AJ37,$AH40:$BG41,2,FALSE)</f>
        <v>K</v>
      </c>
      <c r="AK43" s="42" t="str">
        <f t="shared" si="58"/>
        <v>P</v>
      </c>
      <c r="AL43" s="42" t="str">
        <f t="shared" si="58"/>
        <v>U</v>
      </c>
      <c r="AM43" s="42" t="str">
        <f t="shared" si="58"/>
        <v>Q</v>
      </c>
      <c r="AN43" s="42" t="str">
        <f t="shared" si="58"/>
        <v>M</v>
      </c>
      <c r="AO43" s="42" t="str">
        <f t="shared" si="58"/>
        <v>L</v>
      </c>
      <c r="AP43" s="42" t="str">
        <f t="shared" si="58"/>
        <v>O</v>
      </c>
      <c r="AQ43" s="42" t="str">
        <f t="shared" si="58"/>
        <v>W</v>
      </c>
      <c r="AR43" s="42" t="str">
        <f t="shared" si="58"/>
        <v>C</v>
      </c>
      <c r="AS43" s="42" t="str">
        <f t="shared" si="58"/>
        <v>H</v>
      </c>
      <c r="AT43" s="42" t="str">
        <f t="shared" si="58"/>
        <v>G</v>
      </c>
      <c r="AU43" s="42" t="str">
        <f t="shared" si="58"/>
        <v>B</v>
      </c>
      <c r="AV43" s="42" t="str">
        <f t="shared" si="58"/>
        <v>I</v>
      </c>
      <c r="AW43" s="42" t="str">
        <f t="shared" si="58"/>
        <v>D</v>
      </c>
      <c r="AX43" s="42" t="str">
        <f t="shared" si="58"/>
        <v>F</v>
      </c>
      <c r="AY43" s="42" t="str">
        <f t="shared" si="58"/>
        <v>S</v>
      </c>
      <c r="AZ43" s="42" t="str">
        <f t="shared" si="58"/>
        <v>R</v>
      </c>
      <c r="BA43" s="42" t="str">
        <f t="shared" si="58"/>
        <v>A</v>
      </c>
      <c r="BB43" s="42" t="str">
        <f t="shared" si="58"/>
        <v>E</v>
      </c>
      <c r="BC43" s="42" t="str">
        <f t="shared" si="58"/>
        <v>X</v>
      </c>
      <c r="BD43" s="42" t="str">
        <f t="shared" si="58"/>
        <v>J</v>
      </c>
      <c r="BE43" s="42" t="str">
        <f t="shared" si="58"/>
        <v>V</v>
      </c>
      <c r="BF43" s="42" t="str">
        <f t="shared" si="58"/>
        <v>Z</v>
      </c>
      <c r="BG43" s="42" t="str">
        <f t="shared" si="58"/>
        <v>Y</v>
      </c>
    </row>
    <row r="44" spans="2:59" x14ac:dyDescent="0.35"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H44" s="95" t="s">
        <v>608</v>
      </c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U44" s="96"/>
      <c r="AV44" s="96"/>
      <c r="AW44" s="96"/>
      <c r="AX44" s="96"/>
      <c r="AY44" s="96"/>
      <c r="AZ44" s="96"/>
      <c r="BA44" s="96"/>
      <c r="BB44" s="96"/>
      <c r="BC44" s="96"/>
      <c r="BD44" s="96"/>
      <c r="BE44" s="96"/>
      <c r="BF44" s="96"/>
      <c r="BG44" s="97"/>
    </row>
  </sheetData>
  <sheetProtection sheet="1" objects="1" scenarios="1"/>
  <mergeCells count="2">
    <mergeCell ref="AH6:BG6"/>
    <mergeCell ref="AH44:BG44"/>
  </mergeCells>
  <pageMargins left="0.70866141732283472" right="0.70866141732283472" top="0.74803149606299213" bottom="0.74803149606299213" header="0.31496062992125984" footer="0.31496062992125984"/>
  <pageSetup paperSize="8" scale="6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BG44"/>
  <sheetViews>
    <sheetView showGridLines="0" showRowColHeaders="0" zoomScale="80" zoomScaleNormal="80" workbookViewId="0"/>
  </sheetViews>
  <sheetFormatPr defaultRowHeight="14.5" x14ac:dyDescent="0.35"/>
  <cols>
    <col min="2" max="2" width="20.54296875" bestFit="1" customWidth="1"/>
    <col min="3" max="3" width="4.54296875" customWidth="1"/>
    <col min="4" max="4" width="8.1796875" bestFit="1" customWidth="1"/>
    <col min="5" max="5" width="15.54296875" bestFit="1" customWidth="1"/>
    <col min="6" max="6" width="3.453125" customWidth="1"/>
    <col min="7" max="7" width="4" customWidth="1"/>
    <col min="8" max="8" width="3.26953125" customWidth="1"/>
    <col min="9" max="9" width="4.1796875" customWidth="1"/>
    <col min="10" max="10" width="3.453125" customWidth="1"/>
    <col min="11" max="31" width="3.26953125" customWidth="1"/>
    <col min="32" max="32" width="32.26953125" bestFit="1" customWidth="1"/>
    <col min="34" max="59" width="3.453125" customWidth="1"/>
  </cols>
  <sheetData>
    <row r="1" spans="1:59" x14ac:dyDescent="0.35">
      <c r="B1" s="29" t="s">
        <v>378</v>
      </c>
      <c r="C1" s="75">
        <v>64</v>
      </c>
      <c r="D1" s="76" t="str">
        <f>nRotorL&amp;nRotorM&amp;nRotorR</f>
        <v>142</v>
      </c>
      <c r="E1" s="76" t="str">
        <f>F18&amp;F12&amp;F6</f>
        <v>ELT</v>
      </c>
      <c r="J1" s="44" t="s">
        <v>4</v>
      </c>
      <c r="K1" s="44" t="s">
        <v>13</v>
      </c>
      <c r="L1" s="44" t="s">
        <v>8</v>
      </c>
      <c r="M1" s="44" t="s">
        <v>6</v>
      </c>
      <c r="N1" s="44" t="s">
        <v>12</v>
      </c>
      <c r="O1" s="44" t="s">
        <v>0</v>
      </c>
      <c r="P1" s="44" t="s">
        <v>18</v>
      </c>
      <c r="Q1" s="44" t="s">
        <v>2</v>
      </c>
      <c r="R1" s="44" t="s">
        <v>17</v>
      </c>
      <c r="S1" s="44" t="s">
        <v>0</v>
      </c>
      <c r="T1" s="44" t="s">
        <v>12</v>
      </c>
      <c r="U1" s="44" t="s">
        <v>1</v>
      </c>
      <c r="V1" s="44" t="s">
        <v>11</v>
      </c>
      <c r="W1" s="44" t="s">
        <v>4</v>
      </c>
      <c r="X1" s="44" t="s">
        <v>17</v>
      </c>
      <c r="Y1" s="44">
        <v>0</v>
      </c>
      <c r="Z1" s="44">
        <v>5</v>
      </c>
    </row>
    <row r="2" spans="1:59" x14ac:dyDescent="0.35">
      <c r="D2" s="77">
        <f>nCounter</f>
        <v>3707</v>
      </c>
    </row>
    <row r="3" spans="1:59" ht="15" thickBot="1" x14ac:dyDescent="0.4">
      <c r="D3" s="78">
        <f>n_RO05</f>
        <v>5</v>
      </c>
      <c r="F3" s="1"/>
      <c r="AF3" s="79" t="s">
        <v>423</v>
      </c>
    </row>
    <row r="4" spans="1:59" x14ac:dyDescent="0.35">
      <c r="B4" s="21"/>
      <c r="C4" s="4"/>
      <c r="E4" s="5" t="s">
        <v>385</v>
      </c>
      <c r="F4" s="6" t="s">
        <v>0</v>
      </c>
      <c r="G4" s="6" t="s">
        <v>1</v>
      </c>
      <c r="H4" s="6" t="s">
        <v>2</v>
      </c>
      <c r="I4" s="6" t="s">
        <v>3</v>
      </c>
      <c r="J4" s="6" t="s">
        <v>4</v>
      </c>
      <c r="K4" s="6" t="s">
        <v>5</v>
      </c>
      <c r="L4" s="6" t="s">
        <v>6</v>
      </c>
      <c r="M4" s="6" t="s">
        <v>7</v>
      </c>
      <c r="N4" s="6" t="s">
        <v>8</v>
      </c>
      <c r="O4" s="6" t="s">
        <v>9</v>
      </c>
      <c r="P4" s="6" t="s">
        <v>10</v>
      </c>
      <c r="Q4" s="6" t="s">
        <v>11</v>
      </c>
      <c r="R4" s="6" t="s">
        <v>12</v>
      </c>
      <c r="S4" s="6" t="s">
        <v>13</v>
      </c>
      <c r="T4" s="6" t="s">
        <v>14</v>
      </c>
      <c r="U4" s="6" t="s">
        <v>15</v>
      </c>
      <c r="V4" s="6" t="s">
        <v>16</v>
      </c>
      <c r="W4" s="6" t="s">
        <v>17</v>
      </c>
      <c r="X4" s="6" t="s">
        <v>18</v>
      </c>
      <c r="Y4" s="6" t="s">
        <v>19</v>
      </c>
      <c r="Z4" s="6" t="s">
        <v>20</v>
      </c>
      <c r="AA4" s="6" t="s">
        <v>21</v>
      </c>
      <c r="AB4" s="6" t="s">
        <v>22</v>
      </c>
      <c r="AC4" s="6" t="s">
        <v>23</v>
      </c>
      <c r="AD4" s="6" t="s">
        <v>24</v>
      </c>
      <c r="AE4" s="6" t="s">
        <v>25</v>
      </c>
      <c r="AF4" s="10"/>
    </row>
    <row r="5" spans="1:59" x14ac:dyDescent="0.35">
      <c r="B5" s="22"/>
      <c r="C5" s="8"/>
      <c r="D5" s="9" t="s">
        <v>28</v>
      </c>
      <c r="E5" s="9" t="s">
        <v>27</v>
      </c>
      <c r="F5" s="1">
        <f t="shared" ref="F5:AE5" si="0">IF(ISERROR(FIND(F4,$AF3)),0,1)</f>
        <v>1</v>
      </c>
      <c r="G5" s="1">
        <f t="shared" si="0"/>
        <v>1</v>
      </c>
      <c r="H5" s="1">
        <f t="shared" si="0"/>
        <v>1</v>
      </c>
      <c r="I5" s="1">
        <f t="shared" si="0"/>
        <v>1</v>
      </c>
      <c r="J5" s="1">
        <f t="shared" si="0"/>
        <v>1</v>
      </c>
      <c r="K5" s="1">
        <f t="shared" si="0"/>
        <v>1</v>
      </c>
      <c r="L5" s="1">
        <f t="shared" si="0"/>
        <v>1</v>
      </c>
      <c r="M5" s="1">
        <f t="shared" si="0"/>
        <v>1</v>
      </c>
      <c r="N5" s="1">
        <f t="shared" si="0"/>
        <v>1</v>
      </c>
      <c r="O5" s="1">
        <f t="shared" si="0"/>
        <v>1</v>
      </c>
      <c r="P5" s="1">
        <f t="shared" si="0"/>
        <v>1</v>
      </c>
      <c r="Q5" s="1">
        <f t="shared" si="0"/>
        <v>1</v>
      </c>
      <c r="R5" s="1">
        <f t="shared" si="0"/>
        <v>1</v>
      </c>
      <c r="S5" s="1">
        <f t="shared" si="0"/>
        <v>1</v>
      </c>
      <c r="T5" s="1">
        <f t="shared" si="0"/>
        <v>1</v>
      </c>
      <c r="U5" s="1">
        <f t="shared" si="0"/>
        <v>1</v>
      </c>
      <c r="V5" s="1">
        <f t="shared" si="0"/>
        <v>1</v>
      </c>
      <c r="W5" s="1">
        <f t="shared" si="0"/>
        <v>1</v>
      </c>
      <c r="X5" s="1">
        <f t="shared" si="0"/>
        <v>1</v>
      </c>
      <c r="Y5" s="1">
        <f t="shared" si="0"/>
        <v>1</v>
      </c>
      <c r="Z5" s="1">
        <f t="shared" si="0"/>
        <v>1</v>
      </c>
      <c r="AA5" s="1">
        <f t="shared" si="0"/>
        <v>1</v>
      </c>
      <c r="AB5" s="1">
        <f t="shared" si="0"/>
        <v>1</v>
      </c>
      <c r="AC5" s="1">
        <f t="shared" si="0"/>
        <v>1</v>
      </c>
      <c r="AD5" s="1">
        <f t="shared" si="0"/>
        <v>1</v>
      </c>
      <c r="AE5" s="1">
        <f t="shared" si="0"/>
        <v>1</v>
      </c>
      <c r="AF5" s="10"/>
    </row>
    <row r="6" spans="1:59" x14ac:dyDescent="0.35">
      <c r="B6" s="22" t="s">
        <v>379</v>
      </c>
      <c r="C6" s="41">
        <f>n_RotorR</f>
        <v>2</v>
      </c>
      <c r="D6" s="11">
        <f>D3+D2</f>
        <v>3712</v>
      </c>
      <c r="E6" s="11">
        <f>IF(MOD(D6,26)=0,26,MOD(D6,26))</f>
        <v>20</v>
      </c>
      <c r="F6" s="12" t="str">
        <f>CHAR(E6+nCharOffset)</f>
        <v>T</v>
      </c>
      <c r="G6" s="13" t="str">
        <f t="shared" ref="G6:AE6" si="1">VLOOKUP(F6,nNextLetter,2,FALSE)</f>
        <v>U</v>
      </c>
      <c r="H6" s="13" t="str">
        <f t="shared" si="1"/>
        <v>V</v>
      </c>
      <c r="I6" s="13" t="str">
        <f t="shared" si="1"/>
        <v>W</v>
      </c>
      <c r="J6" s="13" t="str">
        <f t="shared" si="1"/>
        <v>X</v>
      </c>
      <c r="K6" s="13" t="str">
        <f t="shared" si="1"/>
        <v>Y</v>
      </c>
      <c r="L6" s="13" t="str">
        <f t="shared" si="1"/>
        <v>Z</v>
      </c>
      <c r="M6" s="13" t="str">
        <f t="shared" si="1"/>
        <v>A</v>
      </c>
      <c r="N6" s="13" t="str">
        <f t="shared" si="1"/>
        <v>B</v>
      </c>
      <c r="O6" s="13" t="str">
        <f t="shared" si="1"/>
        <v>C</v>
      </c>
      <c r="P6" s="13" t="str">
        <f t="shared" si="1"/>
        <v>D</v>
      </c>
      <c r="Q6" s="13" t="str">
        <f t="shared" si="1"/>
        <v>E</v>
      </c>
      <c r="R6" s="13" t="str">
        <f t="shared" si="1"/>
        <v>F</v>
      </c>
      <c r="S6" s="13" t="str">
        <f t="shared" si="1"/>
        <v>G</v>
      </c>
      <c r="T6" s="13" t="str">
        <f t="shared" si="1"/>
        <v>H</v>
      </c>
      <c r="U6" s="13" t="str">
        <f t="shared" si="1"/>
        <v>I</v>
      </c>
      <c r="V6" s="13" t="str">
        <f t="shared" si="1"/>
        <v>J</v>
      </c>
      <c r="W6" s="13" t="str">
        <f t="shared" si="1"/>
        <v>K</v>
      </c>
      <c r="X6" s="13" t="str">
        <f t="shared" si="1"/>
        <v>L</v>
      </c>
      <c r="Y6" s="13" t="str">
        <f t="shared" si="1"/>
        <v>M</v>
      </c>
      <c r="Z6" s="13" t="str">
        <f t="shared" si="1"/>
        <v>N</v>
      </c>
      <c r="AA6" s="13" t="str">
        <f t="shared" si="1"/>
        <v>O</v>
      </c>
      <c r="AB6" s="13" t="str">
        <f t="shared" si="1"/>
        <v>P</v>
      </c>
      <c r="AC6" s="13" t="str">
        <f t="shared" si="1"/>
        <v>Q</v>
      </c>
      <c r="AD6" s="13" t="str">
        <f t="shared" si="1"/>
        <v>R</v>
      </c>
      <c r="AE6" s="13" t="str">
        <f t="shared" si="1"/>
        <v>S</v>
      </c>
      <c r="AF6" s="10"/>
      <c r="AH6" s="95" t="s">
        <v>607</v>
      </c>
      <c r="AI6" s="96"/>
      <c r="AJ6" s="96"/>
      <c r="AK6" s="96"/>
      <c r="AL6" s="96"/>
      <c r="AM6" s="96"/>
      <c r="AN6" s="96"/>
      <c r="AO6" s="96"/>
      <c r="AP6" s="96"/>
      <c r="AQ6" s="96"/>
      <c r="AR6" s="96"/>
      <c r="AS6" s="96"/>
      <c r="AT6" s="96"/>
      <c r="AU6" s="96"/>
      <c r="AV6" s="96"/>
      <c r="AW6" s="96"/>
      <c r="AX6" s="96"/>
      <c r="AY6" s="96"/>
      <c r="AZ6" s="96"/>
      <c r="BA6" s="96"/>
      <c r="BB6" s="96"/>
      <c r="BC6" s="96"/>
      <c r="BD6" s="96"/>
      <c r="BE6" s="96"/>
      <c r="BF6" s="96"/>
      <c r="BG6" s="97"/>
    </row>
    <row r="7" spans="1:59" x14ac:dyDescent="0.35">
      <c r="B7" s="22" t="s">
        <v>389</v>
      </c>
      <c r="C7" s="41" t="str">
        <f>n_RingPosR</f>
        <v>A</v>
      </c>
      <c r="D7" s="11">
        <f>VLOOKUP(C7,nRingOffset,2,FALSE)</f>
        <v>0</v>
      </c>
      <c r="E7" t="s">
        <v>386</v>
      </c>
      <c r="F7" s="14" t="str">
        <f t="shared" ref="F7:AE7" si="2">IF(F5=1,VLOOKUP(nCurPosR+nRingOffsetR+(CODE(F4)-nCharOffset)-1,nNum2Let,2,FALSE),"")</f>
        <v>T</v>
      </c>
      <c r="G7" s="14" t="str">
        <f t="shared" si="2"/>
        <v>U</v>
      </c>
      <c r="H7" s="14" t="str">
        <f t="shared" si="2"/>
        <v>V</v>
      </c>
      <c r="I7" s="14" t="str">
        <f t="shared" si="2"/>
        <v>W</v>
      </c>
      <c r="J7" s="14" t="str">
        <f t="shared" si="2"/>
        <v>X</v>
      </c>
      <c r="K7" s="14" t="str">
        <f t="shared" si="2"/>
        <v>Y</v>
      </c>
      <c r="L7" s="14" t="str">
        <f t="shared" si="2"/>
        <v>Z</v>
      </c>
      <c r="M7" s="14" t="str">
        <f t="shared" si="2"/>
        <v>A</v>
      </c>
      <c r="N7" s="14" t="str">
        <f t="shared" si="2"/>
        <v>B</v>
      </c>
      <c r="O7" s="14" t="str">
        <f t="shared" si="2"/>
        <v>C</v>
      </c>
      <c r="P7" s="14" t="str">
        <f t="shared" si="2"/>
        <v>D</v>
      </c>
      <c r="Q7" s="14" t="str">
        <f t="shared" si="2"/>
        <v>E</v>
      </c>
      <c r="R7" s="14" t="str">
        <f t="shared" si="2"/>
        <v>F</v>
      </c>
      <c r="S7" s="14" t="str">
        <f t="shared" si="2"/>
        <v>G</v>
      </c>
      <c r="T7" s="14" t="str">
        <f t="shared" si="2"/>
        <v>H</v>
      </c>
      <c r="U7" s="14" t="str">
        <f t="shared" si="2"/>
        <v>I</v>
      </c>
      <c r="V7" s="14" t="str">
        <f t="shared" si="2"/>
        <v>J</v>
      </c>
      <c r="W7" s="14" t="str">
        <f t="shared" si="2"/>
        <v>K</v>
      </c>
      <c r="X7" s="14" t="str">
        <f t="shared" si="2"/>
        <v>L</v>
      </c>
      <c r="Y7" s="14" t="str">
        <f t="shared" si="2"/>
        <v>M</v>
      </c>
      <c r="Z7" s="14" t="str">
        <f t="shared" si="2"/>
        <v>N</v>
      </c>
      <c r="AA7" s="14" t="str">
        <f t="shared" si="2"/>
        <v>O</v>
      </c>
      <c r="AB7" s="14" t="str">
        <f t="shared" si="2"/>
        <v>P</v>
      </c>
      <c r="AC7" s="14" t="str">
        <f t="shared" si="2"/>
        <v>Q</v>
      </c>
      <c r="AD7" s="14" t="str">
        <f t="shared" si="2"/>
        <v>R</v>
      </c>
      <c r="AE7" s="14" t="str">
        <f t="shared" si="2"/>
        <v>S</v>
      </c>
      <c r="AF7" s="10"/>
      <c r="AH7" s="42" t="str">
        <f t="shared" ref="AH7:BG7" si="3">IF(LEN(AH9)=2,LEFT(AH9,1),"")</f>
        <v>A</v>
      </c>
      <c r="AI7" s="42" t="str">
        <f t="shared" si="3"/>
        <v>B</v>
      </c>
      <c r="AJ7" s="42" t="str">
        <f t="shared" si="3"/>
        <v>C</v>
      </c>
      <c r="AK7" s="42" t="str">
        <f t="shared" si="3"/>
        <v>D</v>
      </c>
      <c r="AL7" s="42" t="str">
        <f t="shared" si="3"/>
        <v>E</v>
      </c>
      <c r="AM7" s="42" t="str">
        <f t="shared" si="3"/>
        <v>F</v>
      </c>
      <c r="AN7" s="42" t="str">
        <f t="shared" si="3"/>
        <v>G</v>
      </c>
      <c r="AO7" s="42" t="str">
        <f t="shared" si="3"/>
        <v>H</v>
      </c>
      <c r="AP7" s="42" t="str">
        <f t="shared" si="3"/>
        <v>I</v>
      </c>
      <c r="AQ7" s="42" t="str">
        <f t="shared" si="3"/>
        <v>J</v>
      </c>
      <c r="AR7" s="42" t="str">
        <f t="shared" si="3"/>
        <v>K</v>
      </c>
      <c r="AS7" s="42" t="str">
        <f t="shared" si="3"/>
        <v>L</v>
      </c>
      <c r="AT7" s="42" t="str">
        <f t="shared" si="3"/>
        <v>M</v>
      </c>
      <c r="AU7" s="42" t="str">
        <f t="shared" si="3"/>
        <v>N</v>
      </c>
      <c r="AV7" s="42" t="str">
        <f t="shared" si="3"/>
        <v>O</v>
      </c>
      <c r="AW7" s="42" t="str">
        <f t="shared" si="3"/>
        <v>P</v>
      </c>
      <c r="AX7" s="42" t="str">
        <f t="shared" si="3"/>
        <v>Q</v>
      </c>
      <c r="AY7" s="42" t="str">
        <f t="shared" si="3"/>
        <v>R</v>
      </c>
      <c r="AZ7" s="42" t="str">
        <f t="shared" si="3"/>
        <v>S</v>
      </c>
      <c r="BA7" s="42" t="str">
        <f t="shared" si="3"/>
        <v>T</v>
      </c>
      <c r="BB7" s="42" t="str">
        <f t="shared" si="3"/>
        <v>U</v>
      </c>
      <c r="BC7" s="42" t="str">
        <f t="shared" si="3"/>
        <v>V</v>
      </c>
      <c r="BD7" s="42" t="str">
        <f t="shared" si="3"/>
        <v>W</v>
      </c>
      <c r="BE7" s="42" t="str">
        <f t="shared" si="3"/>
        <v>X</v>
      </c>
      <c r="BF7" s="42" t="str">
        <f t="shared" si="3"/>
        <v>Y</v>
      </c>
      <c r="BG7" s="42" t="str">
        <f t="shared" si="3"/>
        <v>Z</v>
      </c>
    </row>
    <row r="8" spans="1:59" x14ac:dyDescent="0.35">
      <c r="B8" s="22"/>
      <c r="C8" s="8"/>
      <c r="E8" t="s">
        <v>387</v>
      </c>
      <c r="F8" s="15" t="str">
        <f t="shared" ref="F8:AE8" si="4">IF(F5=1,VLOOKUP(nRotorR&amp;F7,nRotor,4,FALSE),"")</f>
        <v>N</v>
      </c>
      <c r="G8" s="15" t="str">
        <f t="shared" si="4"/>
        <v>P</v>
      </c>
      <c r="H8" s="15" t="str">
        <f t="shared" si="4"/>
        <v>Y</v>
      </c>
      <c r="I8" s="15" t="str">
        <f t="shared" si="4"/>
        <v>F</v>
      </c>
      <c r="J8" s="15" t="str">
        <f t="shared" si="4"/>
        <v>V</v>
      </c>
      <c r="K8" s="15" t="str">
        <f t="shared" si="4"/>
        <v>O</v>
      </c>
      <c r="L8" s="15" t="str">
        <f t="shared" si="4"/>
        <v>E</v>
      </c>
      <c r="M8" s="15" t="str">
        <f t="shared" si="4"/>
        <v>A</v>
      </c>
      <c r="N8" s="15" t="str">
        <f t="shared" si="4"/>
        <v>J</v>
      </c>
      <c r="O8" s="15" t="str">
        <f t="shared" si="4"/>
        <v>D</v>
      </c>
      <c r="P8" s="15" t="str">
        <f t="shared" si="4"/>
        <v>K</v>
      </c>
      <c r="Q8" s="15" t="str">
        <f t="shared" si="4"/>
        <v>S</v>
      </c>
      <c r="R8" s="15" t="str">
        <f t="shared" si="4"/>
        <v>I</v>
      </c>
      <c r="S8" s="15" t="str">
        <f t="shared" si="4"/>
        <v>R</v>
      </c>
      <c r="T8" s="15" t="str">
        <f t="shared" si="4"/>
        <v>U</v>
      </c>
      <c r="U8" s="15" t="str">
        <f t="shared" si="4"/>
        <v>X</v>
      </c>
      <c r="V8" s="15" t="str">
        <f t="shared" si="4"/>
        <v>B</v>
      </c>
      <c r="W8" s="15" t="str">
        <f t="shared" si="4"/>
        <v>L</v>
      </c>
      <c r="X8" s="15" t="str">
        <f t="shared" si="4"/>
        <v>H</v>
      </c>
      <c r="Y8" s="15" t="str">
        <f t="shared" si="4"/>
        <v>W</v>
      </c>
      <c r="Z8" s="15" t="str">
        <f t="shared" si="4"/>
        <v>T</v>
      </c>
      <c r="AA8" s="15" t="str">
        <f t="shared" si="4"/>
        <v>M</v>
      </c>
      <c r="AB8" s="15" t="str">
        <f t="shared" si="4"/>
        <v>C</v>
      </c>
      <c r="AC8" s="15" t="str">
        <f t="shared" si="4"/>
        <v>Q</v>
      </c>
      <c r="AD8" s="15" t="str">
        <f t="shared" si="4"/>
        <v>G</v>
      </c>
      <c r="AE8" s="15" t="str">
        <f t="shared" si="4"/>
        <v>Z</v>
      </c>
      <c r="AF8" s="10"/>
      <c r="AH8" s="28" t="str">
        <f t="shared" ref="AH8:BG8" si="5">IF(LEN(AH9)=2,RIGHT(AH9,1),"")</f>
        <v>U</v>
      </c>
      <c r="AI8" s="28" t="str">
        <f t="shared" si="5"/>
        <v>W</v>
      </c>
      <c r="AJ8" s="28" t="str">
        <f t="shared" si="5"/>
        <v>F</v>
      </c>
      <c r="AK8" s="28" t="str">
        <f t="shared" si="5"/>
        <v>M</v>
      </c>
      <c r="AL8" s="28" t="str">
        <f t="shared" si="5"/>
        <v>C</v>
      </c>
      <c r="AM8" s="28" t="str">
        <f t="shared" si="5"/>
        <v>V</v>
      </c>
      <c r="AN8" s="28" t="str">
        <f t="shared" si="5"/>
        <v>L</v>
      </c>
      <c r="AO8" s="28" t="str">
        <f t="shared" si="5"/>
        <v>H</v>
      </c>
      <c r="AP8" s="28" t="str">
        <f t="shared" si="5"/>
        <v>Q</v>
      </c>
      <c r="AQ8" s="28" t="str">
        <f t="shared" si="5"/>
        <v>K</v>
      </c>
      <c r="AR8" s="28" t="str">
        <f t="shared" si="5"/>
        <v>R</v>
      </c>
      <c r="AS8" s="28" t="str">
        <f t="shared" si="5"/>
        <v>Z</v>
      </c>
      <c r="AT8" s="28" t="str">
        <f t="shared" si="5"/>
        <v>P</v>
      </c>
      <c r="AU8" s="28" t="str">
        <f t="shared" si="5"/>
        <v>Y</v>
      </c>
      <c r="AV8" s="28" t="str">
        <f t="shared" si="5"/>
        <v>B</v>
      </c>
      <c r="AW8" s="28" t="str">
        <f t="shared" si="5"/>
        <v>E</v>
      </c>
      <c r="AX8" s="28" t="str">
        <f t="shared" si="5"/>
        <v>I</v>
      </c>
      <c r="AY8" s="28" t="str">
        <f t="shared" si="5"/>
        <v>S</v>
      </c>
      <c r="AZ8" s="28" t="str">
        <f t="shared" si="5"/>
        <v>O</v>
      </c>
      <c r="BA8" s="28" t="str">
        <f t="shared" si="5"/>
        <v>D</v>
      </c>
      <c r="BB8" s="28" t="str">
        <f t="shared" si="5"/>
        <v>A</v>
      </c>
      <c r="BC8" s="28" t="str">
        <f t="shared" si="5"/>
        <v>T</v>
      </c>
      <c r="BD8" s="28" t="str">
        <f t="shared" si="5"/>
        <v>J</v>
      </c>
      <c r="BE8" s="28" t="str">
        <f t="shared" si="5"/>
        <v>X</v>
      </c>
      <c r="BF8" s="28" t="str">
        <f t="shared" si="5"/>
        <v>N</v>
      </c>
      <c r="BG8" s="28" t="str">
        <f t="shared" si="5"/>
        <v>G</v>
      </c>
    </row>
    <row r="9" spans="1:59" ht="15" thickBot="1" x14ac:dyDescent="0.4">
      <c r="B9" s="23"/>
      <c r="C9" s="16"/>
      <c r="D9" s="17"/>
      <c r="E9" s="17" t="s">
        <v>388</v>
      </c>
      <c r="F9" s="18" t="str">
        <f t="shared" ref="F9:AE9" si="6">IF(F5=1,IF(CODE(F8)-CODE(F7)&lt;0,VLOOKUP((CODE(F8)-CODE(F7)+26)+(CODE(F4)-nCharOffset),nNum2Let,2,FALSE),VLOOKUP((CODE(F8)-CODE(F7))+(CODE(F4)-nCharOffset),nNum2Let,2,FALSE)),"")</f>
        <v>U</v>
      </c>
      <c r="G9" s="18" t="str">
        <f t="shared" si="6"/>
        <v>W</v>
      </c>
      <c r="H9" s="18" t="str">
        <f t="shared" si="6"/>
        <v>F</v>
      </c>
      <c r="I9" s="18" t="str">
        <f t="shared" si="6"/>
        <v>M</v>
      </c>
      <c r="J9" s="18" t="str">
        <f t="shared" si="6"/>
        <v>C</v>
      </c>
      <c r="K9" s="18" t="str">
        <f t="shared" si="6"/>
        <v>V</v>
      </c>
      <c r="L9" s="18" t="str">
        <f t="shared" si="6"/>
        <v>L</v>
      </c>
      <c r="M9" s="18" t="str">
        <f t="shared" si="6"/>
        <v>H</v>
      </c>
      <c r="N9" s="18" t="str">
        <f t="shared" si="6"/>
        <v>Q</v>
      </c>
      <c r="O9" s="18" t="str">
        <f t="shared" si="6"/>
        <v>K</v>
      </c>
      <c r="P9" s="18" t="str">
        <f t="shared" si="6"/>
        <v>R</v>
      </c>
      <c r="Q9" s="18" t="str">
        <f t="shared" si="6"/>
        <v>Z</v>
      </c>
      <c r="R9" s="18" t="str">
        <f t="shared" si="6"/>
        <v>P</v>
      </c>
      <c r="S9" s="18" t="str">
        <f t="shared" si="6"/>
        <v>Y</v>
      </c>
      <c r="T9" s="18" t="str">
        <f t="shared" si="6"/>
        <v>B</v>
      </c>
      <c r="U9" s="18" t="str">
        <f t="shared" si="6"/>
        <v>E</v>
      </c>
      <c r="V9" s="18" t="str">
        <f t="shared" si="6"/>
        <v>I</v>
      </c>
      <c r="W9" s="18" t="str">
        <f t="shared" si="6"/>
        <v>S</v>
      </c>
      <c r="X9" s="18" t="str">
        <f t="shared" si="6"/>
        <v>O</v>
      </c>
      <c r="Y9" s="18" t="str">
        <f t="shared" si="6"/>
        <v>D</v>
      </c>
      <c r="Z9" s="18" t="str">
        <f t="shared" si="6"/>
        <v>A</v>
      </c>
      <c r="AA9" s="18" t="str">
        <f t="shared" si="6"/>
        <v>T</v>
      </c>
      <c r="AB9" s="18" t="str">
        <f t="shared" si="6"/>
        <v>J</v>
      </c>
      <c r="AC9" s="18" t="str">
        <f t="shared" si="6"/>
        <v>X</v>
      </c>
      <c r="AD9" s="18" t="str">
        <f t="shared" si="6"/>
        <v>N</v>
      </c>
      <c r="AE9" s="18" t="str">
        <f t="shared" si="6"/>
        <v>G</v>
      </c>
      <c r="AF9" s="19" t="str">
        <f>CONCATENATE(F9,G9,H9,I9,J9,K9,L9,M9,N9,O9,P9,Q9,R9,S9,T9&amp;U9,V9,W9,X9,Y9,Z9,AA9,AB9,AC9,AD9,AE9)</f>
        <v>UWFMCVLHQKRZPYBEISODATJXNG</v>
      </c>
      <c r="AH9" s="12" t="str">
        <f>F4&amp;F9</f>
        <v>AU</v>
      </c>
      <c r="AI9" s="12" t="str">
        <f t="shared" ref="AI9:BG9" si="7">G4&amp;G9</f>
        <v>BW</v>
      </c>
      <c r="AJ9" s="12" t="str">
        <f t="shared" si="7"/>
        <v>CF</v>
      </c>
      <c r="AK9" s="12" t="str">
        <f t="shared" si="7"/>
        <v>DM</v>
      </c>
      <c r="AL9" s="12" t="str">
        <f t="shared" si="7"/>
        <v>EC</v>
      </c>
      <c r="AM9" s="12" t="str">
        <f t="shared" si="7"/>
        <v>FV</v>
      </c>
      <c r="AN9" s="12" t="str">
        <f t="shared" si="7"/>
        <v>GL</v>
      </c>
      <c r="AO9" s="12" t="str">
        <f t="shared" si="7"/>
        <v>HH</v>
      </c>
      <c r="AP9" s="12" t="str">
        <f t="shared" si="7"/>
        <v>IQ</v>
      </c>
      <c r="AQ9" s="12" t="str">
        <f t="shared" si="7"/>
        <v>JK</v>
      </c>
      <c r="AR9" s="12" t="str">
        <f t="shared" si="7"/>
        <v>KR</v>
      </c>
      <c r="AS9" s="12" t="str">
        <f t="shared" si="7"/>
        <v>LZ</v>
      </c>
      <c r="AT9" s="12" t="str">
        <f t="shared" si="7"/>
        <v>MP</v>
      </c>
      <c r="AU9" s="12" t="str">
        <f t="shared" si="7"/>
        <v>NY</v>
      </c>
      <c r="AV9" s="12" t="str">
        <f t="shared" si="7"/>
        <v>OB</v>
      </c>
      <c r="AW9" s="12" t="str">
        <f t="shared" si="7"/>
        <v>PE</v>
      </c>
      <c r="AX9" s="12" t="str">
        <f t="shared" si="7"/>
        <v>QI</v>
      </c>
      <c r="AY9" s="12" t="str">
        <f t="shared" si="7"/>
        <v>RS</v>
      </c>
      <c r="AZ9" s="12" t="str">
        <f t="shared" si="7"/>
        <v>SO</v>
      </c>
      <c r="BA9" s="12" t="str">
        <f t="shared" si="7"/>
        <v>TD</v>
      </c>
      <c r="BB9" s="12" t="str">
        <f t="shared" si="7"/>
        <v>UA</v>
      </c>
      <c r="BC9" s="12" t="str">
        <f t="shared" si="7"/>
        <v>VT</v>
      </c>
      <c r="BD9" s="12" t="str">
        <f t="shared" si="7"/>
        <v>WJ</v>
      </c>
      <c r="BE9" s="12" t="str">
        <f t="shared" si="7"/>
        <v>XX</v>
      </c>
      <c r="BF9" s="12" t="str">
        <f t="shared" si="7"/>
        <v>YN</v>
      </c>
      <c r="BG9" s="12" t="str">
        <f t="shared" si="7"/>
        <v>ZG</v>
      </c>
    </row>
    <row r="10" spans="1:59" x14ac:dyDescent="0.35">
      <c r="B10" s="21"/>
      <c r="C10" s="4"/>
      <c r="D10" s="5"/>
      <c r="E10" s="5" t="s">
        <v>385</v>
      </c>
      <c r="F10" s="6" t="s">
        <v>0</v>
      </c>
      <c r="G10" s="6" t="s">
        <v>1</v>
      </c>
      <c r="H10" s="6" t="s">
        <v>2</v>
      </c>
      <c r="I10" s="6" t="s">
        <v>3</v>
      </c>
      <c r="J10" s="6" t="s">
        <v>4</v>
      </c>
      <c r="K10" s="6" t="s">
        <v>5</v>
      </c>
      <c r="L10" s="6" t="s">
        <v>6</v>
      </c>
      <c r="M10" s="6" t="s">
        <v>7</v>
      </c>
      <c r="N10" s="6" t="s">
        <v>8</v>
      </c>
      <c r="O10" s="6" t="s">
        <v>9</v>
      </c>
      <c r="P10" s="6" t="s">
        <v>10</v>
      </c>
      <c r="Q10" s="6" t="s">
        <v>11</v>
      </c>
      <c r="R10" s="6" t="s">
        <v>12</v>
      </c>
      <c r="S10" s="6" t="s">
        <v>13</v>
      </c>
      <c r="T10" s="6" t="s">
        <v>14</v>
      </c>
      <c r="U10" s="6" t="s">
        <v>15</v>
      </c>
      <c r="V10" s="6" t="s">
        <v>16</v>
      </c>
      <c r="W10" s="6" t="s">
        <v>17</v>
      </c>
      <c r="X10" s="6" t="s">
        <v>18</v>
      </c>
      <c r="Y10" s="6" t="s">
        <v>19</v>
      </c>
      <c r="Z10" s="6" t="s">
        <v>20</v>
      </c>
      <c r="AA10" s="6" t="s">
        <v>21</v>
      </c>
      <c r="AB10" s="6" t="s">
        <v>22</v>
      </c>
      <c r="AC10" s="6" t="s">
        <v>23</v>
      </c>
      <c r="AD10" s="6" t="s">
        <v>24</v>
      </c>
      <c r="AE10" s="6" t="s">
        <v>25</v>
      </c>
      <c r="AF10" s="20"/>
    </row>
    <row r="11" spans="1:59" x14ac:dyDescent="0.35">
      <c r="A11" s="43">
        <f>INT(D2/26)</f>
        <v>142</v>
      </c>
      <c r="B11" s="10"/>
      <c r="C11" s="8"/>
      <c r="F11" s="1">
        <f>IF(ISERROR(FIND(F10,$AF9)),0,1)</f>
        <v>1</v>
      </c>
      <c r="G11" s="1">
        <f t="shared" ref="G11:AE11" si="8">IF(ISERROR(FIND(G10,$AF9)),0,1)</f>
        <v>1</v>
      </c>
      <c r="H11" s="1">
        <f t="shared" si="8"/>
        <v>1</v>
      </c>
      <c r="I11" s="1">
        <f t="shared" si="8"/>
        <v>1</v>
      </c>
      <c r="J11" s="1">
        <f t="shared" si="8"/>
        <v>1</v>
      </c>
      <c r="K11" s="1">
        <f t="shared" si="8"/>
        <v>1</v>
      </c>
      <c r="L11" s="1">
        <f t="shared" si="8"/>
        <v>1</v>
      </c>
      <c r="M11" s="1">
        <f t="shared" si="8"/>
        <v>1</v>
      </c>
      <c r="N11" s="1">
        <f t="shared" si="8"/>
        <v>1</v>
      </c>
      <c r="O11" s="1">
        <f t="shared" si="8"/>
        <v>1</v>
      </c>
      <c r="P11" s="1">
        <f t="shared" si="8"/>
        <v>1</v>
      </c>
      <c r="Q11" s="1">
        <f t="shared" si="8"/>
        <v>1</v>
      </c>
      <c r="R11" s="1">
        <f t="shared" si="8"/>
        <v>1</v>
      </c>
      <c r="S11" s="1">
        <f t="shared" si="8"/>
        <v>1</v>
      </c>
      <c r="T11" s="1">
        <f t="shared" si="8"/>
        <v>1</v>
      </c>
      <c r="U11" s="1">
        <f t="shared" si="8"/>
        <v>1</v>
      </c>
      <c r="V11" s="1">
        <f t="shared" si="8"/>
        <v>1</v>
      </c>
      <c r="W11" s="1">
        <f t="shared" si="8"/>
        <v>1</v>
      </c>
      <c r="X11" s="1">
        <f t="shared" si="8"/>
        <v>1</v>
      </c>
      <c r="Y11" s="1">
        <f t="shared" si="8"/>
        <v>1</v>
      </c>
      <c r="Z11" s="1">
        <f t="shared" si="8"/>
        <v>1</v>
      </c>
      <c r="AA11" s="1">
        <f t="shared" si="8"/>
        <v>1</v>
      </c>
      <c r="AB11" s="1">
        <f t="shared" si="8"/>
        <v>1</v>
      </c>
      <c r="AC11" s="1">
        <f t="shared" si="8"/>
        <v>1</v>
      </c>
      <c r="AD11" s="1">
        <f t="shared" si="8"/>
        <v>1</v>
      </c>
      <c r="AE11" s="1">
        <f t="shared" si="8"/>
        <v>1</v>
      </c>
      <c r="AF11" s="10"/>
    </row>
    <row r="12" spans="1:59" x14ac:dyDescent="0.35">
      <c r="A12" s="43">
        <f>IF(A11=0,26,A11)</f>
        <v>142</v>
      </c>
      <c r="B12" s="10" t="s">
        <v>380</v>
      </c>
      <c r="C12" s="41">
        <f>n_RotorM</f>
        <v>4</v>
      </c>
      <c r="D12" s="11">
        <f>A12</f>
        <v>142</v>
      </c>
      <c r="E12" s="11">
        <f>IF(MOD(D12,26)=0,26,MOD(D12,26))</f>
        <v>12</v>
      </c>
      <c r="F12" s="12" t="str">
        <f>CHAR(E12+nCharOffset)</f>
        <v>L</v>
      </c>
      <c r="G12" s="13" t="str">
        <f t="shared" ref="G12:AE12" si="9">VLOOKUP(F12,nNextLetter,2,FALSE)</f>
        <v>M</v>
      </c>
      <c r="H12" s="13" t="str">
        <f t="shared" si="9"/>
        <v>N</v>
      </c>
      <c r="I12" s="13" t="str">
        <f t="shared" si="9"/>
        <v>O</v>
      </c>
      <c r="J12" s="13" t="str">
        <f t="shared" si="9"/>
        <v>P</v>
      </c>
      <c r="K12" s="13" t="str">
        <f t="shared" si="9"/>
        <v>Q</v>
      </c>
      <c r="L12" s="13" t="str">
        <f t="shared" si="9"/>
        <v>R</v>
      </c>
      <c r="M12" s="13" t="str">
        <f t="shared" si="9"/>
        <v>S</v>
      </c>
      <c r="N12" s="13" t="str">
        <f t="shared" si="9"/>
        <v>T</v>
      </c>
      <c r="O12" s="13" t="str">
        <f t="shared" si="9"/>
        <v>U</v>
      </c>
      <c r="P12" s="13" t="str">
        <f t="shared" si="9"/>
        <v>V</v>
      </c>
      <c r="Q12" s="13" t="str">
        <f t="shared" si="9"/>
        <v>W</v>
      </c>
      <c r="R12" s="13" t="str">
        <f t="shared" si="9"/>
        <v>X</v>
      </c>
      <c r="S12" s="13" t="str">
        <f t="shared" si="9"/>
        <v>Y</v>
      </c>
      <c r="T12" s="13" t="str">
        <f t="shared" si="9"/>
        <v>Z</v>
      </c>
      <c r="U12" s="13" t="str">
        <f t="shared" si="9"/>
        <v>A</v>
      </c>
      <c r="V12" s="13" t="str">
        <f t="shared" si="9"/>
        <v>B</v>
      </c>
      <c r="W12" s="13" t="str">
        <f t="shared" si="9"/>
        <v>C</v>
      </c>
      <c r="X12" s="13" t="str">
        <f t="shared" si="9"/>
        <v>D</v>
      </c>
      <c r="Y12" s="13" t="str">
        <f t="shared" si="9"/>
        <v>E</v>
      </c>
      <c r="Z12" s="13" t="str">
        <f t="shared" si="9"/>
        <v>F</v>
      </c>
      <c r="AA12" s="13" t="str">
        <f t="shared" si="9"/>
        <v>G</v>
      </c>
      <c r="AB12" s="13" t="str">
        <f t="shared" si="9"/>
        <v>H</v>
      </c>
      <c r="AC12" s="13" t="str">
        <f t="shared" si="9"/>
        <v>I</v>
      </c>
      <c r="AD12" s="13" t="str">
        <f t="shared" si="9"/>
        <v>J</v>
      </c>
      <c r="AE12" s="13" t="str">
        <f t="shared" si="9"/>
        <v>K</v>
      </c>
      <c r="AF12" s="10"/>
    </row>
    <row r="13" spans="1:59" x14ac:dyDescent="0.35">
      <c r="B13" s="22" t="s">
        <v>390</v>
      </c>
      <c r="C13" s="41" t="str">
        <f>n_RingPosM</f>
        <v>A</v>
      </c>
      <c r="D13" s="11">
        <f>VLOOKUP(C13,nRingOffset,2,FALSE)</f>
        <v>0</v>
      </c>
      <c r="E13" t="s">
        <v>386</v>
      </c>
      <c r="F13" s="14" t="str">
        <f t="shared" ref="F13:AE13" si="10">IF(F11=1,VLOOKUP(nCurPosM+nRingOffsetM+(CODE(F10)-nCharOffset)-1,nNum2Let,2,FALSE),"")</f>
        <v>L</v>
      </c>
      <c r="G13" s="14" t="str">
        <f t="shared" si="10"/>
        <v>M</v>
      </c>
      <c r="H13" s="14" t="str">
        <f t="shared" si="10"/>
        <v>N</v>
      </c>
      <c r="I13" s="14" t="str">
        <f t="shared" si="10"/>
        <v>O</v>
      </c>
      <c r="J13" s="14" t="str">
        <f t="shared" si="10"/>
        <v>P</v>
      </c>
      <c r="K13" s="14" t="str">
        <f t="shared" si="10"/>
        <v>Q</v>
      </c>
      <c r="L13" s="14" t="str">
        <f t="shared" si="10"/>
        <v>R</v>
      </c>
      <c r="M13" s="14" t="str">
        <f t="shared" si="10"/>
        <v>S</v>
      </c>
      <c r="N13" s="14" t="str">
        <f t="shared" si="10"/>
        <v>T</v>
      </c>
      <c r="O13" s="14" t="str">
        <f t="shared" si="10"/>
        <v>U</v>
      </c>
      <c r="P13" s="14" t="str">
        <f t="shared" si="10"/>
        <v>V</v>
      </c>
      <c r="Q13" s="14" t="str">
        <f t="shared" si="10"/>
        <v>W</v>
      </c>
      <c r="R13" s="14" t="str">
        <f t="shared" si="10"/>
        <v>X</v>
      </c>
      <c r="S13" s="14" t="str">
        <f t="shared" si="10"/>
        <v>Y</v>
      </c>
      <c r="T13" s="14" t="str">
        <f t="shared" si="10"/>
        <v>Z</v>
      </c>
      <c r="U13" s="14" t="str">
        <f t="shared" si="10"/>
        <v>A</v>
      </c>
      <c r="V13" s="14" t="str">
        <f t="shared" si="10"/>
        <v>B</v>
      </c>
      <c r="W13" s="14" t="str">
        <f t="shared" si="10"/>
        <v>C</v>
      </c>
      <c r="X13" s="14" t="str">
        <f t="shared" si="10"/>
        <v>D</v>
      </c>
      <c r="Y13" s="14" t="str">
        <f t="shared" si="10"/>
        <v>E</v>
      </c>
      <c r="Z13" s="14" t="str">
        <f t="shared" si="10"/>
        <v>F</v>
      </c>
      <c r="AA13" s="14" t="str">
        <f t="shared" si="10"/>
        <v>G</v>
      </c>
      <c r="AB13" s="14" t="str">
        <f t="shared" si="10"/>
        <v>H</v>
      </c>
      <c r="AC13" s="14" t="str">
        <f t="shared" si="10"/>
        <v>I</v>
      </c>
      <c r="AD13" s="14" t="str">
        <f t="shared" si="10"/>
        <v>J</v>
      </c>
      <c r="AE13" s="14" t="str">
        <f t="shared" si="10"/>
        <v>K</v>
      </c>
      <c r="AF13" s="10"/>
      <c r="AH13" s="28" t="str">
        <f t="shared" ref="AH13:BG13" si="11">IF(LEN(AH15)=2,LEFT(AH15,1),"")</f>
        <v>A</v>
      </c>
      <c r="AI13" s="28" t="str">
        <f t="shared" si="11"/>
        <v>B</v>
      </c>
      <c r="AJ13" s="28" t="str">
        <f t="shared" si="11"/>
        <v>C</v>
      </c>
      <c r="AK13" s="28" t="str">
        <f t="shared" si="11"/>
        <v>D</v>
      </c>
      <c r="AL13" s="28" t="str">
        <f t="shared" si="11"/>
        <v>E</v>
      </c>
      <c r="AM13" s="28" t="str">
        <f t="shared" si="11"/>
        <v>F</v>
      </c>
      <c r="AN13" s="28" t="str">
        <f t="shared" si="11"/>
        <v>G</v>
      </c>
      <c r="AO13" s="28" t="str">
        <f t="shared" si="11"/>
        <v>H</v>
      </c>
      <c r="AP13" s="28" t="str">
        <f t="shared" si="11"/>
        <v>I</v>
      </c>
      <c r="AQ13" s="28" t="str">
        <f t="shared" si="11"/>
        <v>J</v>
      </c>
      <c r="AR13" s="28" t="str">
        <f t="shared" si="11"/>
        <v>K</v>
      </c>
      <c r="AS13" s="28" t="str">
        <f t="shared" si="11"/>
        <v>L</v>
      </c>
      <c r="AT13" s="28" t="str">
        <f t="shared" si="11"/>
        <v>M</v>
      </c>
      <c r="AU13" s="28" t="str">
        <f t="shared" si="11"/>
        <v>N</v>
      </c>
      <c r="AV13" s="28" t="str">
        <f t="shared" si="11"/>
        <v>O</v>
      </c>
      <c r="AW13" s="28" t="str">
        <f t="shared" si="11"/>
        <v>P</v>
      </c>
      <c r="AX13" s="28" t="str">
        <f t="shared" si="11"/>
        <v>Q</v>
      </c>
      <c r="AY13" s="28" t="str">
        <f t="shared" si="11"/>
        <v>R</v>
      </c>
      <c r="AZ13" s="28" t="str">
        <f t="shared" si="11"/>
        <v>S</v>
      </c>
      <c r="BA13" s="28" t="str">
        <f t="shared" si="11"/>
        <v>T</v>
      </c>
      <c r="BB13" s="28" t="str">
        <f t="shared" si="11"/>
        <v>U</v>
      </c>
      <c r="BC13" s="28" t="str">
        <f t="shared" si="11"/>
        <v>V</v>
      </c>
      <c r="BD13" s="28" t="str">
        <f t="shared" si="11"/>
        <v>W</v>
      </c>
      <c r="BE13" s="28" t="str">
        <f t="shared" si="11"/>
        <v>X</v>
      </c>
      <c r="BF13" s="28" t="str">
        <f t="shared" si="11"/>
        <v>Y</v>
      </c>
      <c r="BG13" s="28" t="str">
        <f t="shared" si="11"/>
        <v>Z</v>
      </c>
    </row>
    <row r="14" spans="1:59" x14ac:dyDescent="0.35">
      <c r="B14" s="22"/>
      <c r="C14" s="8"/>
      <c r="E14" t="s">
        <v>387</v>
      </c>
      <c r="F14" s="15" t="str">
        <f t="shared" ref="F14:AE14" si="12">IF(F11=1,VLOOKUP(nRotorM&amp;F13,nRotor,4,FALSE),"")</f>
        <v>I</v>
      </c>
      <c r="G14" s="15" t="str">
        <f t="shared" si="12"/>
        <v>R</v>
      </c>
      <c r="H14" s="15" t="str">
        <f t="shared" si="12"/>
        <v>H</v>
      </c>
      <c r="I14" s="15" t="str">
        <f t="shared" si="12"/>
        <v>X</v>
      </c>
      <c r="J14" s="15" t="str">
        <f t="shared" si="12"/>
        <v>L</v>
      </c>
      <c r="K14" s="15" t="str">
        <f t="shared" si="12"/>
        <v>N</v>
      </c>
      <c r="L14" s="15" t="str">
        <f t="shared" si="12"/>
        <v>F</v>
      </c>
      <c r="M14" s="15" t="str">
        <f t="shared" si="12"/>
        <v>T</v>
      </c>
      <c r="N14" s="15" t="str">
        <f t="shared" si="12"/>
        <v>G</v>
      </c>
      <c r="O14" s="15" t="str">
        <f t="shared" si="12"/>
        <v>K</v>
      </c>
      <c r="P14" s="15" t="str">
        <f t="shared" si="12"/>
        <v>D</v>
      </c>
      <c r="Q14" s="15" t="str">
        <f t="shared" si="12"/>
        <v>C</v>
      </c>
      <c r="R14" s="15" t="str">
        <f t="shared" si="12"/>
        <v>M</v>
      </c>
      <c r="S14" s="15" t="str">
        <f t="shared" si="12"/>
        <v>W</v>
      </c>
      <c r="T14" s="15" t="str">
        <f t="shared" si="12"/>
        <v>B</v>
      </c>
      <c r="U14" s="15" t="str">
        <f t="shared" si="12"/>
        <v>E</v>
      </c>
      <c r="V14" s="15" t="str">
        <f t="shared" si="12"/>
        <v>S</v>
      </c>
      <c r="W14" s="15" t="str">
        <f t="shared" si="12"/>
        <v>O</v>
      </c>
      <c r="X14" s="15" t="str">
        <f t="shared" si="12"/>
        <v>V</v>
      </c>
      <c r="Y14" s="15" t="str">
        <f t="shared" si="12"/>
        <v>P</v>
      </c>
      <c r="Z14" s="15" t="str">
        <f t="shared" si="12"/>
        <v>Z</v>
      </c>
      <c r="AA14" s="15" t="str">
        <f t="shared" si="12"/>
        <v>J</v>
      </c>
      <c r="AB14" s="15" t="str">
        <f t="shared" si="12"/>
        <v>A</v>
      </c>
      <c r="AC14" s="15" t="str">
        <f t="shared" si="12"/>
        <v>Y</v>
      </c>
      <c r="AD14" s="15" t="str">
        <f t="shared" si="12"/>
        <v>Q</v>
      </c>
      <c r="AE14" s="15" t="str">
        <f t="shared" si="12"/>
        <v>U</v>
      </c>
      <c r="AF14" s="10"/>
      <c r="AH14" s="28" t="str">
        <f t="shared" ref="AH14:BG14" si="13">IF(LEN(AH15)=2,RIGHT(AH15,1),"")</f>
        <v>X</v>
      </c>
      <c r="AI14" s="28" t="str">
        <f t="shared" si="13"/>
        <v>G</v>
      </c>
      <c r="AJ14" s="28" t="str">
        <f t="shared" si="13"/>
        <v>W</v>
      </c>
      <c r="AK14" s="28" t="str">
        <f t="shared" si="13"/>
        <v>M</v>
      </c>
      <c r="AL14" s="28" t="str">
        <f t="shared" si="13"/>
        <v>A</v>
      </c>
      <c r="AM14" s="28" t="str">
        <f t="shared" si="13"/>
        <v>C</v>
      </c>
      <c r="AN14" s="28" t="str">
        <f t="shared" si="13"/>
        <v>U</v>
      </c>
      <c r="AO14" s="28" t="str">
        <f t="shared" si="13"/>
        <v>I</v>
      </c>
      <c r="AP14" s="28" t="str">
        <f t="shared" si="13"/>
        <v>V</v>
      </c>
      <c r="AQ14" s="28" t="str">
        <f t="shared" si="13"/>
        <v>Z</v>
      </c>
      <c r="AR14" s="28" t="str">
        <f t="shared" si="13"/>
        <v>S</v>
      </c>
      <c r="AS14" s="28" t="str">
        <f t="shared" si="13"/>
        <v>R</v>
      </c>
      <c r="AT14" s="28" t="str">
        <f t="shared" si="13"/>
        <v>B</v>
      </c>
      <c r="AU14" s="28" t="str">
        <f t="shared" si="13"/>
        <v>L</v>
      </c>
      <c r="AV14" s="28" t="str">
        <f t="shared" si="13"/>
        <v>Q</v>
      </c>
      <c r="AW14" s="28" t="str">
        <f t="shared" si="13"/>
        <v>T</v>
      </c>
      <c r="AX14" s="28" t="str">
        <f t="shared" si="13"/>
        <v>H</v>
      </c>
      <c r="AY14" s="28" t="str">
        <f t="shared" si="13"/>
        <v>D</v>
      </c>
      <c r="AZ14" s="28" t="str">
        <f t="shared" si="13"/>
        <v>K</v>
      </c>
      <c r="BA14" s="28" t="str">
        <f t="shared" si="13"/>
        <v>E</v>
      </c>
      <c r="BB14" s="28" t="str">
        <f t="shared" si="13"/>
        <v>O</v>
      </c>
      <c r="BC14" s="28" t="str">
        <f t="shared" si="13"/>
        <v>Y</v>
      </c>
      <c r="BD14" s="28" t="str">
        <f t="shared" si="13"/>
        <v>P</v>
      </c>
      <c r="BE14" s="28" t="str">
        <f t="shared" si="13"/>
        <v>N</v>
      </c>
      <c r="BF14" s="28" t="str">
        <f t="shared" si="13"/>
        <v>F</v>
      </c>
      <c r="BG14" s="28" t="str">
        <f t="shared" si="13"/>
        <v>J</v>
      </c>
    </row>
    <row r="15" spans="1:59" ht="15" thickBot="1" x14ac:dyDescent="0.4">
      <c r="B15" s="23"/>
      <c r="C15" s="16"/>
      <c r="D15" s="17"/>
      <c r="E15" s="17" t="s">
        <v>388</v>
      </c>
      <c r="F15" s="18" t="str">
        <f t="shared" ref="F15:AE15" si="14">IF(F11=1,IF(CODE(F14)-CODE(F13)&lt;0,VLOOKUP((CODE(F14)-CODE(F13)+26)+(CODE(F10)-nCharOffset),nNum2Let,2,FALSE),VLOOKUP((CODE(F14)-CODE(F13))+(CODE(F10)-nCharOffset),nNum2Let,2,FALSE)),"")</f>
        <v>X</v>
      </c>
      <c r="G15" s="18" t="str">
        <f t="shared" si="14"/>
        <v>G</v>
      </c>
      <c r="H15" s="18" t="str">
        <f t="shared" si="14"/>
        <v>W</v>
      </c>
      <c r="I15" s="18" t="str">
        <f t="shared" si="14"/>
        <v>M</v>
      </c>
      <c r="J15" s="18" t="str">
        <f t="shared" si="14"/>
        <v>A</v>
      </c>
      <c r="K15" s="18" t="str">
        <f t="shared" si="14"/>
        <v>C</v>
      </c>
      <c r="L15" s="18" t="str">
        <f t="shared" si="14"/>
        <v>U</v>
      </c>
      <c r="M15" s="18" t="str">
        <f t="shared" si="14"/>
        <v>I</v>
      </c>
      <c r="N15" s="18" t="str">
        <f t="shared" si="14"/>
        <v>V</v>
      </c>
      <c r="O15" s="18" t="str">
        <f t="shared" si="14"/>
        <v>Z</v>
      </c>
      <c r="P15" s="18" t="str">
        <f t="shared" si="14"/>
        <v>S</v>
      </c>
      <c r="Q15" s="18" t="str">
        <f t="shared" si="14"/>
        <v>R</v>
      </c>
      <c r="R15" s="18" t="str">
        <f t="shared" si="14"/>
        <v>B</v>
      </c>
      <c r="S15" s="18" t="str">
        <f t="shared" si="14"/>
        <v>L</v>
      </c>
      <c r="T15" s="18" t="str">
        <f t="shared" si="14"/>
        <v>Q</v>
      </c>
      <c r="U15" s="18" t="str">
        <f t="shared" si="14"/>
        <v>T</v>
      </c>
      <c r="V15" s="18" t="str">
        <f t="shared" si="14"/>
        <v>H</v>
      </c>
      <c r="W15" s="18" t="str">
        <f t="shared" si="14"/>
        <v>D</v>
      </c>
      <c r="X15" s="18" t="str">
        <f t="shared" si="14"/>
        <v>K</v>
      </c>
      <c r="Y15" s="18" t="str">
        <f t="shared" si="14"/>
        <v>E</v>
      </c>
      <c r="Z15" s="18" t="str">
        <f t="shared" si="14"/>
        <v>O</v>
      </c>
      <c r="AA15" s="18" t="str">
        <f t="shared" si="14"/>
        <v>Y</v>
      </c>
      <c r="AB15" s="18" t="str">
        <f t="shared" si="14"/>
        <v>P</v>
      </c>
      <c r="AC15" s="18" t="str">
        <f t="shared" si="14"/>
        <v>N</v>
      </c>
      <c r="AD15" s="18" t="str">
        <f t="shared" si="14"/>
        <v>F</v>
      </c>
      <c r="AE15" s="18" t="str">
        <f t="shared" si="14"/>
        <v>J</v>
      </c>
      <c r="AF15" s="19" t="str">
        <f>CONCATENATE(F15,G15,H15,I15,J15,K15,L15,M15,N15,O15,P15,Q15,R15,S15,T15&amp;U15,V15,W15,X15,Y15,Z15,AA15,AB15,AC15,AD15,AE15)</f>
        <v>XGWMACUIVZSRBLQTHDKEOYPNFJ</v>
      </c>
      <c r="AH15" s="12" t="str">
        <f>F10&amp;F15</f>
        <v>AX</v>
      </c>
      <c r="AI15" s="12" t="str">
        <f t="shared" ref="AI15:BG15" si="15">G10&amp;G15</f>
        <v>BG</v>
      </c>
      <c r="AJ15" s="12" t="str">
        <f t="shared" si="15"/>
        <v>CW</v>
      </c>
      <c r="AK15" s="12" t="str">
        <f t="shared" si="15"/>
        <v>DM</v>
      </c>
      <c r="AL15" s="12" t="str">
        <f t="shared" si="15"/>
        <v>EA</v>
      </c>
      <c r="AM15" s="12" t="str">
        <f t="shared" si="15"/>
        <v>FC</v>
      </c>
      <c r="AN15" s="12" t="str">
        <f t="shared" si="15"/>
        <v>GU</v>
      </c>
      <c r="AO15" s="12" t="str">
        <f t="shared" si="15"/>
        <v>HI</v>
      </c>
      <c r="AP15" s="12" t="str">
        <f t="shared" si="15"/>
        <v>IV</v>
      </c>
      <c r="AQ15" s="12" t="str">
        <f t="shared" si="15"/>
        <v>JZ</v>
      </c>
      <c r="AR15" s="12" t="str">
        <f t="shared" si="15"/>
        <v>KS</v>
      </c>
      <c r="AS15" s="12" t="str">
        <f t="shared" si="15"/>
        <v>LR</v>
      </c>
      <c r="AT15" s="12" t="str">
        <f t="shared" si="15"/>
        <v>MB</v>
      </c>
      <c r="AU15" s="12" t="str">
        <f t="shared" si="15"/>
        <v>NL</v>
      </c>
      <c r="AV15" s="12" t="str">
        <f t="shared" si="15"/>
        <v>OQ</v>
      </c>
      <c r="AW15" s="12" t="str">
        <f t="shared" si="15"/>
        <v>PT</v>
      </c>
      <c r="AX15" s="12" t="str">
        <f t="shared" si="15"/>
        <v>QH</v>
      </c>
      <c r="AY15" s="12" t="str">
        <f t="shared" si="15"/>
        <v>RD</v>
      </c>
      <c r="AZ15" s="12" t="str">
        <f t="shared" si="15"/>
        <v>SK</v>
      </c>
      <c r="BA15" s="12" t="str">
        <f t="shared" si="15"/>
        <v>TE</v>
      </c>
      <c r="BB15" s="12" t="str">
        <f t="shared" si="15"/>
        <v>UO</v>
      </c>
      <c r="BC15" s="12" t="str">
        <f t="shared" si="15"/>
        <v>VY</v>
      </c>
      <c r="BD15" s="12" t="str">
        <f t="shared" si="15"/>
        <v>WP</v>
      </c>
      <c r="BE15" s="12" t="str">
        <f t="shared" si="15"/>
        <v>XN</v>
      </c>
      <c r="BF15" s="12" t="str">
        <f t="shared" si="15"/>
        <v>YF</v>
      </c>
      <c r="BG15" s="12" t="str">
        <f t="shared" si="15"/>
        <v>ZJ</v>
      </c>
    </row>
    <row r="16" spans="1:59" x14ac:dyDescent="0.35">
      <c r="B16" s="21"/>
      <c r="C16" s="4"/>
      <c r="D16" s="5"/>
      <c r="E16" s="5" t="s">
        <v>385</v>
      </c>
      <c r="F16" s="6" t="s">
        <v>0</v>
      </c>
      <c r="G16" s="6" t="s">
        <v>1</v>
      </c>
      <c r="H16" s="6" t="s">
        <v>2</v>
      </c>
      <c r="I16" s="6" t="s">
        <v>3</v>
      </c>
      <c r="J16" s="6" t="s">
        <v>4</v>
      </c>
      <c r="K16" s="6" t="s">
        <v>5</v>
      </c>
      <c r="L16" s="6" t="s">
        <v>6</v>
      </c>
      <c r="M16" s="6" t="s">
        <v>7</v>
      </c>
      <c r="N16" s="6" t="s">
        <v>8</v>
      </c>
      <c r="O16" s="6" t="s">
        <v>9</v>
      </c>
      <c r="P16" s="6" t="s">
        <v>10</v>
      </c>
      <c r="Q16" s="6" t="s">
        <v>11</v>
      </c>
      <c r="R16" s="6" t="s">
        <v>12</v>
      </c>
      <c r="S16" s="6" t="s">
        <v>13</v>
      </c>
      <c r="T16" s="6" t="s">
        <v>14</v>
      </c>
      <c r="U16" s="6" t="s">
        <v>15</v>
      </c>
      <c r="V16" s="6" t="s">
        <v>16</v>
      </c>
      <c r="W16" s="6" t="s">
        <v>17</v>
      </c>
      <c r="X16" s="6" t="s">
        <v>18</v>
      </c>
      <c r="Y16" s="6" t="s">
        <v>19</v>
      </c>
      <c r="Z16" s="6" t="s">
        <v>20</v>
      </c>
      <c r="AA16" s="6" t="s">
        <v>21</v>
      </c>
      <c r="AB16" s="6" t="s">
        <v>22</v>
      </c>
      <c r="AC16" s="6" t="s">
        <v>23</v>
      </c>
      <c r="AD16" s="6" t="s">
        <v>24</v>
      </c>
      <c r="AE16" s="6" t="s">
        <v>25</v>
      </c>
      <c r="AF16" s="7"/>
      <c r="AH16" s="28" t="str">
        <f>HLOOKUP(AH8,$AH13:$BG14,2,FALSE)</f>
        <v>O</v>
      </c>
      <c r="AI16" s="28" t="str">
        <f>HLOOKUP(AI8,$AH13:$BG14,2,FALSE)</f>
        <v>P</v>
      </c>
      <c r="AJ16" s="28" t="str">
        <f>HLOOKUP(AJ8,$AH13:$BG14,2,FALSE)</f>
        <v>C</v>
      </c>
      <c r="AK16" s="28" t="str">
        <f t="shared" ref="AK16:BG16" si="16">HLOOKUP(AK8,$AH13:$BG14,2,FALSE)</f>
        <v>B</v>
      </c>
      <c r="AL16" s="28" t="str">
        <f t="shared" si="16"/>
        <v>W</v>
      </c>
      <c r="AM16" s="28" t="str">
        <f t="shared" si="16"/>
        <v>Y</v>
      </c>
      <c r="AN16" s="28" t="str">
        <f t="shared" si="16"/>
        <v>R</v>
      </c>
      <c r="AO16" s="28" t="str">
        <f t="shared" si="16"/>
        <v>I</v>
      </c>
      <c r="AP16" s="28" t="str">
        <f t="shared" si="16"/>
        <v>H</v>
      </c>
      <c r="AQ16" s="28" t="str">
        <f t="shared" si="16"/>
        <v>S</v>
      </c>
      <c r="AR16" s="28" t="str">
        <f t="shared" si="16"/>
        <v>D</v>
      </c>
      <c r="AS16" s="28" t="str">
        <f t="shared" si="16"/>
        <v>J</v>
      </c>
      <c r="AT16" s="28" t="str">
        <f t="shared" si="16"/>
        <v>T</v>
      </c>
      <c r="AU16" s="28" t="str">
        <f t="shared" si="16"/>
        <v>F</v>
      </c>
      <c r="AV16" s="28" t="str">
        <f t="shared" si="16"/>
        <v>G</v>
      </c>
      <c r="AW16" s="28" t="str">
        <f t="shared" si="16"/>
        <v>A</v>
      </c>
      <c r="AX16" s="28" t="str">
        <f t="shared" si="16"/>
        <v>V</v>
      </c>
      <c r="AY16" s="28" t="str">
        <f t="shared" si="16"/>
        <v>K</v>
      </c>
      <c r="AZ16" s="28" t="str">
        <f t="shared" si="16"/>
        <v>Q</v>
      </c>
      <c r="BA16" s="28" t="str">
        <f t="shared" si="16"/>
        <v>M</v>
      </c>
      <c r="BB16" s="28" t="str">
        <f t="shared" si="16"/>
        <v>X</v>
      </c>
      <c r="BC16" s="28" t="str">
        <f t="shared" si="16"/>
        <v>E</v>
      </c>
      <c r="BD16" s="28" t="str">
        <f t="shared" si="16"/>
        <v>Z</v>
      </c>
      <c r="BE16" s="28" t="str">
        <f t="shared" si="16"/>
        <v>N</v>
      </c>
      <c r="BF16" s="28" t="str">
        <f t="shared" si="16"/>
        <v>L</v>
      </c>
      <c r="BG16" s="28" t="str">
        <f t="shared" si="16"/>
        <v>U</v>
      </c>
    </row>
    <row r="17" spans="1:59" x14ac:dyDescent="0.35">
      <c r="A17" s="43">
        <f>INT(D2/676)</f>
        <v>5</v>
      </c>
      <c r="B17" s="10"/>
      <c r="C17" s="8"/>
      <c r="F17" s="1">
        <f>IF(ISERROR(FIND(F16,$AF15)),0,1)</f>
        <v>1</v>
      </c>
      <c r="G17" s="1">
        <f t="shared" ref="G17:AE17" si="17">IF(ISERROR(FIND(G16,$AF15)),0,1)</f>
        <v>1</v>
      </c>
      <c r="H17" s="1">
        <f t="shared" si="17"/>
        <v>1</v>
      </c>
      <c r="I17" s="1">
        <f t="shared" si="17"/>
        <v>1</v>
      </c>
      <c r="J17" s="1">
        <f t="shared" si="17"/>
        <v>1</v>
      </c>
      <c r="K17" s="1">
        <f t="shared" si="17"/>
        <v>1</v>
      </c>
      <c r="L17" s="1">
        <f t="shared" si="17"/>
        <v>1</v>
      </c>
      <c r="M17" s="1">
        <f t="shared" si="17"/>
        <v>1</v>
      </c>
      <c r="N17" s="1">
        <f t="shared" si="17"/>
        <v>1</v>
      </c>
      <c r="O17" s="1">
        <f t="shared" si="17"/>
        <v>1</v>
      </c>
      <c r="P17" s="1">
        <f t="shared" si="17"/>
        <v>1</v>
      </c>
      <c r="Q17" s="1">
        <f t="shared" si="17"/>
        <v>1</v>
      </c>
      <c r="R17" s="1">
        <f t="shared" si="17"/>
        <v>1</v>
      </c>
      <c r="S17" s="1">
        <f t="shared" si="17"/>
        <v>1</v>
      </c>
      <c r="T17" s="1">
        <f t="shared" si="17"/>
        <v>1</v>
      </c>
      <c r="U17" s="1">
        <f t="shared" si="17"/>
        <v>1</v>
      </c>
      <c r="V17" s="1">
        <f t="shared" si="17"/>
        <v>1</v>
      </c>
      <c r="W17" s="1">
        <f t="shared" si="17"/>
        <v>1</v>
      </c>
      <c r="X17" s="1">
        <f t="shared" si="17"/>
        <v>1</v>
      </c>
      <c r="Y17" s="1">
        <f t="shared" si="17"/>
        <v>1</v>
      </c>
      <c r="Z17" s="1">
        <f t="shared" si="17"/>
        <v>1</v>
      </c>
      <c r="AA17" s="1">
        <f t="shared" si="17"/>
        <v>1</v>
      </c>
      <c r="AB17" s="1">
        <f t="shared" si="17"/>
        <v>1</v>
      </c>
      <c r="AC17" s="1">
        <f t="shared" si="17"/>
        <v>1</v>
      </c>
      <c r="AD17" s="1">
        <f t="shared" si="17"/>
        <v>1</v>
      </c>
      <c r="AE17" s="1">
        <f t="shared" si="17"/>
        <v>1</v>
      </c>
      <c r="AF17" s="10"/>
    </row>
    <row r="18" spans="1:59" x14ac:dyDescent="0.35">
      <c r="A18" s="43">
        <f>IF(A17=0,26,A17)</f>
        <v>5</v>
      </c>
      <c r="B18" s="10" t="s">
        <v>381</v>
      </c>
      <c r="C18" s="41">
        <f>n_RotorL</f>
        <v>1</v>
      </c>
      <c r="D18" s="11">
        <f>A18</f>
        <v>5</v>
      </c>
      <c r="E18" s="11">
        <f>IF(MOD(D18,26)=0,26,MOD(D18,26))</f>
        <v>5</v>
      </c>
      <c r="F18" s="12" t="str">
        <f>CHAR(E18+nCharOffset)</f>
        <v>E</v>
      </c>
      <c r="G18" s="13" t="str">
        <f t="shared" ref="G18:AE18" si="18">VLOOKUP(F18,nNextLetter,2,FALSE)</f>
        <v>F</v>
      </c>
      <c r="H18" s="13" t="str">
        <f t="shared" si="18"/>
        <v>G</v>
      </c>
      <c r="I18" s="13" t="str">
        <f t="shared" si="18"/>
        <v>H</v>
      </c>
      <c r="J18" s="13" t="str">
        <f t="shared" si="18"/>
        <v>I</v>
      </c>
      <c r="K18" s="13" t="str">
        <f t="shared" si="18"/>
        <v>J</v>
      </c>
      <c r="L18" s="13" t="str">
        <f t="shared" si="18"/>
        <v>K</v>
      </c>
      <c r="M18" s="13" t="str">
        <f t="shared" si="18"/>
        <v>L</v>
      </c>
      <c r="N18" s="13" t="str">
        <f t="shared" si="18"/>
        <v>M</v>
      </c>
      <c r="O18" s="13" t="str">
        <f t="shared" si="18"/>
        <v>N</v>
      </c>
      <c r="P18" s="13" t="str">
        <f t="shared" si="18"/>
        <v>O</v>
      </c>
      <c r="Q18" s="13" t="str">
        <f t="shared" si="18"/>
        <v>P</v>
      </c>
      <c r="R18" s="13" t="str">
        <f t="shared" si="18"/>
        <v>Q</v>
      </c>
      <c r="S18" s="13" t="str">
        <f t="shared" si="18"/>
        <v>R</v>
      </c>
      <c r="T18" s="13" t="str">
        <f t="shared" si="18"/>
        <v>S</v>
      </c>
      <c r="U18" s="13" t="str">
        <f t="shared" si="18"/>
        <v>T</v>
      </c>
      <c r="V18" s="13" t="str">
        <f t="shared" si="18"/>
        <v>U</v>
      </c>
      <c r="W18" s="13" t="str">
        <f t="shared" si="18"/>
        <v>V</v>
      </c>
      <c r="X18" s="13" t="str">
        <f t="shared" si="18"/>
        <v>W</v>
      </c>
      <c r="Y18" s="13" t="str">
        <f t="shared" si="18"/>
        <v>X</v>
      </c>
      <c r="Z18" s="13" t="str">
        <f t="shared" si="18"/>
        <v>Y</v>
      </c>
      <c r="AA18" s="13" t="str">
        <f t="shared" si="18"/>
        <v>Z</v>
      </c>
      <c r="AB18" s="13" t="str">
        <f t="shared" si="18"/>
        <v>A</v>
      </c>
      <c r="AC18" s="13" t="str">
        <f t="shared" si="18"/>
        <v>B</v>
      </c>
      <c r="AD18" s="13" t="str">
        <f t="shared" si="18"/>
        <v>C</v>
      </c>
      <c r="AE18" s="13" t="str">
        <f t="shared" si="18"/>
        <v>D</v>
      </c>
      <c r="AF18" s="10"/>
    </row>
    <row r="19" spans="1:59" x14ac:dyDescent="0.35">
      <c r="B19" s="22" t="s">
        <v>391</v>
      </c>
      <c r="C19" s="41" t="str">
        <f>n_RingPosL</f>
        <v>A</v>
      </c>
      <c r="D19" s="11">
        <f>VLOOKUP(C19,nRingOffset,2,FALSE)</f>
        <v>0</v>
      </c>
      <c r="E19" t="s">
        <v>386</v>
      </c>
      <c r="F19" s="14" t="str">
        <f t="shared" ref="F19:AE19" si="19">IF(F17=1,VLOOKUP(nCurPosL+nRingOffsetL+(CODE(F16)-nCharOffset)-1,nNum2Let,2,FALSE),"")</f>
        <v>E</v>
      </c>
      <c r="G19" s="14" t="str">
        <f t="shared" si="19"/>
        <v>F</v>
      </c>
      <c r="H19" s="14" t="str">
        <f t="shared" si="19"/>
        <v>G</v>
      </c>
      <c r="I19" s="14" t="str">
        <f t="shared" si="19"/>
        <v>H</v>
      </c>
      <c r="J19" s="14" t="str">
        <f t="shared" si="19"/>
        <v>I</v>
      </c>
      <c r="K19" s="14" t="str">
        <f t="shared" si="19"/>
        <v>J</v>
      </c>
      <c r="L19" s="14" t="str">
        <f t="shared" si="19"/>
        <v>K</v>
      </c>
      <c r="M19" s="14" t="str">
        <f t="shared" si="19"/>
        <v>L</v>
      </c>
      <c r="N19" s="14" t="str">
        <f t="shared" si="19"/>
        <v>M</v>
      </c>
      <c r="O19" s="14" t="str">
        <f t="shared" si="19"/>
        <v>N</v>
      </c>
      <c r="P19" s="14" t="str">
        <f t="shared" si="19"/>
        <v>O</v>
      </c>
      <c r="Q19" s="14" t="str">
        <f t="shared" si="19"/>
        <v>P</v>
      </c>
      <c r="R19" s="14" t="str">
        <f t="shared" si="19"/>
        <v>Q</v>
      </c>
      <c r="S19" s="14" t="str">
        <f t="shared" si="19"/>
        <v>R</v>
      </c>
      <c r="T19" s="14" t="str">
        <f t="shared" si="19"/>
        <v>S</v>
      </c>
      <c r="U19" s="14" t="str">
        <f t="shared" si="19"/>
        <v>T</v>
      </c>
      <c r="V19" s="14" t="str">
        <f t="shared" si="19"/>
        <v>U</v>
      </c>
      <c r="W19" s="14" t="str">
        <f t="shared" si="19"/>
        <v>V</v>
      </c>
      <c r="X19" s="14" t="str">
        <f t="shared" si="19"/>
        <v>W</v>
      </c>
      <c r="Y19" s="14" t="str">
        <f t="shared" si="19"/>
        <v>X</v>
      </c>
      <c r="Z19" s="14" t="str">
        <f t="shared" si="19"/>
        <v>Y</v>
      </c>
      <c r="AA19" s="14" t="str">
        <f t="shared" si="19"/>
        <v>Z</v>
      </c>
      <c r="AB19" s="14" t="str">
        <f t="shared" si="19"/>
        <v>A</v>
      </c>
      <c r="AC19" s="14" t="str">
        <f t="shared" si="19"/>
        <v>B</v>
      </c>
      <c r="AD19" s="14" t="str">
        <f t="shared" si="19"/>
        <v>C</v>
      </c>
      <c r="AE19" s="14" t="str">
        <f t="shared" si="19"/>
        <v>D</v>
      </c>
      <c r="AF19" s="10"/>
      <c r="AH19" s="28" t="str">
        <f t="shared" ref="AH19:BG19" si="20">IF(LEN(AH21)=2,LEFT(AH21,1),"")</f>
        <v>A</v>
      </c>
      <c r="AI19" s="28" t="str">
        <f t="shared" si="20"/>
        <v>B</v>
      </c>
      <c r="AJ19" s="28" t="str">
        <f t="shared" si="20"/>
        <v>C</v>
      </c>
      <c r="AK19" s="28" t="str">
        <f t="shared" si="20"/>
        <v>D</v>
      </c>
      <c r="AL19" s="28" t="str">
        <f t="shared" si="20"/>
        <v>E</v>
      </c>
      <c r="AM19" s="28" t="str">
        <f t="shared" si="20"/>
        <v>F</v>
      </c>
      <c r="AN19" s="28" t="str">
        <f t="shared" si="20"/>
        <v>G</v>
      </c>
      <c r="AO19" s="28" t="str">
        <f t="shared" si="20"/>
        <v>H</v>
      </c>
      <c r="AP19" s="28" t="str">
        <f t="shared" si="20"/>
        <v>I</v>
      </c>
      <c r="AQ19" s="28" t="str">
        <f t="shared" si="20"/>
        <v>J</v>
      </c>
      <c r="AR19" s="28" t="str">
        <f t="shared" si="20"/>
        <v>K</v>
      </c>
      <c r="AS19" s="28" t="str">
        <f t="shared" si="20"/>
        <v>L</v>
      </c>
      <c r="AT19" s="28" t="str">
        <f t="shared" si="20"/>
        <v>M</v>
      </c>
      <c r="AU19" s="28" t="str">
        <f t="shared" si="20"/>
        <v>N</v>
      </c>
      <c r="AV19" s="28" t="str">
        <f t="shared" si="20"/>
        <v>O</v>
      </c>
      <c r="AW19" s="28" t="str">
        <f t="shared" si="20"/>
        <v>P</v>
      </c>
      <c r="AX19" s="28" t="str">
        <f t="shared" si="20"/>
        <v>Q</v>
      </c>
      <c r="AY19" s="28" t="str">
        <f t="shared" si="20"/>
        <v>R</v>
      </c>
      <c r="AZ19" s="28" t="str">
        <f t="shared" si="20"/>
        <v>S</v>
      </c>
      <c r="BA19" s="28" t="str">
        <f t="shared" si="20"/>
        <v>T</v>
      </c>
      <c r="BB19" s="28" t="str">
        <f t="shared" si="20"/>
        <v>U</v>
      </c>
      <c r="BC19" s="28" t="str">
        <f t="shared" si="20"/>
        <v>V</v>
      </c>
      <c r="BD19" s="28" t="str">
        <f t="shared" si="20"/>
        <v>W</v>
      </c>
      <c r="BE19" s="28" t="str">
        <f t="shared" si="20"/>
        <v>X</v>
      </c>
      <c r="BF19" s="28" t="str">
        <f t="shared" si="20"/>
        <v>Y</v>
      </c>
      <c r="BG19" s="28" t="str">
        <f t="shared" si="20"/>
        <v>Z</v>
      </c>
    </row>
    <row r="20" spans="1:59" x14ac:dyDescent="0.35">
      <c r="B20" s="22"/>
      <c r="C20" s="8"/>
      <c r="E20" t="s">
        <v>387</v>
      </c>
      <c r="F20" s="15" t="str">
        <f t="shared" ref="F20:AE20" si="21">IF(F17=1,VLOOKUP(nRotorL&amp;F19,nRotor,4,FALSE),"")</f>
        <v>L</v>
      </c>
      <c r="G20" s="15" t="str">
        <f t="shared" si="21"/>
        <v>G</v>
      </c>
      <c r="H20" s="15" t="str">
        <f t="shared" si="21"/>
        <v>D</v>
      </c>
      <c r="I20" s="15" t="str">
        <f t="shared" si="21"/>
        <v>Q</v>
      </c>
      <c r="J20" s="15" t="str">
        <f t="shared" si="21"/>
        <v>V</v>
      </c>
      <c r="K20" s="15" t="str">
        <f t="shared" si="21"/>
        <v>Z</v>
      </c>
      <c r="L20" s="15" t="str">
        <f t="shared" si="21"/>
        <v>N</v>
      </c>
      <c r="M20" s="15" t="str">
        <f t="shared" si="21"/>
        <v>T</v>
      </c>
      <c r="N20" s="15" t="str">
        <f t="shared" si="21"/>
        <v>O</v>
      </c>
      <c r="O20" s="15" t="str">
        <f t="shared" si="21"/>
        <v>W</v>
      </c>
      <c r="P20" s="15" t="str">
        <f t="shared" si="21"/>
        <v>Y</v>
      </c>
      <c r="Q20" s="15" t="str">
        <f t="shared" si="21"/>
        <v>H</v>
      </c>
      <c r="R20" s="15" t="str">
        <f t="shared" si="21"/>
        <v>X</v>
      </c>
      <c r="S20" s="15" t="str">
        <f t="shared" si="21"/>
        <v>U</v>
      </c>
      <c r="T20" s="15" t="str">
        <f t="shared" si="21"/>
        <v>S</v>
      </c>
      <c r="U20" s="15" t="str">
        <f t="shared" si="21"/>
        <v>P</v>
      </c>
      <c r="V20" s="15" t="str">
        <f t="shared" si="21"/>
        <v>A</v>
      </c>
      <c r="W20" s="15" t="str">
        <f t="shared" si="21"/>
        <v>I</v>
      </c>
      <c r="X20" s="15" t="str">
        <f t="shared" si="21"/>
        <v>B</v>
      </c>
      <c r="Y20" s="15" t="str">
        <f t="shared" si="21"/>
        <v>R</v>
      </c>
      <c r="Z20" s="15" t="str">
        <f t="shared" si="21"/>
        <v>C</v>
      </c>
      <c r="AA20" s="15" t="str">
        <f t="shared" si="21"/>
        <v>J</v>
      </c>
      <c r="AB20" s="15" t="str">
        <f t="shared" si="21"/>
        <v>E</v>
      </c>
      <c r="AC20" s="15" t="str">
        <f t="shared" si="21"/>
        <v>K</v>
      </c>
      <c r="AD20" s="15" t="str">
        <f t="shared" si="21"/>
        <v>M</v>
      </c>
      <c r="AE20" s="15" t="str">
        <f t="shared" si="21"/>
        <v>F</v>
      </c>
      <c r="AF20" s="10"/>
      <c r="AH20" s="28" t="str">
        <f t="shared" ref="AH20:BG20" si="22">IF(LEN(AH21)=2,RIGHT(AH21,1),"")</f>
        <v>H</v>
      </c>
      <c r="AI20" s="28" t="str">
        <f t="shared" si="22"/>
        <v>C</v>
      </c>
      <c r="AJ20" s="28" t="str">
        <f t="shared" si="22"/>
        <v>Z</v>
      </c>
      <c r="AK20" s="28" t="str">
        <f t="shared" si="22"/>
        <v>M</v>
      </c>
      <c r="AL20" s="28" t="str">
        <f t="shared" si="22"/>
        <v>R</v>
      </c>
      <c r="AM20" s="28" t="str">
        <f t="shared" si="22"/>
        <v>V</v>
      </c>
      <c r="AN20" s="28" t="str">
        <f t="shared" si="22"/>
        <v>J</v>
      </c>
      <c r="AO20" s="28" t="str">
        <f t="shared" si="22"/>
        <v>P</v>
      </c>
      <c r="AP20" s="28" t="str">
        <f t="shared" si="22"/>
        <v>K</v>
      </c>
      <c r="AQ20" s="28" t="str">
        <f t="shared" si="22"/>
        <v>S</v>
      </c>
      <c r="AR20" s="28" t="str">
        <f t="shared" si="22"/>
        <v>U</v>
      </c>
      <c r="AS20" s="28" t="str">
        <f t="shared" si="22"/>
        <v>D</v>
      </c>
      <c r="AT20" s="28" t="str">
        <f t="shared" si="22"/>
        <v>T</v>
      </c>
      <c r="AU20" s="28" t="str">
        <f t="shared" si="22"/>
        <v>Q</v>
      </c>
      <c r="AV20" s="28" t="str">
        <f t="shared" si="22"/>
        <v>O</v>
      </c>
      <c r="AW20" s="28" t="str">
        <f t="shared" si="22"/>
        <v>L</v>
      </c>
      <c r="AX20" s="28" t="str">
        <f t="shared" si="22"/>
        <v>W</v>
      </c>
      <c r="AY20" s="28" t="str">
        <f t="shared" si="22"/>
        <v>E</v>
      </c>
      <c r="AZ20" s="28" t="str">
        <f t="shared" si="22"/>
        <v>X</v>
      </c>
      <c r="BA20" s="28" t="str">
        <f t="shared" si="22"/>
        <v>N</v>
      </c>
      <c r="BB20" s="28" t="str">
        <f t="shared" si="22"/>
        <v>Y</v>
      </c>
      <c r="BC20" s="28" t="str">
        <f t="shared" si="22"/>
        <v>F</v>
      </c>
      <c r="BD20" s="28" t="str">
        <f t="shared" si="22"/>
        <v>A</v>
      </c>
      <c r="BE20" s="28" t="str">
        <f t="shared" si="22"/>
        <v>G</v>
      </c>
      <c r="BF20" s="28" t="str">
        <f t="shared" si="22"/>
        <v>I</v>
      </c>
      <c r="BG20" s="28" t="str">
        <f t="shared" si="22"/>
        <v>B</v>
      </c>
    </row>
    <row r="21" spans="1:59" ht="15" thickBot="1" x14ac:dyDescent="0.4">
      <c r="B21" s="23"/>
      <c r="C21" s="16"/>
      <c r="D21" s="17"/>
      <c r="E21" s="17" t="s">
        <v>388</v>
      </c>
      <c r="F21" s="18" t="str">
        <f t="shared" ref="F21:AE21" si="23">IF(F17=1,IF(CODE(F20)-CODE(F19)&lt;0,VLOOKUP((CODE(F20)-CODE(F19)+26)+(CODE(F16)-nCharOffset),nNum2Let,2,FALSE),VLOOKUP((CODE(F20)-CODE(F19))+(CODE(F16)-nCharOffset),nNum2Let,2,FALSE)),"")</f>
        <v>H</v>
      </c>
      <c r="G21" s="18" t="str">
        <f t="shared" si="23"/>
        <v>C</v>
      </c>
      <c r="H21" s="18" t="str">
        <f t="shared" si="23"/>
        <v>Z</v>
      </c>
      <c r="I21" s="18" t="str">
        <f t="shared" si="23"/>
        <v>M</v>
      </c>
      <c r="J21" s="18" t="str">
        <f t="shared" si="23"/>
        <v>R</v>
      </c>
      <c r="K21" s="18" t="str">
        <f t="shared" si="23"/>
        <v>V</v>
      </c>
      <c r="L21" s="18" t="str">
        <f t="shared" si="23"/>
        <v>J</v>
      </c>
      <c r="M21" s="18" t="str">
        <f t="shared" si="23"/>
        <v>P</v>
      </c>
      <c r="N21" s="18" t="str">
        <f t="shared" si="23"/>
        <v>K</v>
      </c>
      <c r="O21" s="18" t="str">
        <f t="shared" si="23"/>
        <v>S</v>
      </c>
      <c r="P21" s="18" t="str">
        <f t="shared" si="23"/>
        <v>U</v>
      </c>
      <c r="Q21" s="18" t="str">
        <f t="shared" si="23"/>
        <v>D</v>
      </c>
      <c r="R21" s="18" t="str">
        <f t="shared" si="23"/>
        <v>T</v>
      </c>
      <c r="S21" s="18" t="str">
        <f t="shared" si="23"/>
        <v>Q</v>
      </c>
      <c r="T21" s="18" t="str">
        <f t="shared" si="23"/>
        <v>O</v>
      </c>
      <c r="U21" s="18" t="str">
        <f t="shared" si="23"/>
        <v>L</v>
      </c>
      <c r="V21" s="18" t="str">
        <f t="shared" si="23"/>
        <v>W</v>
      </c>
      <c r="W21" s="18" t="str">
        <f t="shared" si="23"/>
        <v>E</v>
      </c>
      <c r="X21" s="18" t="str">
        <f t="shared" si="23"/>
        <v>X</v>
      </c>
      <c r="Y21" s="18" t="str">
        <f t="shared" si="23"/>
        <v>N</v>
      </c>
      <c r="Z21" s="18" t="str">
        <f t="shared" si="23"/>
        <v>Y</v>
      </c>
      <c r="AA21" s="18" t="str">
        <f t="shared" si="23"/>
        <v>F</v>
      </c>
      <c r="AB21" s="18" t="str">
        <f t="shared" si="23"/>
        <v>A</v>
      </c>
      <c r="AC21" s="18" t="str">
        <f t="shared" si="23"/>
        <v>G</v>
      </c>
      <c r="AD21" s="18" t="str">
        <f t="shared" si="23"/>
        <v>I</v>
      </c>
      <c r="AE21" s="18" t="str">
        <f t="shared" si="23"/>
        <v>B</v>
      </c>
      <c r="AF21" s="19" t="str">
        <f>CONCATENATE(F21,G21,H21,I21,J21,K21,L21,M21,N21,O21,P21,Q21,R21,S21,T21&amp;U21,V21,W21,X21,Y21,Z21,AA21,AB21,AC21,AD21,AE21)</f>
        <v>HCZMRVJPKSUDTQOLWEXNYFAGIB</v>
      </c>
      <c r="AH21" s="12" t="str">
        <f>F16&amp;F21</f>
        <v>AH</v>
      </c>
      <c r="AI21" s="12" t="str">
        <f t="shared" ref="AI21:BG21" si="24">G16&amp;G21</f>
        <v>BC</v>
      </c>
      <c r="AJ21" s="12" t="str">
        <f t="shared" si="24"/>
        <v>CZ</v>
      </c>
      <c r="AK21" s="12" t="str">
        <f t="shared" si="24"/>
        <v>DM</v>
      </c>
      <c r="AL21" s="12" t="str">
        <f t="shared" si="24"/>
        <v>ER</v>
      </c>
      <c r="AM21" s="12" t="str">
        <f t="shared" si="24"/>
        <v>FV</v>
      </c>
      <c r="AN21" s="12" t="str">
        <f t="shared" si="24"/>
        <v>GJ</v>
      </c>
      <c r="AO21" s="12" t="str">
        <f t="shared" si="24"/>
        <v>HP</v>
      </c>
      <c r="AP21" s="12" t="str">
        <f t="shared" si="24"/>
        <v>IK</v>
      </c>
      <c r="AQ21" s="12" t="str">
        <f t="shared" si="24"/>
        <v>JS</v>
      </c>
      <c r="AR21" s="12" t="str">
        <f t="shared" si="24"/>
        <v>KU</v>
      </c>
      <c r="AS21" s="12" t="str">
        <f t="shared" si="24"/>
        <v>LD</v>
      </c>
      <c r="AT21" s="12" t="str">
        <f t="shared" si="24"/>
        <v>MT</v>
      </c>
      <c r="AU21" s="12" t="str">
        <f t="shared" si="24"/>
        <v>NQ</v>
      </c>
      <c r="AV21" s="12" t="str">
        <f t="shared" si="24"/>
        <v>OO</v>
      </c>
      <c r="AW21" s="12" t="str">
        <f t="shared" si="24"/>
        <v>PL</v>
      </c>
      <c r="AX21" s="12" t="str">
        <f t="shared" si="24"/>
        <v>QW</v>
      </c>
      <c r="AY21" s="12" t="str">
        <f t="shared" si="24"/>
        <v>RE</v>
      </c>
      <c r="AZ21" s="12" t="str">
        <f t="shared" si="24"/>
        <v>SX</v>
      </c>
      <c r="BA21" s="12" t="str">
        <f t="shared" si="24"/>
        <v>TN</v>
      </c>
      <c r="BB21" s="12" t="str">
        <f t="shared" si="24"/>
        <v>UY</v>
      </c>
      <c r="BC21" s="12" t="str">
        <f t="shared" si="24"/>
        <v>VF</v>
      </c>
      <c r="BD21" s="12" t="str">
        <f t="shared" si="24"/>
        <v>WA</v>
      </c>
      <c r="BE21" s="12" t="str">
        <f t="shared" si="24"/>
        <v>XG</v>
      </c>
      <c r="BF21" s="12" t="str">
        <f t="shared" si="24"/>
        <v>YI</v>
      </c>
      <c r="BG21" s="12" t="str">
        <f t="shared" si="24"/>
        <v>ZB</v>
      </c>
    </row>
    <row r="22" spans="1:59" x14ac:dyDescent="0.35">
      <c r="B22" s="21"/>
      <c r="C22" s="5"/>
      <c r="D22" s="5"/>
      <c r="E22" s="5" t="s">
        <v>385</v>
      </c>
      <c r="F22" s="6" t="s">
        <v>0</v>
      </c>
      <c r="G22" s="6" t="s">
        <v>1</v>
      </c>
      <c r="H22" s="6" t="s">
        <v>2</v>
      </c>
      <c r="I22" s="6" t="s">
        <v>3</v>
      </c>
      <c r="J22" s="6" t="s">
        <v>4</v>
      </c>
      <c r="K22" s="6" t="s">
        <v>5</v>
      </c>
      <c r="L22" s="6" t="s">
        <v>6</v>
      </c>
      <c r="M22" s="6" t="s">
        <v>7</v>
      </c>
      <c r="N22" s="6" t="s">
        <v>8</v>
      </c>
      <c r="O22" s="6" t="s">
        <v>9</v>
      </c>
      <c r="P22" s="6" t="s">
        <v>10</v>
      </c>
      <c r="Q22" s="6" t="s">
        <v>11</v>
      </c>
      <c r="R22" s="6" t="s">
        <v>12</v>
      </c>
      <c r="S22" s="6" t="s">
        <v>13</v>
      </c>
      <c r="T22" s="6" t="s">
        <v>14</v>
      </c>
      <c r="U22" s="6" t="s">
        <v>15</v>
      </c>
      <c r="V22" s="6" t="s">
        <v>16</v>
      </c>
      <c r="W22" s="6" t="s">
        <v>17</v>
      </c>
      <c r="X22" s="6" t="s">
        <v>18</v>
      </c>
      <c r="Y22" s="6" t="s">
        <v>19</v>
      </c>
      <c r="Z22" s="6" t="s">
        <v>20</v>
      </c>
      <c r="AA22" s="6" t="s">
        <v>21</v>
      </c>
      <c r="AB22" s="6" t="s">
        <v>22</v>
      </c>
      <c r="AC22" s="6" t="s">
        <v>23</v>
      </c>
      <c r="AD22" s="6" t="s">
        <v>24</v>
      </c>
      <c r="AE22" s="6" t="s">
        <v>25</v>
      </c>
      <c r="AF22" s="7"/>
      <c r="AH22" s="28" t="str">
        <f>HLOOKUP(AH16,$AH19:$BG20,2,FALSE)</f>
        <v>O</v>
      </c>
      <c r="AI22" s="28" t="str">
        <f>HLOOKUP(AI16,$AH19:$BG20,2,FALSE)</f>
        <v>L</v>
      </c>
      <c r="AJ22" s="28" t="str">
        <f t="shared" ref="AJ22:BG22" si="25">HLOOKUP(AJ16,$AH19:$BG20,2,FALSE)</f>
        <v>Z</v>
      </c>
      <c r="AK22" s="28" t="str">
        <f t="shared" si="25"/>
        <v>C</v>
      </c>
      <c r="AL22" s="28" t="str">
        <f t="shared" si="25"/>
        <v>A</v>
      </c>
      <c r="AM22" s="28" t="str">
        <f t="shared" si="25"/>
        <v>I</v>
      </c>
      <c r="AN22" s="28" t="str">
        <f t="shared" si="25"/>
        <v>E</v>
      </c>
      <c r="AO22" s="28" t="str">
        <f t="shared" si="25"/>
        <v>K</v>
      </c>
      <c r="AP22" s="28" t="str">
        <f t="shared" si="25"/>
        <v>P</v>
      </c>
      <c r="AQ22" s="28" t="str">
        <f t="shared" si="25"/>
        <v>X</v>
      </c>
      <c r="AR22" s="28" t="str">
        <f t="shared" si="25"/>
        <v>M</v>
      </c>
      <c r="AS22" s="28" t="str">
        <f t="shared" si="25"/>
        <v>S</v>
      </c>
      <c r="AT22" s="28" t="str">
        <f t="shared" si="25"/>
        <v>N</v>
      </c>
      <c r="AU22" s="28" t="str">
        <f t="shared" si="25"/>
        <v>V</v>
      </c>
      <c r="AV22" s="28" t="str">
        <f t="shared" si="25"/>
        <v>J</v>
      </c>
      <c r="AW22" s="28" t="str">
        <f t="shared" si="25"/>
        <v>H</v>
      </c>
      <c r="AX22" s="28" t="str">
        <f t="shared" si="25"/>
        <v>F</v>
      </c>
      <c r="AY22" s="28" t="str">
        <f t="shared" si="25"/>
        <v>U</v>
      </c>
      <c r="AZ22" s="28" t="str">
        <f t="shared" si="25"/>
        <v>W</v>
      </c>
      <c r="BA22" s="28" t="str">
        <f t="shared" si="25"/>
        <v>T</v>
      </c>
      <c r="BB22" s="28" t="str">
        <f t="shared" si="25"/>
        <v>G</v>
      </c>
      <c r="BC22" s="28" t="str">
        <f t="shared" si="25"/>
        <v>R</v>
      </c>
      <c r="BD22" s="28" t="str">
        <f t="shared" si="25"/>
        <v>B</v>
      </c>
      <c r="BE22" s="28" t="str">
        <f t="shared" si="25"/>
        <v>Q</v>
      </c>
      <c r="BF22" s="28" t="str">
        <f t="shared" si="25"/>
        <v>D</v>
      </c>
      <c r="BG22" s="28" t="str">
        <f t="shared" si="25"/>
        <v>Y</v>
      </c>
    </row>
    <row r="23" spans="1:59" x14ac:dyDescent="0.35">
      <c r="B23" s="22" t="s">
        <v>26</v>
      </c>
      <c r="C23" s="41" t="str">
        <f>n_Reflector</f>
        <v>B</v>
      </c>
      <c r="D23" s="11" t="str">
        <f>"Wide"&amp;C23</f>
        <v>WideB</v>
      </c>
      <c r="F23" s="1">
        <f>IF(ISERROR(FIND(F22,$AF21)),0,1)</f>
        <v>1</v>
      </c>
      <c r="G23" s="1">
        <f t="shared" ref="G23:AE23" si="26">IF(ISERROR(FIND(G22,$AF21)),0,1)</f>
        <v>1</v>
      </c>
      <c r="H23" s="1">
        <f t="shared" si="26"/>
        <v>1</v>
      </c>
      <c r="I23" s="1">
        <f t="shared" si="26"/>
        <v>1</v>
      </c>
      <c r="J23" s="1">
        <f t="shared" si="26"/>
        <v>1</v>
      </c>
      <c r="K23" s="1">
        <f t="shared" si="26"/>
        <v>1</v>
      </c>
      <c r="L23" s="1">
        <f t="shared" si="26"/>
        <v>1</v>
      </c>
      <c r="M23" s="1">
        <f t="shared" si="26"/>
        <v>1</v>
      </c>
      <c r="N23" s="1">
        <f t="shared" si="26"/>
        <v>1</v>
      </c>
      <c r="O23" s="1">
        <f t="shared" si="26"/>
        <v>1</v>
      </c>
      <c r="P23" s="1">
        <f t="shared" si="26"/>
        <v>1</v>
      </c>
      <c r="Q23" s="1">
        <f t="shared" si="26"/>
        <v>1</v>
      </c>
      <c r="R23" s="1">
        <f t="shared" si="26"/>
        <v>1</v>
      </c>
      <c r="S23" s="1">
        <f t="shared" si="26"/>
        <v>1</v>
      </c>
      <c r="T23" s="1">
        <f t="shared" si="26"/>
        <v>1</v>
      </c>
      <c r="U23" s="1">
        <f t="shared" si="26"/>
        <v>1</v>
      </c>
      <c r="V23" s="1">
        <f t="shared" si="26"/>
        <v>1</v>
      </c>
      <c r="W23" s="1">
        <f t="shared" si="26"/>
        <v>1</v>
      </c>
      <c r="X23" s="1">
        <f t="shared" si="26"/>
        <v>1</v>
      </c>
      <c r="Y23" s="1">
        <f t="shared" si="26"/>
        <v>1</v>
      </c>
      <c r="Z23" s="1">
        <f t="shared" si="26"/>
        <v>1</v>
      </c>
      <c r="AA23" s="1">
        <f t="shared" si="26"/>
        <v>1</v>
      </c>
      <c r="AB23" s="1">
        <f t="shared" si="26"/>
        <v>1</v>
      </c>
      <c r="AC23" s="1">
        <f t="shared" si="26"/>
        <v>1</v>
      </c>
      <c r="AD23" s="1">
        <f t="shared" si="26"/>
        <v>1</v>
      </c>
      <c r="AE23" s="1">
        <f t="shared" si="26"/>
        <v>1</v>
      </c>
      <c r="AF23" s="10"/>
      <c r="AH23" s="28" t="str">
        <f>HLOOKUP(AH22,$AH25:$BG26,2,FALSE)</f>
        <v>M</v>
      </c>
      <c r="AI23" s="28" t="str">
        <f t="shared" ref="AI23:BG23" si="27">HLOOKUP(AI22,$AH25:$BG26,2,FALSE)</f>
        <v>G</v>
      </c>
      <c r="AJ23" s="28" t="str">
        <f t="shared" si="27"/>
        <v>T</v>
      </c>
      <c r="AK23" s="28" t="str">
        <f t="shared" si="27"/>
        <v>U</v>
      </c>
      <c r="AL23" s="28" t="str">
        <f t="shared" si="27"/>
        <v>Y</v>
      </c>
      <c r="AM23" s="28" t="str">
        <f t="shared" si="27"/>
        <v>P</v>
      </c>
      <c r="AN23" s="28" t="str">
        <f t="shared" si="27"/>
        <v>Q</v>
      </c>
      <c r="AO23" s="28" t="str">
        <f t="shared" si="27"/>
        <v>N</v>
      </c>
      <c r="AP23" s="28" t="str">
        <f t="shared" si="27"/>
        <v>I</v>
      </c>
      <c r="AQ23" s="28" t="str">
        <f t="shared" si="27"/>
        <v>J</v>
      </c>
      <c r="AR23" s="28" t="str">
        <f t="shared" si="27"/>
        <v>O</v>
      </c>
      <c r="AS23" s="28" t="str">
        <f t="shared" si="27"/>
        <v>F</v>
      </c>
      <c r="AT23" s="28" t="str">
        <f t="shared" si="27"/>
        <v>K</v>
      </c>
      <c r="AU23" s="28" t="str">
        <f t="shared" si="27"/>
        <v>W</v>
      </c>
      <c r="AV23" s="28" t="str">
        <f t="shared" si="27"/>
        <v>X</v>
      </c>
      <c r="AW23" s="28" t="str">
        <f t="shared" si="27"/>
        <v>D</v>
      </c>
      <c r="AX23" s="28" t="str">
        <f t="shared" si="27"/>
        <v>S</v>
      </c>
      <c r="AY23" s="28" t="str">
        <f t="shared" si="27"/>
        <v>C</v>
      </c>
      <c r="AZ23" s="28" t="str">
        <f t="shared" si="27"/>
        <v>V</v>
      </c>
      <c r="BA23" s="28" t="str">
        <f t="shared" si="27"/>
        <v>Z</v>
      </c>
      <c r="BB23" s="28" t="str">
        <f t="shared" si="27"/>
        <v>L</v>
      </c>
      <c r="BC23" s="28" t="str">
        <f t="shared" si="27"/>
        <v>B</v>
      </c>
      <c r="BD23" s="28" t="str">
        <f t="shared" si="27"/>
        <v>R</v>
      </c>
      <c r="BE23" s="28" t="str">
        <f t="shared" si="27"/>
        <v>E</v>
      </c>
      <c r="BF23" s="28" t="str">
        <f t="shared" si="27"/>
        <v>H</v>
      </c>
      <c r="BG23" s="28" t="str">
        <f t="shared" si="27"/>
        <v>A</v>
      </c>
    </row>
    <row r="24" spans="1:59" ht="15" thickBot="1" x14ac:dyDescent="0.4">
      <c r="B24" s="23"/>
      <c r="C24" s="17"/>
      <c r="D24" s="17"/>
      <c r="E24" s="17"/>
      <c r="F24" s="24" t="str">
        <f t="shared" ref="F24:AE24" si="28">IF(F23=1,VLOOKUP(nReflector&amp;"_"&amp;F22,nReflectorWide,4,FALSE),"")</f>
        <v>Y</v>
      </c>
      <c r="G24" s="24" t="str">
        <f t="shared" si="28"/>
        <v>R</v>
      </c>
      <c r="H24" s="24" t="str">
        <f t="shared" si="28"/>
        <v>U</v>
      </c>
      <c r="I24" s="24" t="str">
        <f t="shared" si="28"/>
        <v>H</v>
      </c>
      <c r="J24" s="24" t="str">
        <f t="shared" si="28"/>
        <v>Q</v>
      </c>
      <c r="K24" s="24" t="str">
        <f t="shared" si="28"/>
        <v>S</v>
      </c>
      <c r="L24" s="24" t="str">
        <f t="shared" si="28"/>
        <v>L</v>
      </c>
      <c r="M24" s="24" t="str">
        <f t="shared" si="28"/>
        <v>D</v>
      </c>
      <c r="N24" s="24" t="str">
        <f t="shared" si="28"/>
        <v>P</v>
      </c>
      <c r="O24" s="24" t="str">
        <f t="shared" si="28"/>
        <v>X</v>
      </c>
      <c r="P24" s="24" t="str">
        <f t="shared" si="28"/>
        <v>N</v>
      </c>
      <c r="Q24" s="24" t="str">
        <f t="shared" si="28"/>
        <v>G</v>
      </c>
      <c r="R24" s="24" t="str">
        <f t="shared" si="28"/>
        <v>O</v>
      </c>
      <c r="S24" s="24" t="str">
        <f t="shared" si="28"/>
        <v>K</v>
      </c>
      <c r="T24" s="24" t="str">
        <f t="shared" si="28"/>
        <v>M</v>
      </c>
      <c r="U24" s="24" t="str">
        <f t="shared" si="28"/>
        <v>I</v>
      </c>
      <c r="V24" s="24" t="str">
        <f t="shared" si="28"/>
        <v>E</v>
      </c>
      <c r="W24" s="24" t="str">
        <f t="shared" si="28"/>
        <v>B</v>
      </c>
      <c r="X24" s="24" t="str">
        <f t="shared" si="28"/>
        <v>F</v>
      </c>
      <c r="Y24" s="24" t="str">
        <f t="shared" si="28"/>
        <v>Z</v>
      </c>
      <c r="Z24" s="24" t="str">
        <f t="shared" si="28"/>
        <v>C</v>
      </c>
      <c r="AA24" s="24" t="str">
        <f t="shared" si="28"/>
        <v>W</v>
      </c>
      <c r="AB24" s="24" t="str">
        <f t="shared" si="28"/>
        <v>V</v>
      </c>
      <c r="AC24" s="24" t="str">
        <f t="shared" si="28"/>
        <v>J</v>
      </c>
      <c r="AD24" s="24" t="str">
        <f t="shared" si="28"/>
        <v>A</v>
      </c>
      <c r="AE24" s="24" t="str">
        <f t="shared" si="28"/>
        <v>T</v>
      </c>
      <c r="AF24" s="25" t="str">
        <f>CONCATENATE(F24,G24,H24,I24,J24,K24,L24,M24,N24,O24,P24,Q24,R24,S24,T24&amp;U24,V24,W24,X24,Y24,Z24,AA24,AB24,AC24,AD24,AE24)</f>
        <v>YRUHQSLDPXNGOKMIEBFZCWVJAT</v>
      </c>
      <c r="AH24" s="27" t="str">
        <f>F22&amp;F24</f>
        <v>AY</v>
      </c>
      <c r="AI24" s="27" t="str">
        <f t="shared" ref="AI24:BG24" si="29">G22&amp;G24</f>
        <v>BR</v>
      </c>
      <c r="AJ24" s="27" t="str">
        <f t="shared" si="29"/>
        <v>CU</v>
      </c>
      <c r="AK24" s="27" t="str">
        <f t="shared" si="29"/>
        <v>DH</v>
      </c>
      <c r="AL24" s="27" t="str">
        <f t="shared" si="29"/>
        <v>EQ</v>
      </c>
      <c r="AM24" s="27" t="str">
        <f t="shared" si="29"/>
        <v>FS</v>
      </c>
      <c r="AN24" s="27" t="str">
        <f t="shared" si="29"/>
        <v>GL</v>
      </c>
      <c r="AO24" s="27" t="str">
        <f t="shared" si="29"/>
        <v>HD</v>
      </c>
      <c r="AP24" s="27" t="str">
        <f t="shared" si="29"/>
        <v>IP</v>
      </c>
      <c r="AQ24" s="27" t="str">
        <f t="shared" si="29"/>
        <v>JX</v>
      </c>
      <c r="AR24" s="27" t="str">
        <f t="shared" si="29"/>
        <v>KN</v>
      </c>
      <c r="AS24" s="27" t="str">
        <f t="shared" si="29"/>
        <v>LG</v>
      </c>
      <c r="AT24" s="27" t="str">
        <f t="shared" si="29"/>
        <v>MO</v>
      </c>
      <c r="AU24" s="27" t="str">
        <f t="shared" si="29"/>
        <v>NK</v>
      </c>
      <c r="AV24" s="27" t="str">
        <f t="shared" si="29"/>
        <v>OM</v>
      </c>
      <c r="AW24" s="27" t="str">
        <f t="shared" si="29"/>
        <v>PI</v>
      </c>
      <c r="AX24" s="27" t="str">
        <f t="shared" si="29"/>
        <v>QE</v>
      </c>
      <c r="AY24" s="27" t="str">
        <f t="shared" si="29"/>
        <v>RB</v>
      </c>
      <c r="AZ24" s="27" t="str">
        <f t="shared" si="29"/>
        <v>SF</v>
      </c>
      <c r="BA24" s="27" t="str">
        <f t="shared" si="29"/>
        <v>TZ</v>
      </c>
      <c r="BB24" s="27" t="str">
        <f t="shared" si="29"/>
        <v>UC</v>
      </c>
      <c r="BC24" s="27" t="str">
        <f t="shared" si="29"/>
        <v>VW</v>
      </c>
      <c r="BD24" s="27" t="str">
        <f t="shared" si="29"/>
        <v>WV</v>
      </c>
      <c r="BE24" s="27" t="str">
        <f t="shared" si="29"/>
        <v>XJ</v>
      </c>
      <c r="BF24" s="27" t="str">
        <f t="shared" si="29"/>
        <v>YA</v>
      </c>
      <c r="BG24" s="27" t="str">
        <f t="shared" si="29"/>
        <v>ZT</v>
      </c>
    </row>
    <row r="25" spans="1:59" x14ac:dyDescent="0.35">
      <c r="B25" s="21"/>
      <c r="C25" s="4"/>
      <c r="D25" s="5"/>
      <c r="E25" s="5" t="s">
        <v>385</v>
      </c>
      <c r="F25" s="6" t="s">
        <v>0</v>
      </c>
      <c r="G25" s="6" t="s">
        <v>1</v>
      </c>
      <c r="H25" s="6" t="s">
        <v>2</v>
      </c>
      <c r="I25" s="6" t="s">
        <v>3</v>
      </c>
      <c r="J25" s="6" t="s">
        <v>4</v>
      </c>
      <c r="K25" s="6" t="s">
        <v>5</v>
      </c>
      <c r="L25" s="6" t="s">
        <v>6</v>
      </c>
      <c r="M25" s="6" t="s">
        <v>7</v>
      </c>
      <c r="N25" s="6" t="s">
        <v>8</v>
      </c>
      <c r="O25" s="6" t="s">
        <v>9</v>
      </c>
      <c r="P25" s="6" t="s">
        <v>10</v>
      </c>
      <c r="Q25" s="6" t="s">
        <v>11</v>
      </c>
      <c r="R25" s="6" t="s">
        <v>12</v>
      </c>
      <c r="S25" s="6" t="s">
        <v>13</v>
      </c>
      <c r="T25" s="6" t="s">
        <v>14</v>
      </c>
      <c r="U25" s="6" t="s">
        <v>15</v>
      </c>
      <c r="V25" s="6" t="s">
        <v>16</v>
      </c>
      <c r="W25" s="6" t="s">
        <v>17</v>
      </c>
      <c r="X25" s="6" t="s">
        <v>18</v>
      </c>
      <c r="Y25" s="6" t="s">
        <v>19</v>
      </c>
      <c r="Z25" s="6" t="s">
        <v>20</v>
      </c>
      <c r="AA25" s="6" t="s">
        <v>21</v>
      </c>
      <c r="AB25" s="6" t="s">
        <v>22</v>
      </c>
      <c r="AC25" s="6" t="s">
        <v>23</v>
      </c>
      <c r="AD25" s="6" t="s">
        <v>24</v>
      </c>
      <c r="AE25" s="6" t="s">
        <v>25</v>
      </c>
      <c r="AF25" s="7"/>
      <c r="AH25" s="28" t="str">
        <f>IF(LEN(AH24)=2,LEFT(AH24,1),"")</f>
        <v>A</v>
      </c>
      <c r="AI25" s="28" t="str">
        <f t="shared" ref="AI25:BG25" si="30">IF(LEN(AI24)=2,LEFT(AI24,1),"")</f>
        <v>B</v>
      </c>
      <c r="AJ25" s="28" t="str">
        <f t="shared" si="30"/>
        <v>C</v>
      </c>
      <c r="AK25" s="28" t="str">
        <f t="shared" si="30"/>
        <v>D</v>
      </c>
      <c r="AL25" s="28" t="str">
        <f t="shared" si="30"/>
        <v>E</v>
      </c>
      <c r="AM25" s="28" t="str">
        <f t="shared" si="30"/>
        <v>F</v>
      </c>
      <c r="AN25" s="28" t="str">
        <f t="shared" si="30"/>
        <v>G</v>
      </c>
      <c r="AO25" s="28" t="str">
        <f t="shared" si="30"/>
        <v>H</v>
      </c>
      <c r="AP25" s="28" t="str">
        <f t="shared" si="30"/>
        <v>I</v>
      </c>
      <c r="AQ25" s="28" t="str">
        <f t="shared" si="30"/>
        <v>J</v>
      </c>
      <c r="AR25" s="28" t="str">
        <f t="shared" si="30"/>
        <v>K</v>
      </c>
      <c r="AS25" s="28" t="str">
        <f t="shared" si="30"/>
        <v>L</v>
      </c>
      <c r="AT25" s="28" t="str">
        <f t="shared" si="30"/>
        <v>M</v>
      </c>
      <c r="AU25" s="28" t="str">
        <f t="shared" si="30"/>
        <v>N</v>
      </c>
      <c r="AV25" s="28" t="str">
        <f t="shared" si="30"/>
        <v>O</v>
      </c>
      <c r="AW25" s="28" t="str">
        <f t="shared" si="30"/>
        <v>P</v>
      </c>
      <c r="AX25" s="28" t="str">
        <f t="shared" si="30"/>
        <v>Q</v>
      </c>
      <c r="AY25" s="28" t="str">
        <f t="shared" si="30"/>
        <v>R</v>
      </c>
      <c r="AZ25" s="28" t="str">
        <f t="shared" si="30"/>
        <v>S</v>
      </c>
      <c r="BA25" s="28" t="str">
        <f t="shared" si="30"/>
        <v>T</v>
      </c>
      <c r="BB25" s="28" t="str">
        <f t="shared" si="30"/>
        <v>U</v>
      </c>
      <c r="BC25" s="28" t="str">
        <f t="shared" si="30"/>
        <v>V</v>
      </c>
      <c r="BD25" s="28" t="str">
        <f t="shared" si="30"/>
        <v>W</v>
      </c>
      <c r="BE25" s="28" t="str">
        <f t="shared" si="30"/>
        <v>X</v>
      </c>
      <c r="BF25" s="28" t="str">
        <f t="shared" si="30"/>
        <v>Y</v>
      </c>
      <c r="BG25" s="28" t="str">
        <f t="shared" si="30"/>
        <v>Z</v>
      </c>
    </row>
    <row r="26" spans="1:59" x14ac:dyDescent="0.35">
      <c r="B26" s="22"/>
      <c r="C26" s="8"/>
      <c r="F26" s="1">
        <f t="shared" ref="F26:AE26" si="31">IF(ISERROR(FIND(F25,$AF24)),0,1)</f>
        <v>1</v>
      </c>
      <c r="G26" s="1">
        <f t="shared" si="31"/>
        <v>1</v>
      </c>
      <c r="H26" s="1">
        <f t="shared" si="31"/>
        <v>1</v>
      </c>
      <c r="I26" s="1">
        <f t="shared" si="31"/>
        <v>1</v>
      </c>
      <c r="J26" s="1">
        <f t="shared" si="31"/>
        <v>1</v>
      </c>
      <c r="K26" s="1">
        <f t="shared" si="31"/>
        <v>1</v>
      </c>
      <c r="L26" s="1">
        <f t="shared" si="31"/>
        <v>1</v>
      </c>
      <c r="M26" s="1">
        <f t="shared" si="31"/>
        <v>1</v>
      </c>
      <c r="N26" s="1">
        <f t="shared" si="31"/>
        <v>1</v>
      </c>
      <c r="O26" s="1">
        <f t="shared" si="31"/>
        <v>1</v>
      </c>
      <c r="P26" s="1">
        <f t="shared" si="31"/>
        <v>1</v>
      </c>
      <c r="Q26" s="1">
        <f t="shared" si="31"/>
        <v>1</v>
      </c>
      <c r="R26" s="1">
        <f t="shared" si="31"/>
        <v>1</v>
      </c>
      <c r="S26" s="1">
        <f t="shared" si="31"/>
        <v>1</v>
      </c>
      <c r="T26" s="1">
        <f t="shared" si="31"/>
        <v>1</v>
      </c>
      <c r="U26" s="1">
        <f t="shared" si="31"/>
        <v>1</v>
      </c>
      <c r="V26" s="1">
        <f t="shared" si="31"/>
        <v>1</v>
      </c>
      <c r="W26" s="1">
        <f t="shared" si="31"/>
        <v>1</v>
      </c>
      <c r="X26" s="1">
        <f t="shared" si="31"/>
        <v>1</v>
      </c>
      <c r="Y26" s="1">
        <f t="shared" si="31"/>
        <v>1</v>
      </c>
      <c r="Z26" s="1">
        <f t="shared" si="31"/>
        <v>1</v>
      </c>
      <c r="AA26" s="1">
        <f t="shared" si="31"/>
        <v>1</v>
      </c>
      <c r="AB26" s="1">
        <f t="shared" si="31"/>
        <v>1</v>
      </c>
      <c r="AC26" s="1">
        <f t="shared" si="31"/>
        <v>1</v>
      </c>
      <c r="AD26" s="1">
        <f t="shared" si="31"/>
        <v>1</v>
      </c>
      <c r="AE26" s="1">
        <f t="shared" si="31"/>
        <v>1</v>
      </c>
      <c r="AF26" s="10"/>
      <c r="AH26" s="28" t="str">
        <f>IF(LEN(AH24)=2,RIGHT(AH24,1),"")</f>
        <v>Y</v>
      </c>
      <c r="AI26" s="28" t="str">
        <f t="shared" ref="AI26:BG26" si="32">IF(LEN(AI24)=2,RIGHT(AI24,1),"")</f>
        <v>R</v>
      </c>
      <c r="AJ26" s="28" t="str">
        <f t="shared" si="32"/>
        <v>U</v>
      </c>
      <c r="AK26" s="28" t="str">
        <f t="shared" si="32"/>
        <v>H</v>
      </c>
      <c r="AL26" s="28" t="str">
        <f t="shared" si="32"/>
        <v>Q</v>
      </c>
      <c r="AM26" s="28" t="str">
        <f t="shared" si="32"/>
        <v>S</v>
      </c>
      <c r="AN26" s="28" t="str">
        <f t="shared" si="32"/>
        <v>L</v>
      </c>
      <c r="AO26" s="28" t="str">
        <f t="shared" si="32"/>
        <v>D</v>
      </c>
      <c r="AP26" s="28" t="str">
        <f t="shared" si="32"/>
        <v>P</v>
      </c>
      <c r="AQ26" s="28" t="str">
        <f t="shared" si="32"/>
        <v>X</v>
      </c>
      <c r="AR26" s="28" t="str">
        <f t="shared" si="32"/>
        <v>N</v>
      </c>
      <c r="AS26" s="28" t="str">
        <f t="shared" si="32"/>
        <v>G</v>
      </c>
      <c r="AT26" s="28" t="str">
        <f t="shared" si="32"/>
        <v>O</v>
      </c>
      <c r="AU26" s="28" t="str">
        <f t="shared" si="32"/>
        <v>K</v>
      </c>
      <c r="AV26" s="28" t="str">
        <f t="shared" si="32"/>
        <v>M</v>
      </c>
      <c r="AW26" s="28" t="str">
        <f t="shared" si="32"/>
        <v>I</v>
      </c>
      <c r="AX26" s="28" t="str">
        <f t="shared" si="32"/>
        <v>E</v>
      </c>
      <c r="AY26" s="28" t="str">
        <f t="shared" si="32"/>
        <v>B</v>
      </c>
      <c r="AZ26" s="28" t="str">
        <f t="shared" si="32"/>
        <v>F</v>
      </c>
      <c r="BA26" s="28" t="str">
        <f t="shared" si="32"/>
        <v>Z</v>
      </c>
      <c r="BB26" s="28" t="str">
        <f t="shared" si="32"/>
        <v>C</v>
      </c>
      <c r="BC26" s="28" t="str">
        <f t="shared" si="32"/>
        <v>W</v>
      </c>
      <c r="BD26" s="28" t="str">
        <f t="shared" si="32"/>
        <v>V</v>
      </c>
      <c r="BE26" s="28" t="str">
        <f t="shared" si="32"/>
        <v>J</v>
      </c>
      <c r="BF26" s="28" t="str">
        <f t="shared" si="32"/>
        <v>A</v>
      </c>
      <c r="BG26" s="28" t="str">
        <f t="shared" si="32"/>
        <v>T</v>
      </c>
    </row>
    <row r="27" spans="1:59" x14ac:dyDescent="0.35">
      <c r="B27" s="22" t="s">
        <v>382</v>
      </c>
      <c r="C27" s="26" t="str">
        <f>"R"&amp;C18</f>
        <v>R1</v>
      </c>
      <c r="D27" s="11">
        <f>D18</f>
        <v>5</v>
      </c>
      <c r="E27" s="11">
        <f>E18</f>
        <v>5</v>
      </c>
      <c r="F27" s="12" t="str">
        <f>F18</f>
        <v>E</v>
      </c>
      <c r="G27" s="13" t="str">
        <f t="shared" ref="G27:AE27" si="33">VLOOKUP(F27,nNextLetter,2,FALSE)</f>
        <v>F</v>
      </c>
      <c r="H27" s="13" t="str">
        <f t="shared" si="33"/>
        <v>G</v>
      </c>
      <c r="I27" s="13" t="str">
        <f t="shared" si="33"/>
        <v>H</v>
      </c>
      <c r="J27" s="13" t="str">
        <f t="shared" si="33"/>
        <v>I</v>
      </c>
      <c r="K27" s="13" t="str">
        <f t="shared" si="33"/>
        <v>J</v>
      </c>
      <c r="L27" s="13" t="str">
        <f t="shared" si="33"/>
        <v>K</v>
      </c>
      <c r="M27" s="13" t="str">
        <f t="shared" si="33"/>
        <v>L</v>
      </c>
      <c r="N27" s="13" t="str">
        <f t="shared" si="33"/>
        <v>M</v>
      </c>
      <c r="O27" s="13" t="str">
        <f t="shared" si="33"/>
        <v>N</v>
      </c>
      <c r="P27" s="13" t="str">
        <f t="shared" si="33"/>
        <v>O</v>
      </c>
      <c r="Q27" s="13" t="str">
        <f t="shared" si="33"/>
        <v>P</v>
      </c>
      <c r="R27" s="13" t="str">
        <f t="shared" si="33"/>
        <v>Q</v>
      </c>
      <c r="S27" s="13" t="str">
        <f t="shared" si="33"/>
        <v>R</v>
      </c>
      <c r="T27" s="13" t="str">
        <f t="shared" si="33"/>
        <v>S</v>
      </c>
      <c r="U27" s="13" t="str">
        <f t="shared" si="33"/>
        <v>T</v>
      </c>
      <c r="V27" s="13" t="str">
        <f t="shared" si="33"/>
        <v>U</v>
      </c>
      <c r="W27" s="13" t="str">
        <f t="shared" si="33"/>
        <v>V</v>
      </c>
      <c r="X27" s="13" t="str">
        <f t="shared" si="33"/>
        <v>W</v>
      </c>
      <c r="Y27" s="13" t="str">
        <f t="shared" si="33"/>
        <v>X</v>
      </c>
      <c r="Z27" s="13" t="str">
        <f t="shared" si="33"/>
        <v>Y</v>
      </c>
      <c r="AA27" s="13" t="str">
        <f t="shared" si="33"/>
        <v>Z</v>
      </c>
      <c r="AB27" s="13" t="str">
        <f t="shared" si="33"/>
        <v>A</v>
      </c>
      <c r="AC27" s="13" t="str">
        <f t="shared" si="33"/>
        <v>B</v>
      </c>
      <c r="AD27" s="13" t="str">
        <f t="shared" si="33"/>
        <v>C</v>
      </c>
      <c r="AE27" s="13" t="str">
        <f t="shared" si="33"/>
        <v>D</v>
      </c>
      <c r="AF27" s="10"/>
    </row>
    <row r="28" spans="1:59" x14ac:dyDescent="0.35">
      <c r="B28" s="22"/>
      <c r="C28" s="8"/>
      <c r="E28" t="s">
        <v>386</v>
      </c>
      <c r="F28" s="14" t="str">
        <f t="shared" ref="F28:AE28" si="34">IF(F26=1,VLOOKUP(nCurPosL+nRingOffsetL+(CODE(F25)-nCharOffset)-1,nNum2Let,2,FALSE),"")</f>
        <v>E</v>
      </c>
      <c r="G28" s="14" t="str">
        <f t="shared" si="34"/>
        <v>F</v>
      </c>
      <c r="H28" s="14" t="str">
        <f t="shared" si="34"/>
        <v>G</v>
      </c>
      <c r="I28" s="14" t="str">
        <f t="shared" si="34"/>
        <v>H</v>
      </c>
      <c r="J28" s="14" t="str">
        <f t="shared" si="34"/>
        <v>I</v>
      </c>
      <c r="K28" s="14" t="str">
        <f t="shared" si="34"/>
        <v>J</v>
      </c>
      <c r="L28" s="14" t="str">
        <f t="shared" si="34"/>
        <v>K</v>
      </c>
      <c r="M28" s="14" t="str">
        <f t="shared" si="34"/>
        <v>L</v>
      </c>
      <c r="N28" s="14" t="str">
        <f t="shared" si="34"/>
        <v>M</v>
      </c>
      <c r="O28" s="14" t="str">
        <f t="shared" si="34"/>
        <v>N</v>
      </c>
      <c r="P28" s="14" t="str">
        <f t="shared" si="34"/>
        <v>O</v>
      </c>
      <c r="Q28" s="14" t="str">
        <f t="shared" si="34"/>
        <v>P</v>
      </c>
      <c r="R28" s="14" t="str">
        <f t="shared" si="34"/>
        <v>Q</v>
      </c>
      <c r="S28" s="14" t="str">
        <f t="shared" si="34"/>
        <v>R</v>
      </c>
      <c r="T28" s="14" t="str">
        <f t="shared" si="34"/>
        <v>S</v>
      </c>
      <c r="U28" s="14" t="str">
        <f t="shared" si="34"/>
        <v>T</v>
      </c>
      <c r="V28" s="14" t="str">
        <f t="shared" si="34"/>
        <v>U</v>
      </c>
      <c r="W28" s="14" t="str">
        <f t="shared" si="34"/>
        <v>V</v>
      </c>
      <c r="X28" s="14" t="str">
        <f t="shared" si="34"/>
        <v>W</v>
      </c>
      <c r="Y28" s="14" t="str">
        <f t="shared" si="34"/>
        <v>X</v>
      </c>
      <c r="Z28" s="14" t="str">
        <f t="shared" si="34"/>
        <v>Y</v>
      </c>
      <c r="AA28" s="14" t="str">
        <f t="shared" si="34"/>
        <v>Z</v>
      </c>
      <c r="AB28" s="14" t="str">
        <f t="shared" si="34"/>
        <v>A</v>
      </c>
      <c r="AC28" s="14" t="str">
        <f t="shared" si="34"/>
        <v>B</v>
      </c>
      <c r="AD28" s="14" t="str">
        <f t="shared" si="34"/>
        <v>C</v>
      </c>
      <c r="AE28" s="14" t="str">
        <f t="shared" si="34"/>
        <v>D</v>
      </c>
      <c r="AF28" s="10"/>
      <c r="AH28" s="28" t="str">
        <f t="shared" ref="AH28:BG28" si="35">IF(LEN(AH30)=2,LEFT(AH30,1),"")</f>
        <v>A</v>
      </c>
      <c r="AI28" s="28" t="str">
        <f t="shared" si="35"/>
        <v>B</v>
      </c>
      <c r="AJ28" s="28" t="str">
        <f t="shared" si="35"/>
        <v>C</v>
      </c>
      <c r="AK28" s="28" t="str">
        <f t="shared" si="35"/>
        <v>D</v>
      </c>
      <c r="AL28" s="28" t="str">
        <f t="shared" si="35"/>
        <v>E</v>
      </c>
      <c r="AM28" s="28" t="str">
        <f t="shared" si="35"/>
        <v>F</v>
      </c>
      <c r="AN28" s="28" t="str">
        <f t="shared" si="35"/>
        <v>G</v>
      </c>
      <c r="AO28" s="28" t="str">
        <f t="shared" si="35"/>
        <v>H</v>
      </c>
      <c r="AP28" s="28" t="str">
        <f t="shared" si="35"/>
        <v>I</v>
      </c>
      <c r="AQ28" s="28" t="str">
        <f t="shared" si="35"/>
        <v>J</v>
      </c>
      <c r="AR28" s="28" t="str">
        <f t="shared" si="35"/>
        <v>K</v>
      </c>
      <c r="AS28" s="28" t="str">
        <f t="shared" si="35"/>
        <v>L</v>
      </c>
      <c r="AT28" s="28" t="str">
        <f t="shared" si="35"/>
        <v>M</v>
      </c>
      <c r="AU28" s="28" t="str">
        <f t="shared" si="35"/>
        <v>N</v>
      </c>
      <c r="AV28" s="28" t="str">
        <f t="shared" si="35"/>
        <v>O</v>
      </c>
      <c r="AW28" s="28" t="str">
        <f t="shared" si="35"/>
        <v>P</v>
      </c>
      <c r="AX28" s="28" t="str">
        <f t="shared" si="35"/>
        <v>Q</v>
      </c>
      <c r="AY28" s="28" t="str">
        <f t="shared" si="35"/>
        <v>R</v>
      </c>
      <c r="AZ28" s="28" t="str">
        <f t="shared" si="35"/>
        <v>S</v>
      </c>
      <c r="BA28" s="28" t="str">
        <f t="shared" si="35"/>
        <v>T</v>
      </c>
      <c r="BB28" s="28" t="str">
        <f t="shared" si="35"/>
        <v>U</v>
      </c>
      <c r="BC28" s="28" t="str">
        <f t="shared" si="35"/>
        <v>V</v>
      </c>
      <c r="BD28" s="28" t="str">
        <f t="shared" si="35"/>
        <v>W</v>
      </c>
      <c r="BE28" s="28" t="str">
        <f t="shared" si="35"/>
        <v>X</v>
      </c>
      <c r="BF28" s="28" t="str">
        <f t="shared" si="35"/>
        <v>Y</v>
      </c>
      <c r="BG28" s="28" t="str">
        <f t="shared" si="35"/>
        <v>Z</v>
      </c>
    </row>
    <row r="29" spans="1:59" x14ac:dyDescent="0.35">
      <c r="B29" s="22"/>
      <c r="C29" s="8"/>
      <c r="E29" t="s">
        <v>387</v>
      </c>
      <c r="F29" s="15" t="str">
        <f t="shared" ref="F29:AE29" si="36">IF(F26=1,VLOOKUP(nRotorL_Rev&amp;F28,nRotorRev,4,FALSE),"")</f>
        <v>A</v>
      </c>
      <c r="G29" s="15" t="str">
        <f t="shared" si="36"/>
        <v>D</v>
      </c>
      <c r="H29" s="15" t="str">
        <f t="shared" si="36"/>
        <v>F</v>
      </c>
      <c r="I29" s="15" t="str">
        <f t="shared" si="36"/>
        <v>P</v>
      </c>
      <c r="J29" s="15" t="str">
        <f t="shared" si="36"/>
        <v>V</v>
      </c>
      <c r="K29" s="15" t="str">
        <f t="shared" si="36"/>
        <v>Z</v>
      </c>
      <c r="L29" s="15" t="str">
        <f t="shared" si="36"/>
        <v>B</v>
      </c>
      <c r="M29" s="15" t="str">
        <f t="shared" si="36"/>
        <v>E</v>
      </c>
      <c r="N29" s="15" t="str">
        <f t="shared" si="36"/>
        <v>C</v>
      </c>
      <c r="O29" s="15" t="str">
        <f t="shared" si="36"/>
        <v>K</v>
      </c>
      <c r="P29" s="15" t="str">
        <f t="shared" si="36"/>
        <v>M</v>
      </c>
      <c r="Q29" s="15" t="str">
        <f t="shared" si="36"/>
        <v>T</v>
      </c>
      <c r="R29" s="15" t="str">
        <f t="shared" si="36"/>
        <v>H</v>
      </c>
      <c r="S29" s="15" t="str">
        <f t="shared" si="36"/>
        <v>X</v>
      </c>
      <c r="T29" s="15" t="str">
        <f t="shared" si="36"/>
        <v>S</v>
      </c>
      <c r="U29" s="15" t="str">
        <f t="shared" si="36"/>
        <v>L</v>
      </c>
      <c r="V29" s="15" t="str">
        <f t="shared" si="36"/>
        <v>R</v>
      </c>
      <c r="W29" s="15" t="str">
        <f t="shared" si="36"/>
        <v>I</v>
      </c>
      <c r="X29" s="15" t="str">
        <f t="shared" si="36"/>
        <v>N</v>
      </c>
      <c r="Y29" s="15" t="str">
        <f t="shared" si="36"/>
        <v>Q</v>
      </c>
      <c r="Z29" s="15" t="str">
        <f t="shared" si="36"/>
        <v>O</v>
      </c>
      <c r="AA29" s="15" t="str">
        <f t="shared" si="36"/>
        <v>J</v>
      </c>
      <c r="AB29" s="15" t="str">
        <f t="shared" si="36"/>
        <v>U</v>
      </c>
      <c r="AC29" s="15" t="str">
        <f t="shared" si="36"/>
        <v>W</v>
      </c>
      <c r="AD29" s="15" t="str">
        <f t="shared" si="36"/>
        <v>Y</v>
      </c>
      <c r="AE29" s="15" t="str">
        <f t="shared" si="36"/>
        <v>G</v>
      </c>
      <c r="AF29" s="10"/>
      <c r="AH29" s="28" t="str">
        <f t="shared" ref="AH29:BG29" si="37">IF(LEN(AH30)=2,RIGHT(AH30,1),"")</f>
        <v>W</v>
      </c>
      <c r="AI29" s="28" t="str">
        <f t="shared" si="37"/>
        <v>Z</v>
      </c>
      <c r="AJ29" s="28" t="str">
        <f t="shared" si="37"/>
        <v>B</v>
      </c>
      <c r="AK29" s="28" t="str">
        <f t="shared" si="37"/>
        <v>L</v>
      </c>
      <c r="AL29" s="28" t="str">
        <f t="shared" si="37"/>
        <v>R</v>
      </c>
      <c r="AM29" s="28" t="str">
        <f t="shared" si="37"/>
        <v>V</v>
      </c>
      <c r="AN29" s="28" t="str">
        <f t="shared" si="37"/>
        <v>X</v>
      </c>
      <c r="AO29" s="28" t="str">
        <f t="shared" si="37"/>
        <v>A</v>
      </c>
      <c r="AP29" s="28" t="str">
        <f t="shared" si="37"/>
        <v>Y</v>
      </c>
      <c r="AQ29" s="28" t="str">
        <f t="shared" si="37"/>
        <v>G</v>
      </c>
      <c r="AR29" s="28" t="str">
        <f t="shared" si="37"/>
        <v>I</v>
      </c>
      <c r="AS29" s="28" t="str">
        <f t="shared" si="37"/>
        <v>P</v>
      </c>
      <c r="AT29" s="28" t="str">
        <f t="shared" si="37"/>
        <v>D</v>
      </c>
      <c r="AU29" s="28" t="str">
        <f t="shared" si="37"/>
        <v>T</v>
      </c>
      <c r="AV29" s="28" t="str">
        <f t="shared" si="37"/>
        <v>O</v>
      </c>
      <c r="AW29" s="28" t="str">
        <f t="shared" si="37"/>
        <v>H</v>
      </c>
      <c r="AX29" s="28" t="str">
        <f t="shared" si="37"/>
        <v>N</v>
      </c>
      <c r="AY29" s="28" t="str">
        <f t="shared" si="37"/>
        <v>E</v>
      </c>
      <c r="AZ29" s="28" t="str">
        <f t="shared" si="37"/>
        <v>J</v>
      </c>
      <c r="BA29" s="28" t="str">
        <f t="shared" si="37"/>
        <v>M</v>
      </c>
      <c r="BB29" s="28" t="str">
        <f t="shared" si="37"/>
        <v>K</v>
      </c>
      <c r="BC29" s="28" t="str">
        <f t="shared" si="37"/>
        <v>F</v>
      </c>
      <c r="BD29" s="28" t="str">
        <f t="shared" si="37"/>
        <v>Q</v>
      </c>
      <c r="BE29" s="28" t="str">
        <f t="shared" si="37"/>
        <v>S</v>
      </c>
      <c r="BF29" s="28" t="str">
        <f t="shared" si="37"/>
        <v>U</v>
      </c>
      <c r="BG29" s="28" t="str">
        <f t="shared" si="37"/>
        <v>C</v>
      </c>
    </row>
    <row r="30" spans="1:59" ht="15" thickBot="1" x14ac:dyDescent="0.4">
      <c r="B30" s="23"/>
      <c r="C30" s="16"/>
      <c r="D30" s="17"/>
      <c r="E30" s="17" t="s">
        <v>388</v>
      </c>
      <c r="F30" s="18" t="str">
        <f t="shared" ref="F30:AE30" si="38">IF(F26=1,IF(CODE(F29)-CODE(F28)&lt;0,VLOOKUP((CODE(F29)-CODE(F28)+26)+(CODE(F25)-nCharOffset),nNum2Let,2,FALSE),VLOOKUP((CODE(F29)-CODE(F28))+(CODE(F25)-nCharOffset),nNum2Let,2,FALSE)),"")</f>
        <v>W</v>
      </c>
      <c r="G30" s="18" t="str">
        <f t="shared" si="38"/>
        <v>Z</v>
      </c>
      <c r="H30" s="18" t="str">
        <f t="shared" si="38"/>
        <v>B</v>
      </c>
      <c r="I30" s="18" t="str">
        <f t="shared" si="38"/>
        <v>L</v>
      </c>
      <c r="J30" s="18" t="str">
        <f t="shared" si="38"/>
        <v>R</v>
      </c>
      <c r="K30" s="18" t="str">
        <f t="shared" si="38"/>
        <v>V</v>
      </c>
      <c r="L30" s="18" t="str">
        <f t="shared" si="38"/>
        <v>X</v>
      </c>
      <c r="M30" s="18" t="str">
        <f t="shared" si="38"/>
        <v>A</v>
      </c>
      <c r="N30" s="18" t="str">
        <f t="shared" si="38"/>
        <v>Y</v>
      </c>
      <c r="O30" s="18" t="str">
        <f t="shared" si="38"/>
        <v>G</v>
      </c>
      <c r="P30" s="18" t="str">
        <f t="shared" si="38"/>
        <v>I</v>
      </c>
      <c r="Q30" s="18" t="str">
        <f t="shared" si="38"/>
        <v>P</v>
      </c>
      <c r="R30" s="18" t="str">
        <f t="shared" si="38"/>
        <v>D</v>
      </c>
      <c r="S30" s="18" t="str">
        <f t="shared" si="38"/>
        <v>T</v>
      </c>
      <c r="T30" s="18" t="str">
        <f t="shared" si="38"/>
        <v>O</v>
      </c>
      <c r="U30" s="18" t="str">
        <f t="shared" si="38"/>
        <v>H</v>
      </c>
      <c r="V30" s="18" t="str">
        <f t="shared" si="38"/>
        <v>N</v>
      </c>
      <c r="W30" s="18" t="str">
        <f t="shared" si="38"/>
        <v>E</v>
      </c>
      <c r="X30" s="18" t="str">
        <f t="shared" si="38"/>
        <v>J</v>
      </c>
      <c r="Y30" s="18" t="str">
        <f t="shared" si="38"/>
        <v>M</v>
      </c>
      <c r="Z30" s="18" t="str">
        <f t="shared" si="38"/>
        <v>K</v>
      </c>
      <c r="AA30" s="18" t="str">
        <f t="shared" si="38"/>
        <v>F</v>
      </c>
      <c r="AB30" s="18" t="str">
        <f t="shared" si="38"/>
        <v>Q</v>
      </c>
      <c r="AC30" s="18" t="str">
        <f t="shared" si="38"/>
        <v>S</v>
      </c>
      <c r="AD30" s="18" t="str">
        <f t="shared" si="38"/>
        <v>U</v>
      </c>
      <c r="AE30" s="18" t="str">
        <f t="shared" si="38"/>
        <v>C</v>
      </c>
      <c r="AF30" s="19" t="str">
        <f>CONCATENATE(F30,G30,H30,I30,J30,K30,L30,M30,N30,O30,P30,Q30,R30,S30,T30&amp;U30,V30,W30,X30,Y30,Z30,AA30,AB30,AC30,AD30,AE30)</f>
        <v>WZBLRVXAYGIPDTOHNEJMKFQSUC</v>
      </c>
      <c r="AH30" s="12" t="str">
        <f>F25&amp;F30</f>
        <v>AW</v>
      </c>
      <c r="AI30" s="12" t="str">
        <f t="shared" ref="AI30:BG30" si="39">G25&amp;G30</f>
        <v>BZ</v>
      </c>
      <c r="AJ30" s="12" t="str">
        <f t="shared" si="39"/>
        <v>CB</v>
      </c>
      <c r="AK30" s="12" t="str">
        <f t="shared" si="39"/>
        <v>DL</v>
      </c>
      <c r="AL30" s="12" t="str">
        <f t="shared" si="39"/>
        <v>ER</v>
      </c>
      <c r="AM30" s="12" t="str">
        <f t="shared" si="39"/>
        <v>FV</v>
      </c>
      <c r="AN30" s="12" t="str">
        <f t="shared" si="39"/>
        <v>GX</v>
      </c>
      <c r="AO30" s="12" t="str">
        <f t="shared" si="39"/>
        <v>HA</v>
      </c>
      <c r="AP30" s="12" t="str">
        <f t="shared" si="39"/>
        <v>IY</v>
      </c>
      <c r="AQ30" s="12" t="str">
        <f t="shared" si="39"/>
        <v>JG</v>
      </c>
      <c r="AR30" s="12" t="str">
        <f t="shared" si="39"/>
        <v>KI</v>
      </c>
      <c r="AS30" s="12" t="str">
        <f t="shared" si="39"/>
        <v>LP</v>
      </c>
      <c r="AT30" s="12" t="str">
        <f t="shared" si="39"/>
        <v>MD</v>
      </c>
      <c r="AU30" s="12" t="str">
        <f t="shared" si="39"/>
        <v>NT</v>
      </c>
      <c r="AV30" s="12" t="str">
        <f t="shared" si="39"/>
        <v>OO</v>
      </c>
      <c r="AW30" s="12" t="str">
        <f t="shared" si="39"/>
        <v>PH</v>
      </c>
      <c r="AX30" s="12" t="str">
        <f t="shared" si="39"/>
        <v>QN</v>
      </c>
      <c r="AY30" s="12" t="str">
        <f t="shared" si="39"/>
        <v>RE</v>
      </c>
      <c r="AZ30" s="12" t="str">
        <f t="shared" si="39"/>
        <v>SJ</v>
      </c>
      <c r="BA30" s="12" t="str">
        <f t="shared" si="39"/>
        <v>TM</v>
      </c>
      <c r="BB30" s="12" t="str">
        <f t="shared" si="39"/>
        <v>UK</v>
      </c>
      <c r="BC30" s="12" t="str">
        <f t="shared" si="39"/>
        <v>VF</v>
      </c>
      <c r="BD30" s="12" t="str">
        <f t="shared" si="39"/>
        <v>WQ</v>
      </c>
      <c r="BE30" s="12" t="str">
        <f t="shared" si="39"/>
        <v>XS</v>
      </c>
      <c r="BF30" s="12" t="str">
        <f t="shared" si="39"/>
        <v>YU</v>
      </c>
      <c r="BG30" s="12" t="str">
        <f t="shared" si="39"/>
        <v>ZC</v>
      </c>
    </row>
    <row r="31" spans="1:59" x14ac:dyDescent="0.35">
      <c r="B31" s="21"/>
      <c r="C31" s="4"/>
      <c r="D31" s="5"/>
      <c r="E31" s="5" t="s">
        <v>385</v>
      </c>
      <c r="F31" s="6" t="s">
        <v>0</v>
      </c>
      <c r="G31" s="6" t="s">
        <v>1</v>
      </c>
      <c r="H31" s="6" t="s">
        <v>2</v>
      </c>
      <c r="I31" s="6" t="s">
        <v>3</v>
      </c>
      <c r="J31" s="6" t="s">
        <v>4</v>
      </c>
      <c r="K31" s="6" t="s">
        <v>5</v>
      </c>
      <c r="L31" s="6" t="s">
        <v>6</v>
      </c>
      <c r="M31" s="6" t="s">
        <v>7</v>
      </c>
      <c r="N31" s="6" t="s">
        <v>8</v>
      </c>
      <c r="O31" s="6" t="s">
        <v>9</v>
      </c>
      <c r="P31" s="6" t="s">
        <v>10</v>
      </c>
      <c r="Q31" s="6" t="s">
        <v>11</v>
      </c>
      <c r="R31" s="6" t="s">
        <v>12</v>
      </c>
      <c r="S31" s="6" t="s">
        <v>13</v>
      </c>
      <c r="T31" s="6" t="s">
        <v>14</v>
      </c>
      <c r="U31" s="6" t="s">
        <v>15</v>
      </c>
      <c r="V31" s="6" t="s">
        <v>16</v>
      </c>
      <c r="W31" s="6" t="s">
        <v>17</v>
      </c>
      <c r="X31" s="6" t="s">
        <v>18</v>
      </c>
      <c r="Y31" s="6" t="s">
        <v>19</v>
      </c>
      <c r="Z31" s="6" t="s">
        <v>20</v>
      </c>
      <c r="AA31" s="6" t="s">
        <v>21</v>
      </c>
      <c r="AB31" s="6" t="s">
        <v>22</v>
      </c>
      <c r="AC31" s="6" t="s">
        <v>23</v>
      </c>
      <c r="AD31" s="6" t="s">
        <v>24</v>
      </c>
      <c r="AE31" s="6" t="s">
        <v>25</v>
      </c>
      <c r="AF31" s="7"/>
      <c r="AH31" s="28" t="str">
        <f>HLOOKUP(AH23,$AH28:$BG29,2,FALSE)</f>
        <v>D</v>
      </c>
      <c r="AI31" s="28" t="str">
        <f>HLOOKUP(AI23,$AH28:$BG29,2,FALSE)</f>
        <v>X</v>
      </c>
      <c r="AJ31" s="28" t="str">
        <f t="shared" ref="AJ31:BG31" si="40">HLOOKUP(AJ23,$AH28:$BG29,2,FALSE)</f>
        <v>M</v>
      </c>
      <c r="AK31" s="28" t="str">
        <f t="shared" si="40"/>
        <v>K</v>
      </c>
      <c r="AL31" s="28" t="str">
        <f t="shared" si="40"/>
        <v>U</v>
      </c>
      <c r="AM31" s="28" t="str">
        <f t="shared" si="40"/>
        <v>H</v>
      </c>
      <c r="AN31" s="28" t="str">
        <f t="shared" si="40"/>
        <v>N</v>
      </c>
      <c r="AO31" s="28" t="str">
        <f t="shared" si="40"/>
        <v>T</v>
      </c>
      <c r="AP31" s="28" t="str">
        <f t="shared" si="40"/>
        <v>Y</v>
      </c>
      <c r="AQ31" s="28" t="str">
        <f t="shared" si="40"/>
        <v>G</v>
      </c>
      <c r="AR31" s="28" t="str">
        <f t="shared" si="40"/>
        <v>O</v>
      </c>
      <c r="AS31" s="28" t="str">
        <f t="shared" si="40"/>
        <v>V</v>
      </c>
      <c r="AT31" s="28" t="str">
        <f t="shared" si="40"/>
        <v>I</v>
      </c>
      <c r="AU31" s="28" t="str">
        <f t="shared" si="40"/>
        <v>Q</v>
      </c>
      <c r="AV31" s="28" t="str">
        <f t="shared" si="40"/>
        <v>S</v>
      </c>
      <c r="AW31" s="28" t="str">
        <f t="shared" si="40"/>
        <v>L</v>
      </c>
      <c r="AX31" s="28" t="str">
        <f t="shared" si="40"/>
        <v>J</v>
      </c>
      <c r="AY31" s="28" t="str">
        <f t="shared" si="40"/>
        <v>B</v>
      </c>
      <c r="AZ31" s="28" t="str">
        <f t="shared" si="40"/>
        <v>F</v>
      </c>
      <c r="BA31" s="28" t="str">
        <f t="shared" si="40"/>
        <v>C</v>
      </c>
      <c r="BB31" s="28" t="str">
        <f t="shared" si="40"/>
        <v>P</v>
      </c>
      <c r="BC31" s="28" t="str">
        <f t="shared" si="40"/>
        <v>Z</v>
      </c>
      <c r="BD31" s="28" t="str">
        <f t="shared" si="40"/>
        <v>E</v>
      </c>
      <c r="BE31" s="28" t="str">
        <f t="shared" si="40"/>
        <v>R</v>
      </c>
      <c r="BF31" s="28" t="str">
        <f t="shared" si="40"/>
        <v>A</v>
      </c>
      <c r="BG31" s="28" t="str">
        <f t="shared" si="40"/>
        <v>W</v>
      </c>
    </row>
    <row r="32" spans="1:59" x14ac:dyDescent="0.35">
      <c r="B32" s="22"/>
      <c r="C32" s="8"/>
      <c r="F32" s="1">
        <f>IF(ISERROR(FIND(F31,$AF30)),0,1)</f>
        <v>1</v>
      </c>
      <c r="G32" s="1">
        <f t="shared" ref="G32:AE32" si="41">IF(ISERROR(FIND(G31,$AF30)),0,1)</f>
        <v>1</v>
      </c>
      <c r="H32" s="1">
        <f t="shared" si="41"/>
        <v>1</v>
      </c>
      <c r="I32" s="1">
        <f t="shared" si="41"/>
        <v>1</v>
      </c>
      <c r="J32" s="1">
        <f t="shared" si="41"/>
        <v>1</v>
      </c>
      <c r="K32" s="1">
        <f t="shared" si="41"/>
        <v>1</v>
      </c>
      <c r="L32" s="1">
        <f t="shared" si="41"/>
        <v>1</v>
      </c>
      <c r="M32" s="1">
        <f t="shared" si="41"/>
        <v>1</v>
      </c>
      <c r="N32" s="1">
        <f t="shared" si="41"/>
        <v>1</v>
      </c>
      <c r="O32" s="1">
        <f t="shared" si="41"/>
        <v>1</v>
      </c>
      <c r="P32" s="1">
        <f t="shared" si="41"/>
        <v>1</v>
      </c>
      <c r="Q32" s="1">
        <f t="shared" si="41"/>
        <v>1</v>
      </c>
      <c r="R32" s="1">
        <f t="shared" si="41"/>
        <v>1</v>
      </c>
      <c r="S32" s="1">
        <f t="shared" si="41"/>
        <v>1</v>
      </c>
      <c r="T32" s="1">
        <f t="shared" si="41"/>
        <v>1</v>
      </c>
      <c r="U32" s="1">
        <f t="shared" si="41"/>
        <v>1</v>
      </c>
      <c r="V32" s="1">
        <f t="shared" si="41"/>
        <v>1</v>
      </c>
      <c r="W32" s="1">
        <f t="shared" si="41"/>
        <v>1</v>
      </c>
      <c r="X32" s="1">
        <f t="shared" si="41"/>
        <v>1</v>
      </c>
      <c r="Y32" s="1">
        <f t="shared" si="41"/>
        <v>1</v>
      </c>
      <c r="Z32" s="1">
        <f t="shared" si="41"/>
        <v>1</v>
      </c>
      <c r="AA32" s="1">
        <f t="shared" si="41"/>
        <v>1</v>
      </c>
      <c r="AB32" s="1">
        <f t="shared" si="41"/>
        <v>1</v>
      </c>
      <c r="AC32" s="1">
        <f t="shared" si="41"/>
        <v>1</v>
      </c>
      <c r="AD32" s="1">
        <f t="shared" si="41"/>
        <v>1</v>
      </c>
      <c r="AE32" s="1">
        <f t="shared" si="41"/>
        <v>1</v>
      </c>
      <c r="AF32" s="10"/>
    </row>
    <row r="33" spans="2:59" x14ac:dyDescent="0.35">
      <c r="B33" s="22" t="s">
        <v>383</v>
      </c>
      <c r="C33" s="26" t="str">
        <f>"R"&amp;C12</f>
        <v>R4</v>
      </c>
      <c r="D33" s="11">
        <f>D12</f>
        <v>142</v>
      </c>
      <c r="E33" s="11">
        <f>E12</f>
        <v>12</v>
      </c>
      <c r="F33" s="12" t="str">
        <f>F12</f>
        <v>L</v>
      </c>
      <c r="G33" s="13" t="str">
        <f t="shared" ref="G33:AE33" si="42">VLOOKUP(F33,nNextLetter,2,FALSE)</f>
        <v>M</v>
      </c>
      <c r="H33" s="13" t="str">
        <f t="shared" si="42"/>
        <v>N</v>
      </c>
      <c r="I33" s="13" t="str">
        <f t="shared" si="42"/>
        <v>O</v>
      </c>
      <c r="J33" s="13" t="str">
        <f t="shared" si="42"/>
        <v>P</v>
      </c>
      <c r="K33" s="13" t="str">
        <f t="shared" si="42"/>
        <v>Q</v>
      </c>
      <c r="L33" s="13" t="str">
        <f t="shared" si="42"/>
        <v>R</v>
      </c>
      <c r="M33" s="13" t="str">
        <f t="shared" si="42"/>
        <v>S</v>
      </c>
      <c r="N33" s="13" t="str">
        <f t="shared" si="42"/>
        <v>T</v>
      </c>
      <c r="O33" s="13" t="str">
        <f t="shared" si="42"/>
        <v>U</v>
      </c>
      <c r="P33" s="13" t="str">
        <f t="shared" si="42"/>
        <v>V</v>
      </c>
      <c r="Q33" s="13" t="str">
        <f t="shared" si="42"/>
        <v>W</v>
      </c>
      <c r="R33" s="13" t="str">
        <f t="shared" si="42"/>
        <v>X</v>
      </c>
      <c r="S33" s="13" t="str">
        <f t="shared" si="42"/>
        <v>Y</v>
      </c>
      <c r="T33" s="13" t="str">
        <f t="shared" si="42"/>
        <v>Z</v>
      </c>
      <c r="U33" s="13" t="str">
        <f t="shared" si="42"/>
        <v>A</v>
      </c>
      <c r="V33" s="13" t="str">
        <f t="shared" si="42"/>
        <v>B</v>
      </c>
      <c r="W33" s="13" t="str">
        <f t="shared" si="42"/>
        <v>C</v>
      </c>
      <c r="X33" s="13" t="str">
        <f t="shared" si="42"/>
        <v>D</v>
      </c>
      <c r="Y33" s="13" t="str">
        <f t="shared" si="42"/>
        <v>E</v>
      </c>
      <c r="Z33" s="13" t="str">
        <f t="shared" si="42"/>
        <v>F</v>
      </c>
      <c r="AA33" s="13" t="str">
        <f t="shared" si="42"/>
        <v>G</v>
      </c>
      <c r="AB33" s="13" t="str">
        <f t="shared" si="42"/>
        <v>H</v>
      </c>
      <c r="AC33" s="13" t="str">
        <f t="shared" si="42"/>
        <v>I</v>
      </c>
      <c r="AD33" s="13" t="str">
        <f t="shared" si="42"/>
        <v>J</v>
      </c>
      <c r="AE33" s="13" t="str">
        <f t="shared" si="42"/>
        <v>K</v>
      </c>
      <c r="AF33" s="10"/>
    </row>
    <row r="34" spans="2:59" x14ac:dyDescent="0.35">
      <c r="B34" s="22"/>
      <c r="C34" s="8"/>
      <c r="E34" t="s">
        <v>386</v>
      </c>
      <c r="F34" s="14" t="str">
        <f t="shared" ref="F34:AE34" si="43">IF(F32=1,VLOOKUP(nCurPosM+nRingOffsetM+(CODE(F31)-nCharOffset)-1,nNum2Let,2,FALSE),"")</f>
        <v>L</v>
      </c>
      <c r="G34" s="14" t="str">
        <f t="shared" si="43"/>
        <v>M</v>
      </c>
      <c r="H34" s="14" t="str">
        <f t="shared" si="43"/>
        <v>N</v>
      </c>
      <c r="I34" s="14" t="str">
        <f t="shared" si="43"/>
        <v>O</v>
      </c>
      <c r="J34" s="14" t="str">
        <f t="shared" si="43"/>
        <v>P</v>
      </c>
      <c r="K34" s="14" t="str">
        <f t="shared" si="43"/>
        <v>Q</v>
      </c>
      <c r="L34" s="14" t="str">
        <f t="shared" si="43"/>
        <v>R</v>
      </c>
      <c r="M34" s="14" t="str">
        <f t="shared" si="43"/>
        <v>S</v>
      </c>
      <c r="N34" s="14" t="str">
        <f t="shared" si="43"/>
        <v>T</v>
      </c>
      <c r="O34" s="14" t="str">
        <f t="shared" si="43"/>
        <v>U</v>
      </c>
      <c r="P34" s="14" t="str">
        <f t="shared" si="43"/>
        <v>V</v>
      </c>
      <c r="Q34" s="14" t="str">
        <f t="shared" si="43"/>
        <v>W</v>
      </c>
      <c r="R34" s="14" t="str">
        <f t="shared" si="43"/>
        <v>X</v>
      </c>
      <c r="S34" s="14" t="str">
        <f t="shared" si="43"/>
        <v>Y</v>
      </c>
      <c r="T34" s="14" t="str">
        <f t="shared" si="43"/>
        <v>Z</v>
      </c>
      <c r="U34" s="14" t="str">
        <f t="shared" si="43"/>
        <v>A</v>
      </c>
      <c r="V34" s="14" t="str">
        <f t="shared" si="43"/>
        <v>B</v>
      </c>
      <c r="W34" s="14" t="str">
        <f t="shared" si="43"/>
        <v>C</v>
      </c>
      <c r="X34" s="14" t="str">
        <f t="shared" si="43"/>
        <v>D</v>
      </c>
      <c r="Y34" s="14" t="str">
        <f t="shared" si="43"/>
        <v>E</v>
      </c>
      <c r="Z34" s="14" t="str">
        <f t="shared" si="43"/>
        <v>F</v>
      </c>
      <c r="AA34" s="14" t="str">
        <f t="shared" si="43"/>
        <v>G</v>
      </c>
      <c r="AB34" s="14" t="str">
        <f t="shared" si="43"/>
        <v>H</v>
      </c>
      <c r="AC34" s="14" t="str">
        <f t="shared" si="43"/>
        <v>I</v>
      </c>
      <c r="AD34" s="14" t="str">
        <f t="shared" si="43"/>
        <v>J</v>
      </c>
      <c r="AE34" s="14" t="str">
        <f t="shared" si="43"/>
        <v>K</v>
      </c>
      <c r="AF34" s="10"/>
      <c r="AH34" s="28" t="str">
        <f t="shared" ref="AH34:BG34" si="44">IF(LEN(AH36)=2,LEFT(AH36,1),"")</f>
        <v>A</v>
      </c>
      <c r="AI34" s="28" t="str">
        <f t="shared" si="44"/>
        <v>B</v>
      </c>
      <c r="AJ34" s="28" t="str">
        <f t="shared" si="44"/>
        <v>C</v>
      </c>
      <c r="AK34" s="28" t="str">
        <f t="shared" si="44"/>
        <v>D</v>
      </c>
      <c r="AL34" s="28" t="str">
        <f t="shared" si="44"/>
        <v>E</v>
      </c>
      <c r="AM34" s="28" t="str">
        <f t="shared" si="44"/>
        <v>F</v>
      </c>
      <c r="AN34" s="28" t="str">
        <f t="shared" si="44"/>
        <v>G</v>
      </c>
      <c r="AO34" s="28" t="str">
        <f t="shared" si="44"/>
        <v>H</v>
      </c>
      <c r="AP34" s="28" t="str">
        <f t="shared" si="44"/>
        <v>I</v>
      </c>
      <c r="AQ34" s="28" t="str">
        <f t="shared" si="44"/>
        <v>J</v>
      </c>
      <c r="AR34" s="28" t="str">
        <f t="shared" si="44"/>
        <v>K</v>
      </c>
      <c r="AS34" s="28" t="str">
        <f t="shared" si="44"/>
        <v>L</v>
      </c>
      <c r="AT34" s="28" t="str">
        <f t="shared" si="44"/>
        <v>M</v>
      </c>
      <c r="AU34" s="28" t="str">
        <f t="shared" si="44"/>
        <v>N</v>
      </c>
      <c r="AV34" s="28" t="str">
        <f t="shared" si="44"/>
        <v>O</v>
      </c>
      <c r="AW34" s="28" t="str">
        <f t="shared" si="44"/>
        <v>P</v>
      </c>
      <c r="AX34" s="28" t="str">
        <f t="shared" si="44"/>
        <v>Q</v>
      </c>
      <c r="AY34" s="28" t="str">
        <f t="shared" si="44"/>
        <v>R</v>
      </c>
      <c r="AZ34" s="28" t="str">
        <f t="shared" si="44"/>
        <v>S</v>
      </c>
      <c r="BA34" s="28" t="str">
        <f t="shared" si="44"/>
        <v>T</v>
      </c>
      <c r="BB34" s="28" t="str">
        <f t="shared" si="44"/>
        <v>U</v>
      </c>
      <c r="BC34" s="28" t="str">
        <f t="shared" si="44"/>
        <v>V</v>
      </c>
      <c r="BD34" s="28" t="str">
        <f t="shared" si="44"/>
        <v>W</v>
      </c>
      <c r="BE34" s="28" t="str">
        <f t="shared" si="44"/>
        <v>X</v>
      </c>
      <c r="BF34" s="28" t="str">
        <f t="shared" si="44"/>
        <v>Y</v>
      </c>
      <c r="BG34" s="28" t="str">
        <f t="shared" si="44"/>
        <v>Z</v>
      </c>
    </row>
    <row r="35" spans="2:59" x14ac:dyDescent="0.35">
      <c r="B35" s="22"/>
      <c r="C35" s="8"/>
      <c r="E35" t="s">
        <v>387</v>
      </c>
      <c r="F35" s="15" t="str">
        <f t="shared" ref="F35:AE35" si="45">IF(F32=1,VLOOKUP(nRotorM_Rev&amp;F34,nRotorRev,4,FALSE),"")</f>
        <v>P</v>
      </c>
      <c r="G35" s="15" t="str">
        <f t="shared" si="45"/>
        <v>X</v>
      </c>
      <c r="H35" s="15" t="str">
        <f t="shared" si="45"/>
        <v>Q</v>
      </c>
      <c r="I35" s="15" t="str">
        <f t="shared" si="45"/>
        <v>C</v>
      </c>
      <c r="J35" s="15" t="str">
        <f t="shared" si="45"/>
        <v>E</v>
      </c>
      <c r="K35" s="15" t="str">
        <f t="shared" si="45"/>
        <v>J</v>
      </c>
      <c r="L35" s="15" t="str">
        <f t="shared" si="45"/>
        <v>M</v>
      </c>
      <c r="M35" s="15" t="str">
        <f t="shared" si="45"/>
        <v>B</v>
      </c>
      <c r="N35" s="15" t="str">
        <f t="shared" si="45"/>
        <v>S</v>
      </c>
      <c r="O35" s="15" t="str">
        <f t="shared" si="45"/>
        <v>K</v>
      </c>
      <c r="P35" s="15" t="str">
        <f t="shared" si="45"/>
        <v>D</v>
      </c>
      <c r="Q35" s="15" t="str">
        <f t="shared" si="45"/>
        <v>Y</v>
      </c>
      <c r="R35" s="15" t="str">
        <f t="shared" si="45"/>
        <v>O</v>
      </c>
      <c r="S35" s="15" t="str">
        <f t="shared" si="45"/>
        <v>I</v>
      </c>
      <c r="T35" s="15" t="str">
        <f t="shared" si="45"/>
        <v>F</v>
      </c>
      <c r="U35" s="15" t="str">
        <f t="shared" si="45"/>
        <v>H</v>
      </c>
      <c r="V35" s="15" t="str">
        <f t="shared" si="45"/>
        <v>Z</v>
      </c>
      <c r="W35" s="15" t="str">
        <f t="shared" si="45"/>
        <v>W</v>
      </c>
      <c r="X35" s="15" t="str">
        <f t="shared" si="45"/>
        <v>V</v>
      </c>
      <c r="Y35" s="15" t="str">
        <f t="shared" si="45"/>
        <v>A</v>
      </c>
      <c r="Z35" s="15" t="str">
        <f t="shared" si="45"/>
        <v>R</v>
      </c>
      <c r="AA35" s="15" t="str">
        <f t="shared" si="45"/>
        <v>T</v>
      </c>
      <c r="AB35" s="15" t="str">
        <f t="shared" si="45"/>
        <v>N</v>
      </c>
      <c r="AC35" s="15" t="str">
        <f t="shared" si="45"/>
        <v>L</v>
      </c>
      <c r="AD35" s="15" t="str">
        <f t="shared" si="45"/>
        <v>G</v>
      </c>
      <c r="AE35" s="15" t="str">
        <f t="shared" si="45"/>
        <v>U</v>
      </c>
      <c r="AF35" s="10"/>
      <c r="AH35" s="28" t="str">
        <f t="shared" ref="AH35:BG35" si="46">IF(LEN(AH36)=2,RIGHT(AH36,1),"")</f>
        <v>E</v>
      </c>
      <c r="AI35" s="28" t="str">
        <f t="shared" si="46"/>
        <v>M</v>
      </c>
      <c r="AJ35" s="28" t="str">
        <f t="shared" si="46"/>
        <v>F</v>
      </c>
      <c r="AK35" s="28" t="str">
        <f t="shared" si="46"/>
        <v>R</v>
      </c>
      <c r="AL35" s="28" t="str">
        <f t="shared" si="46"/>
        <v>T</v>
      </c>
      <c r="AM35" s="28" t="str">
        <f t="shared" si="46"/>
        <v>Y</v>
      </c>
      <c r="AN35" s="28" t="str">
        <f t="shared" si="46"/>
        <v>B</v>
      </c>
      <c r="AO35" s="28" t="str">
        <f t="shared" si="46"/>
        <v>Q</v>
      </c>
      <c r="AP35" s="28" t="str">
        <f t="shared" si="46"/>
        <v>H</v>
      </c>
      <c r="AQ35" s="28" t="str">
        <f t="shared" si="46"/>
        <v>Z</v>
      </c>
      <c r="AR35" s="28" t="str">
        <f t="shared" si="46"/>
        <v>S</v>
      </c>
      <c r="AS35" s="28" t="str">
        <f t="shared" si="46"/>
        <v>N</v>
      </c>
      <c r="AT35" s="28" t="str">
        <f t="shared" si="46"/>
        <v>D</v>
      </c>
      <c r="AU35" s="28" t="str">
        <f t="shared" si="46"/>
        <v>X</v>
      </c>
      <c r="AV35" s="28" t="str">
        <f t="shared" si="46"/>
        <v>U</v>
      </c>
      <c r="AW35" s="28" t="str">
        <f t="shared" si="46"/>
        <v>W</v>
      </c>
      <c r="AX35" s="28" t="str">
        <f t="shared" si="46"/>
        <v>O</v>
      </c>
      <c r="AY35" s="28" t="str">
        <f t="shared" si="46"/>
        <v>L</v>
      </c>
      <c r="AZ35" s="28" t="str">
        <f t="shared" si="46"/>
        <v>K</v>
      </c>
      <c r="BA35" s="28" t="str">
        <f t="shared" si="46"/>
        <v>P</v>
      </c>
      <c r="BB35" s="28" t="str">
        <f t="shared" si="46"/>
        <v>G</v>
      </c>
      <c r="BC35" s="28" t="str">
        <f t="shared" si="46"/>
        <v>I</v>
      </c>
      <c r="BD35" s="28" t="str">
        <f t="shared" si="46"/>
        <v>C</v>
      </c>
      <c r="BE35" s="28" t="str">
        <f t="shared" si="46"/>
        <v>A</v>
      </c>
      <c r="BF35" s="28" t="str">
        <f t="shared" si="46"/>
        <v>V</v>
      </c>
      <c r="BG35" s="28" t="str">
        <f t="shared" si="46"/>
        <v>J</v>
      </c>
    </row>
    <row r="36" spans="2:59" ht="15" thickBot="1" x14ac:dyDescent="0.4">
      <c r="B36" s="23"/>
      <c r="C36" s="16"/>
      <c r="D36" s="17"/>
      <c r="E36" s="17" t="s">
        <v>388</v>
      </c>
      <c r="F36" s="18" t="str">
        <f t="shared" ref="F36:AE36" si="47">IF(F32=1,IF(CODE(F35)-CODE(F34)&lt;0,VLOOKUP((CODE(F35)-CODE(F34)+26)+(CODE(F31)-nCharOffset),nNum2Let,2,FALSE),VLOOKUP((CODE(F35)-CODE(F34))+(CODE(F31)-nCharOffset),nNum2Let,2,FALSE)),"")</f>
        <v>E</v>
      </c>
      <c r="G36" s="18" t="str">
        <f t="shared" si="47"/>
        <v>M</v>
      </c>
      <c r="H36" s="18" t="str">
        <f t="shared" si="47"/>
        <v>F</v>
      </c>
      <c r="I36" s="18" t="str">
        <f t="shared" si="47"/>
        <v>R</v>
      </c>
      <c r="J36" s="18" t="str">
        <f t="shared" si="47"/>
        <v>T</v>
      </c>
      <c r="K36" s="18" t="str">
        <f t="shared" si="47"/>
        <v>Y</v>
      </c>
      <c r="L36" s="18" t="str">
        <f t="shared" si="47"/>
        <v>B</v>
      </c>
      <c r="M36" s="18" t="str">
        <f t="shared" si="47"/>
        <v>Q</v>
      </c>
      <c r="N36" s="18" t="str">
        <f t="shared" si="47"/>
        <v>H</v>
      </c>
      <c r="O36" s="18" t="str">
        <f t="shared" si="47"/>
        <v>Z</v>
      </c>
      <c r="P36" s="18" t="str">
        <f t="shared" si="47"/>
        <v>S</v>
      </c>
      <c r="Q36" s="18" t="str">
        <f t="shared" si="47"/>
        <v>N</v>
      </c>
      <c r="R36" s="18" t="str">
        <f t="shared" si="47"/>
        <v>D</v>
      </c>
      <c r="S36" s="18" t="str">
        <f t="shared" si="47"/>
        <v>X</v>
      </c>
      <c r="T36" s="18" t="str">
        <f t="shared" si="47"/>
        <v>U</v>
      </c>
      <c r="U36" s="18" t="str">
        <f t="shared" si="47"/>
        <v>W</v>
      </c>
      <c r="V36" s="18" t="str">
        <f t="shared" si="47"/>
        <v>O</v>
      </c>
      <c r="W36" s="18" t="str">
        <f t="shared" si="47"/>
        <v>L</v>
      </c>
      <c r="X36" s="18" t="str">
        <f t="shared" si="47"/>
        <v>K</v>
      </c>
      <c r="Y36" s="18" t="str">
        <f t="shared" si="47"/>
        <v>P</v>
      </c>
      <c r="Z36" s="18" t="str">
        <f t="shared" si="47"/>
        <v>G</v>
      </c>
      <c r="AA36" s="18" t="str">
        <f t="shared" si="47"/>
        <v>I</v>
      </c>
      <c r="AB36" s="18" t="str">
        <f t="shared" si="47"/>
        <v>C</v>
      </c>
      <c r="AC36" s="18" t="str">
        <f t="shared" si="47"/>
        <v>A</v>
      </c>
      <c r="AD36" s="18" t="str">
        <f t="shared" si="47"/>
        <v>V</v>
      </c>
      <c r="AE36" s="18" t="str">
        <f t="shared" si="47"/>
        <v>J</v>
      </c>
      <c r="AF36" s="19" t="str">
        <f>CONCATENATE(F36,G36,H36,I36,J36,K36,L36,M36,N36,O36,P36,Q36,R36,S36,T36&amp;U36,V36,W36,X36,Y36,Z36,AA36,AB36,AC36,AD36,AE36)</f>
        <v>EMFRTYBQHZSNDXUWOLKPGICAVJ</v>
      </c>
      <c r="AH36" s="12" t="str">
        <f>F31&amp;F36</f>
        <v>AE</v>
      </c>
      <c r="AI36" s="12" t="str">
        <f t="shared" ref="AI36:BG36" si="48">G31&amp;G36</f>
        <v>BM</v>
      </c>
      <c r="AJ36" s="12" t="str">
        <f t="shared" si="48"/>
        <v>CF</v>
      </c>
      <c r="AK36" s="12" t="str">
        <f t="shared" si="48"/>
        <v>DR</v>
      </c>
      <c r="AL36" s="12" t="str">
        <f t="shared" si="48"/>
        <v>ET</v>
      </c>
      <c r="AM36" s="12" t="str">
        <f t="shared" si="48"/>
        <v>FY</v>
      </c>
      <c r="AN36" s="12" t="str">
        <f t="shared" si="48"/>
        <v>GB</v>
      </c>
      <c r="AO36" s="12" t="str">
        <f t="shared" si="48"/>
        <v>HQ</v>
      </c>
      <c r="AP36" s="12" t="str">
        <f t="shared" si="48"/>
        <v>IH</v>
      </c>
      <c r="AQ36" s="12" t="str">
        <f t="shared" si="48"/>
        <v>JZ</v>
      </c>
      <c r="AR36" s="12" t="str">
        <f t="shared" si="48"/>
        <v>KS</v>
      </c>
      <c r="AS36" s="12" t="str">
        <f t="shared" si="48"/>
        <v>LN</v>
      </c>
      <c r="AT36" s="12" t="str">
        <f t="shared" si="48"/>
        <v>MD</v>
      </c>
      <c r="AU36" s="12" t="str">
        <f t="shared" si="48"/>
        <v>NX</v>
      </c>
      <c r="AV36" s="12" t="str">
        <f t="shared" si="48"/>
        <v>OU</v>
      </c>
      <c r="AW36" s="12" t="str">
        <f t="shared" si="48"/>
        <v>PW</v>
      </c>
      <c r="AX36" s="12" t="str">
        <f t="shared" si="48"/>
        <v>QO</v>
      </c>
      <c r="AY36" s="12" t="str">
        <f t="shared" si="48"/>
        <v>RL</v>
      </c>
      <c r="AZ36" s="12" t="str">
        <f t="shared" si="48"/>
        <v>SK</v>
      </c>
      <c r="BA36" s="12" t="str">
        <f t="shared" si="48"/>
        <v>TP</v>
      </c>
      <c r="BB36" s="12" t="str">
        <f t="shared" si="48"/>
        <v>UG</v>
      </c>
      <c r="BC36" s="12" t="str">
        <f t="shared" si="48"/>
        <v>VI</v>
      </c>
      <c r="BD36" s="12" t="str">
        <f t="shared" si="48"/>
        <v>WC</v>
      </c>
      <c r="BE36" s="12" t="str">
        <f t="shared" si="48"/>
        <v>XA</v>
      </c>
      <c r="BF36" s="12" t="str">
        <f t="shared" si="48"/>
        <v>YV</v>
      </c>
      <c r="BG36" s="12" t="str">
        <f t="shared" si="48"/>
        <v>ZJ</v>
      </c>
    </row>
    <row r="37" spans="2:59" x14ac:dyDescent="0.35">
      <c r="B37" s="21"/>
      <c r="C37" s="4"/>
      <c r="D37" s="5"/>
      <c r="E37" s="5" t="s">
        <v>385</v>
      </c>
      <c r="F37" s="6" t="s">
        <v>0</v>
      </c>
      <c r="G37" s="6" t="s">
        <v>1</v>
      </c>
      <c r="H37" s="6" t="s">
        <v>2</v>
      </c>
      <c r="I37" s="6" t="s">
        <v>3</v>
      </c>
      <c r="J37" s="6" t="s">
        <v>4</v>
      </c>
      <c r="K37" s="6" t="s">
        <v>5</v>
      </c>
      <c r="L37" s="6" t="s">
        <v>6</v>
      </c>
      <c r="M37" s="6" t="s">
        <v>7</v>
      </c>
      <c r="N37" s="6" t="s">
        <v>8</v>
      </c>
      <c r="O37" s="6" t="s">
        <v>9</v>
      </c>
      <c r="P37" s="6" t="s">
        <v>10</v>
      </c>
      <c r="Q37" s="6" t="s">
        <v>11</v>
      </c>
      <c r="R37" s="6" t="s">
        <v>12</v>
      </c>
      <c r="S37" s="6" t="s">
        <v>13</v>
      </c>
      <c r="T37" s="6" t="s">
        <v>14</v>
      </c>
      <c r="U37" s="6" t="s">
        <v>15</v>
      </c>
      <c r="V37" s="6" t="s">
        <v>16</v>
      </c>
      <c r="W37" s="6" t="s">
        <v>17</v>
      </c>
      <c r="X37" s="6" t="s">
        <v>18</v>
      </c>
      <c r="Y37" s="6" t="s">
        <v>19</v>
      </c>
      <c r="Z37" s="6" t="s">
        <v>20</v>
      </c>
      <c r="AA37" s="6" t="s">
        <v>21</v>
      </c>
      <c r="AB37" s="6" t="s">
        <v>22</v>
      </c>
      <c r="AC37" s="6" t="s">
        <v>23</v>
      </c>
      <c r="AD37" s="6" t="s">
        <v>24</v>
      </c>
      <c r="AE37" s="6" t="s">
        <v>25</v>
      </c>
      <c r="AF37" s="20"/>
      <c r="AH37" s="28" t="str">
        <f>HLOOKUP(AH31,$AH34:$BG35,2,FALSE)</f>
        <v>R</v>
      </c>
      <c r="AI37" s="28" t="str">
        <f>HLOOKUP(AI31,$AH34:$BG35,2,FALSE)</f>
        <v>A</v>
      </c>
      <c r="AJ37" s="28" t="str">
        <f>HLOOKUP(AJ31,$AH34:$BG35,2,FALSE)</f>
        <v>D</v>
      </c>
      <c r="AK37" s="28" t="str">
        <f t="shared" ref="AK37:BG37" si="49">HLOOKUP(AK31,$AH34:$BG35,2,FALSE)</f>
        <v>S</v>
      </c>
      <c r="AL37" s="28" t="str">
        <f t="shared" si="49"/>
        <v>G</v>
      </c>
      <c r="AM37" s="28" t="str">
        <f t="shared" si="49"/>
        <v>Q</v>
      </c>
      <c r="AN37" s="28" t="str">
        <f t="shared" si="49"/>
        <v>X</v>
      </c>
      <c r="AO37" s="28" t="str">
        <f t="shared" si="49"/>
        <v>P</v>
      </c>
      <c r="AP37" s="28" t="str">
        <f t="shared" si="49"/>
        <v>V</v>
      </c>
      <c r="AQ37" s="28" t="str">
        <f t="shared" si="49"/>
        <v>B</v>
      </c>
      <c r="AR37" s="28" t="str">
        <f t="shared" si="49"/>
        <v>U</v>
      </c>
      <c r="AS37" s="28" t="str">
        <f t="shared" si="49"/>
        <v>I</v>
      </c>
      <c r="AT37" s="28" t="str">
        <f t="shared" si="49"/>
        <v>H</v>
      </c>
      <c r="AU37" s="28" t="str">
        <f t="shared" si="49"/>
        <v>O</v>
      </c>
      <c r="AV37" s="28" t="str">
        <f t="shared" si="49"/>
        <v>K</v>
      </c>
      <c r="AW37" s="28" t="str">
        <f t="shared" si="49"/>
        <v>N</v>
      </c>
      <c r="AX37" s="28" t="str">
        <f t="shared" si="49"/>
        <v>Z</v>
      </c>
      <c r="AY37" s="28" t="str">
        <f t="shared" si="49"/>
        <v>M</v>
      </c>
      <c r="AZ37" s="28" t="str">
        <f t="shared" si="49"/>
        <v>Y</v>
      </c>
      <c r="BA37" s="28" t="str">
        <f t="shared" si="49"/>
        <v>F</v>
      </c>
      <c r="BB37" s="28" t="str">
        <f t="shared" si="49"/>
        <v>W</v>
      </c>
      <c r="BC37" s="28" t="str">
        <f t="shared" si="49"/>
        <v>J</v>
      </c>
      <c r="BD37" s="28" t="str">
        <f t="shared" si="49"/>
        <v>T</v>
      </c>
      <c r="BE37" s="28" t="str">
        <f t="shared" si="49"/>
        <v>L</v>
      </c>
      <c r="BF37" s="28" t="str">
        <f t="shared" si="49"/>
        <v>E</v>
      </c>
      <c r="BG37" s="28" t="str">
        <f t="shared" si="49"/>
        <v>C</v>
      </c>
    </row>
    <row r="38" spans="2:59" x14ac:dyDescent="0.35">
      <c r="B38" s="22"/>
      <c r="C38" s="8"/>
      <c r="F38" s="1">
        <f t="shared" ref="F38:AE38" si="50">IF(ISERROR(FIND(F37,$AF36)),0,1)</f>
        <v>1</v>
      </c>
      <c r="G38" s="1">
        <f t="shared" si="50"/>
        <v>1</v>
      </c>
      <c r="H38" s="1">
        <f t="shared" si="50"/>
        <v>1</v>
      </c>
      <c r="I38" s="1">
        <f t="shared" si="50"/>
        <v>1</v>
      </c>
      <c r="J38" s="1">
        <f t="shared" si="50"/>
        <v>1</v>
      </c>
      <c r="K38" s="1">
        <f t="shared" si="50"/>
        <v>1</v>
      </c>
      <c r="L38" s="1">
        <f t="shared" si="50"/>
        <v>1</v>
      </c>
      <c r="M38" s="1">
        <f t="shared" si="50"/>
        <v>1</v>
      </c>
      <c r="N38" s="1">
        <f t="shared" si="50"/>
        <v>1</v>
      </c>
      <c r="O38" s="1">
        <f t="shared" si="50"/>
        <v>1</v>
      </c>
      <c r="P38" s="1">
        <f t="shared" si="50"/>
        <v>1</v>
      </c>
      <c r="Q38" s="1">
        <f t="shared" si="50"/>
        <v>1</v>
      </c>
      <c r="R38" s="1">
        <f t="shared" si="50"/>
        <v>1</v>
      </c>
      <c r="S38" s="1">
        <f t="shared" si="50"/>
        <v>1</v>
      </c>
      <c r="T38" s="1">
        <f t="shared" si="50"/>
        <v>1</v>
      </c>
      <c r="U38" s="1">
        <f t="shared" si="50"/>
        <v>1</v>
      </c>
      <c r="V38" s="1">
        <f t="shared" si="50"/>
        <v>1</v>
      </c>
      <c r="W38" s="1">
        <f t="shared" si="50"/>
        <v>1</v>
      </c>
      <c r="X38" s="1">
        <f t="shared" si="50"/>
        <v>1</v>
      </c>
      <c r="Y38" s="1">
        <f t="shared" si="50"/>
        <v>1</v>
      </c>
      <c r="Z38" s="1">
        <f t="shared" si="50"/>
        <v>1</v>
      </c>
      <c r="AA38" s="1">
        <f t="shared" si="50"/>
        <v>1</v>
      </c>
      <c r="AB38" s="1">
        <f t="shared" si="50"/>
        <v>1</v>
      </c>
      <c r="AC38" s="1">
        <f t="shared" si="50"/>
        <v>1</v>
      </c>
      <c r="AD38" s="1">
        <f t="shared" si="50"/>
        <v>1</v>
      </c>
      <c r="AE38" s="1">
        <f t="shared" si="50"/>
        <v>1</v>
      </c>
      <c r="AF38" s="10"/>
    </row>
    <row r="39" spans="2:59" x14ac:dyDescent="0.35">
      <c r="B39" s="22" t="s">
        <v>384</v>
      </c>
      <c r="C39" s="26" t="str">
        <f>"R"&amp;C6</f>
        <v>R2</v>
      </c>
      <c r="D39" s="11">
        <f>D6</f>
        <v>3712</v>
      </c>
      <c r="E39" s="11">
        <f>E6</f>
        <v>20</v>
      </c>
      <c r="F39" s="12" t="str">
        <f>F6</f>
        <v>T</v>
      </c>
      <c r="G39" s="13" t="str">
        <f t="shared" ref="G39:AE39" si="51">VLOOKUP(F39,nNextLetter,2,FALSE)</f>
        <v>U</v>
      </c>
      <c r="H39" s="13" t="str">
        <f t="shared" si="51"/>
        <v>V</v>
      </c>
      <c r="I39" s="13" t="str">
        <f t="shared" si="51"/>
        <v>W</v>
      </c>
      <c r="J39" s="13" t="str">
        <f t="shared" si="51"/>
        <v>X</v>
      </c>
      <c r="K39" s="13" t="str">
        <f t="shared" si="51"/>
        <v>Y</v>
      </c>
      <c r="L39" s="13" t="str">
        <f t="shared" si="51"/>
        <v>Z</v>
      </c>
      <c r="M39" s="13" t="str">
        <f t="shared" si="51"/>
        <v>A</v>
      </c>
      <c r="N39" s="13" t="str">
        <f t="shared" si="51"/>
        <v>B</v>
      </c>
      <c r="O39" s="13" t="str">
        <f t="shared" si="51"/>
        <v>C</v>
      </c>
      <c r="P39" s="13" t="str">
        <f t="shared" si="51"/>
        <v>D</v>
      </c>
      <c r="Q39" s="13" t="str">
        <f t="shared" si="51"/>
        <v>E</v>
      </c>
      <c r="R39" s="13" t="str">
        <f t="shared" si="51"/>
        <v>F</v>
      </c>
      <c r="S39" s="13" t="str">
        <f t="shared" si="51"/>
        <v>G</v>
      </c>
      <c r="T39" s="13" t="str">
        <f t="shared" si="51"/>
        <v>H</v>
      </c>
      <c r="U39" s="13" t="str">
        <f t="shared" si="51"/>
        <v>I</v>
      </c>
      <c r="V39" s="13" t="str">
        <f t="shared" si="51"/>
        <v>J</v>
      </c>
      <c r="W39" s="13" t="str">
        <f t="shared" si="51"/>
        <v>K</v>
      </c>
      <c r="X39" s="13" t="str">
        <f t="shared" si="51"/>
        <v>L</v>
      </c>
      <c r="Y39" s="13" t="str">
        <f t="shared" si="51"/>
        <v>M</v>
      </c>
      <c r="Z39" s="13" t="str">
        <f t="shared" si="51"/>
        <v>N</v>
      </c>
      <c r="AA39" s="13" t="str">
        <f t="shared" si="51"/>
        <v>O</v>
      </c>
      <c r="AB39" s="13" t="str">
        <f t="shared" si="51"/>
        <v>P</v>
      </c>
      <c r="AC39" s="13" t="str">
        <f t="shared" si="51"/>
        <v>Q</v>
      </c>
      <c r="AD39" s="13" t="str">
        <f t="shared" si="51"/>
        <v>R</v>
      </c>
      <c r="AE39" s="13" t="str">
        <f t="shared" si="51"/>
        <v>S</v>
      </c>
      <c r="AF39" s="10"/>
    </row>
    <row r="40" spans="2:59" x14ac:dyDescent="0.35">
      <c r="B40" s="22"/>
      <c r="C40" s="8"/>
      <c r="E40" t="s">
        <v>386</v>
      </c>
      <c r="F40" s="14" t="str">
        <f t="shared" ref="F40:AE40" si="52">IF(F38=1,VLOOKUP(nCurPosR+nRingOffsetR+(CODE(F37)-nCharOffset)-1,nNum2Let,2,FALSE),"")</f>
        <v>T</v>
      </c>
      <c r="G40" s="14" t="str">
        <f t="shared" si="52"/>
        <v>U</v>
      </c>
      <c r="H40" s="14" t="str">
        <f t="shared" si="52"/>
        <v>V</v>
      </c>
      <c r="I40" s="14" t="str">
        <f t="shared" si="52"/>
        <v>W</v>
      </c>
      <c r="J40" s="14" t="str">
        <f t="shared" si="52"/>
        <v>X</v>
      </c>
      <c r="K40" s="14" t="str">
        <f t="shared" si="52"/>
        <v>Y</v>
      </c>
      <c r="L40" s="14" t="str">
        <f t="shared" si="52"/>
        <v>Z</v>
      </c>
      <c r="M40" s="14" t="str">
        <f t="shared" si="52"/>
        <v>A</v>
      </c>
      <c r="N40" s="14" t="str">
        <f t="shared" si="52"/>
        <v>B</v>
      </c>
      <c r="O40" s="14" t="str">
        <f t="shared" si="52"/>
        <v>C</v>
      </c>
      <c r="P40" s="14" t="str">
        <f t="shared" si="52"/>
        <v>D</v>
      </c>
      <c r="Q40" s="14" t="str">
        <f t="shared" si="52"/>
        <v>E</v>
      </c>
      <c r="R40" s="14" t="str">
        <f t="shared" si="52"/>
        <v>F</v>
      </c>
      <c r="S40" s="14" t="str">
        <f t="shared" si="52"/>
        <v>G</v>
      </c>
      <c r="T40" s="14" t="str">
        <f t="shared" si="52"/>
        <v>H</v>
      </c>
      <c r="U40" s="14" t="str">
        <f t="shared" si="52"/>
        <v>I</v>
      </c>
      <c r="V40" s="14" t="str">
        <f t="shared" si="52"/>
        <v>J</v>
      </c>
      <c r="W40" s="14" t="str">
        <f t="shared" si="52"/>
        <v>K</v>
      </c>
      <c r="X40" s="14" t="str">
        <f t="shared" si="52"/>
        <v>L</v>
      </c>
      <c r="Y40" s="14" t="str">
        <f t="shared" si="52"/>
        <v>M</v>
      </c>
      <c r="Z40" s="14" t="str">
        <f t="shared" si="52"/>
        <v>N</v>
      </c>
      <c r="AA40" s="14" t="str">
        <f t="shared" si="52"/>
        <v>O</v>
      </c>
      <c r="AB40" s="14" t="str">
        <f t="shared" si="52"/>
        <v>P</v>
      </c>
      <c r="AC40" s="14" t="str">
        <f t="shared" si="52"/>
        <v>Q</v>
      </c>
      <c r="AD40" s="14" t="str">
        <f t="shared" si="52"/>
        <v>R</v>
      </c>
      <c r="AE40" s="14" t="str">
        <f t="shared" si="52"/>
        <v>S</v>
      </c>
      <c r="AF40" s="10"/>
      <c r="AH40" s="28" t="str">
        <f t="shared" ref="AH40:BG40" si="53">IF(LEN(AH42)=2,LEFT(AH42,1),"")</f>
        <v>A</v>
      </c>
      <c r="AI40" s="28" t="str">
        <f t="shared" si="53"/>
        <v>B</v>
      </c>
      <c r="AJ40" s="28" t="str">
        <f t="shared" si="53"/>
        <v>C</v>
      </c>
      <c r="AK40" s="28" t="str">
        <f t="shared" si="53"/>
        <v>D</v>
      </c>
      <c r="AL40" s="28" t="str">
        <f t="shared" si="53"/>
        <v>E</v>
      </c>
      <c r="AM40" s="28" t="str">
        <f t="shared" si="53"/>
        <v>F</v>
      </c>
      <c r="AN40" s="28" t="str">
        <f t="shared" si="53"/>
        <v>G</v>
      </c>
      <c r="AO40" s="28" t="str">
        <f t="shared" si="53"/>
        <v>H</v>
      </c>
      <c r="AP40" s="28" t="str">
        <f t="shared" si="53"/>
        <v>I</v>
      </c>
      <c r="AQ40" s="28" t="str">
        <f t="shared" si="53"/>
        <v>J</v>
      </c>
      <c r="AR40" s="28" t="str">
        <f t="shared" si="53"/>
        <v>K</v>
      </c>
      <c r="AS40" s="28" t="str">
        <f t="shared" si="53"/>
        <v>L</v>
      </c>
      <c r="AT40" s="28" t="str">
        <f t="shared" si="53"/>
        <v>M</v>
      </c>
      <c r="AU40" s="28" t="str">
        <f t="shared" si="53"/>
        <v>N</v>
      </c>
      <c r="AV40" s="28" t="str">
        <f t="shared" si="53"/>
        <v>O</v>
      </c>
      <c r="AW40" s="28" t="str">
        <f t="shared" si="53"/>
        <v>P</v>
      </c>
      <c r="AX40" s="28" t="str">
        <f t="shared" si="53"/>
        <v>Q</v>
      </c>
      <c r="AY40" s="28" t="str">
        <f t="shared" si="53"/>
        <v>R</v>
      </c>
      <c r="AZ40" s="28" t="str">
        <f t="shared" si="53"/>
        <v>S</v>
      </c>
      <c r="BA40" s="28" t="str">
        <f t="shared" si="53"/>
        <v>T</v>
      </c>
      <c r="BB40" s="28" t="str">
        <f t="shared" si="53"/>
        <v>U</v>
      </c>
      <c r="BC40" s="28" t="str">
        <f t="shared" si="53"/>
        <v>V</v>
      </c>
      <c r="BD40" s="28" t="str">
        <f t="shared" si="53"/>
        <v>W</v>
      </c>
      <c r="BE40" s="28" t="str">
        <f t="shared" si="53"/>
        <v>X</v>
      </c>
      <c r="BF40" s="28" t="str">
        <f t="shared" si="53"/>
        <v>Y</v>
      </c>
      <c r="BG40" s="28" t="str">
        <f t="shared" si="53"/>
        <v>Z</v>
      </c>
    </row>
    <row r="41" spans="2:59" x14ac:dyDescent="0.35">
      <c r="B41" s="22"/>
      <c r="C41" s="8"/>
      <c r="E41" t="s">
        <v>387</v>
      </c>
      <c r="F41" s="15" t="str">
        <f t="shared" ref="F41:AE41" si="54">IF(F38=1,VLOOKUP(nRotorR_Rev&amp;F40,nRotorRev,4,FALSE),"")</f>
        <v>N</v>
      </c>
      <c r="G41" s="15" t="str">
        <f t="shared" si="54"/>
        <v>H</v>
      </c>
      <c r="H41" s="15" t="str">
        <f t="shared" si="54"/>
        <v>X</v>
      </c>
      <c r="I41" s="15" t="str">
        <f t="shared" si="54"/>
        <v>M</v>
      </c>
      <c r="J41" s="15" t="str">
        <f t="shared" si="54"/>
        <v>I</v>
      </c>
      <c r="K41" s="15" t="str">
        <f t="shared" si="54"/>
        <v>V</v>
      </c>
      <c r="L41" s="15" t="str">
        <f t="shared" si="54"/>
        <v>S</v>
      </c>
      <c r="M41" s="15" t="str">
        <f t="shared" si="54"/>
        <v>A</v>
      </c>
      <c r="N41" s="15" t="str">
        <f t="shared" si="54"/>
        <v>J</v>
      </c>
      <c r="O41" s="15" t="str">
        <f t="shared" si="54"/>
        <v>P</v>
      </c>
      <c r="P41" s="15" t="str">
        <f t="shared" si="54"/>
        <v>C</v>
      </c>
      <c r="Q41" s="15" t="str">
        <f t="shared" si="54"/>
        <v>Z</v>
      </c>
      <c r="R41" s="15" t="str">
        <f t="shared" si="54"/>
        <v>W</v>
      </c>
      <c r="S41" s="15" t="str">
        <f t="shared" si="54"/>
        <v>R</v>
      </c>
      <c r="T41" s="15" t="str">
        <f t="shared" si="54"/>
        <v>L</v>
      </c>
      <c r="U41" s="15" t="str">
        <f t="shared" si="54"/>
        <v>F</v>
      </c>
      <c r="V41" s="15" t="str">
        <f t="shared" si="54"/>
        <v>B</v>
      </c>
      <c r="W41" s="15" t="str">
        <f t="shared" si="54"/>
        <v>D</v>
      </c>
      <c r="X41" s="15" t="str">
        <f t="shared" si="54"/>
        <v>K</v>
      </c>
      <c r="Y41" s="15" t="str">
        <f t="shared" si="54"/>
        <v>O</v>
      </c>
      <c r="Z41" s="15" t="str">
        <f t="shared" si="54"/>
        <v>T</v>
      </c>
      <c r="AA41" s="15" t="str">
        <f t="shared" si="54"/>
        <v>Y</v>
      </c>
      <c r="AB41" s="15" t="str">
        <f t="shared" si="54"/>
        <v>U</v>
      </c>
      <c r="AC41" s="15" t="str">
        <f t="shared" si="54"/>
        <v>Q</v>
      </c>
      <c r="AD41" s="15" t="str">
        <f t="shared" si="54"/>
        <v>G</v>
      </c>
      <c r="AE41" s="15" t="str">
        <f t="shared" si="54"/>
        <v>E</v>
      </c>
      <c r="AF41" s="10"/>
      <c r="AH41" s="28" t="str">
        <f t="shared" ref="AH41:BG41" si="55">IF(LEN(AH42)=2,RIGHT(AH42,1),"")</f>
        <v>U</v>
      </c>
      <c r="AI41" s="28" t="str">
        <f t="shared" si="55"/>
        <v>O</v>
      </c>
      <c r="AJ41" s="28" t="str">
        <f t="shared" si="55"/>
        <v>E</v>
      </c>
      <c r="AK41" s="28" t="str">
        <f t="shared" si="55"/>
        <v>T</v>
      </c>
      <c r="AL41" s="28" t="str">
        <f t="shared" si="55"/>
        <v>P</v>
      </c>
      <c r="AM41" s="28" t="str">
        <f t="shared" si="55"/>
        <v>C</v>
      </c>
      <c r="AN41" s="28" t="str">
        <f t="shared" si="55"/>
        <v>Z</v>
      </c>
      <c r="AO41" s="28" t="str">
        <f t="shared" si="55"/>
        <v>H</v>
      </c>
      <c r="AP41" s="28" t="str">
        <f t="shared" si="55"/>
        <v>Q</v>
      </c>
      <c r="AQ41" s="28" t="str">
        <f t="shared" si="55"/>
        <v>W</v>
      </c>
      <c r="AR41" s="28" t="str">
        <f t="shared" si="55"/>
        <v>J</v>
      </c>
      <c r="AS41" s="28" t="str">
        <f t="shared" si="55"/>
        <v>G</v>
      </c>
      <c r="AT41" s="28" t="str">
        <f t="shared" si="55"/>
        <v>D</v>
      </c>
      <c r="AU41" s="28" t="str">
        <f t="shared" si="55"/>
        <v>Y</v>
      </c>
      <c r="AV41" s="28" t="str">
        <f t="shared" si="55"/>
        <v>S</v>
      </c>
      <c r="AW41" s="28" t="str">
        <f t="shared" si="55"/>
        <v>M</v>
      </c>
      <c r="AX41" s="28" t="str">
        <f t="shared" si="55"/>
        <v>I</v>
      </c>
      <c r="AY41" s="28" t="str">
        <f t="shared" si="55"/>
        <v>K</v>
      </c>
      <c r="AZ41" s="28" t="str">
        <f t="shared" si="55"/>
        <v>R</v>
      </c>
      <c r="BA41" s="28" t="str">
        <f t="shared" si="55"/>
        <v>V</v>
      </c>
      <c r="BB41" s="28" t="str">
        <f t="shared" si="55"/>
        <v>A</v>
      </c>
      <c r="BC41" s="28" t="str">
        <f t="shared" si="55"/>
        <v>F</v>
      </c>
      <c r="BD41" s="28" t="str">
        <f t="shared" si="55"/>
        <v>B</v>
      </c>
      <c r="BE41" s="28" t="str">
        <f t="shared" si="55"/>
        <v>X</v>
      </c>
      <c r="BF41" s="28" t="str">
        <f t="shared" si="55"/>
        <v>N</v>
      </c>
      <c r="BG41" s="28" t="str">
        <f t="shared" si="55"/>
        <v>L</v>
      </c>
    </row>
    <row r="42" spans="2:59" ht="15" thickBot="1" x14ac:dyDescent="0.4">
      <c r="B42" s="23"/>
      <c r="C42" s="16"/>
      <c r="D42" s="17"/>
      <c r="E42" s="17" t="s">
        <v>388</v>
      </c>
      <c r="F42" s="18" t="str">
        <f t="shared" ref="F42:AE42" si="56">IF(F38=1,IF(CODE(F41)-CODE(F40)&lt;0,VLOOKUP((CODE(F41)-CODE(F40)+26)+(CODE(F37)-nCharOffset),nNum2Let,2,FALSE),VLOOKUP((CODE(F41)-CODE(F40))+(CODE(F37)-nCharOffset),nNum2Let,2,FALSE)),"")</f>
        <v>U</v>
      </c>
      <c r="G42" s="18" t="str">
        <f t="shared" si="56"/>
        <v>O</v>
      </c>
      <c r="H42" s="18" t="str">
        <f t="shared" si="56"/>
        <v>E</v>
      </c>
      <c r="I42" s="18" t="str">
        <f t="shared" si="56"/>
        <v>T</v>
      </c>
      <c r="J42" s="18" t="str">
        <f t="shared" si="56"/>
        <v>P</v>
      </c>
      <c r="K42" s="18" t="str">
        <f t="shared" si="56"/>
        <v>C</v>
      </c>
      <c r="L42" s="18" t="str">
        <f t="shared" si="56"/>
        <v>Z</v>
      </c>
      <c r="M42" s="18" t="str">
        <f t="shared" si="56"/>
        <v>H</v>
      </c>
      <c r="N42" s="18" t="str">
        <f t="shared" si="56"/>
        <v>Q</v>
      </c>
      <c r="O42" s="18" t="str">
        <f t="shared" si="56"/>
        <v>W</v>
      </c>
      <c r="P42" s="18" t="str">
        <f t="shared" si="56"/>
        <v>J</v>
      </c>
      <c r="Q42" s="18" t="str">
        <f t="shared" si="56"/>
        <v>G</v>
      </c>
      <c r="R42" s="18" t="str">
        <f t="shared" si="56"/>
        <v>D</v>
      </c>
      <c r="S42" s="18" t="str">
        <f t="shared" si="56"/>
        <v>Y</v>
      </c>
      <c r="T42" s="18" t="str">
        <f t="shared" si="56"/>
        <v>S</v>
      </c>
      <c r="U42" s="18" t="str">
        <f t="shared" si="56"/>
        <v>M</v>
      </c>
      <c r="V42" s="18" t="str">
        <f t="shared" si="56"/>
        <v>I</v>
      </c>
      <c r="W42" s="18" t="str">
        <f t="shared" si="56"/>
        <v>K</v>
      </c>
      <c r="X42" s="18" t="str">
        <f t="shared" si="56"/>
        <v>R</v>
      </c>
      <c r="Y42" s="18" t="str">
        <f t="shared" si="56"/>
        <v>V</v>
      </c>
      <c r="Z42" s="18" t="str">
        <f t="shared" si="56"/>
        <v>A</v>
      </c>
      <c r="AA42" s="18" t="str">
        <f t="shared" si="56"/>
        <v>F</v>
      </c>
      <c r="AB42" s="18" t="str">
        <f t="shared" si="56"/>
        <v>B</v>
      </c>
      <c r="AC42" s="18" t="str">
        <f t="shared" si="56"/>
        <v>X</v>
      </c>
      <c r="AD42" s="18" t="str">
        <f t="shared" si="56"/>
        <v>N</v>
      </c>
      <c r="AE42" s="18" t="str">
        <f t="shared" si="56"/>
        <v>L</v>
      </c>
      <c r="AF42" s="19" t="str">
        <f>CONCATENATE(F42,G42,H42,I42,J42,K42,L42,M42,N42,O42,P42,Q42,R42,S42,T42&amp;U42,V42,W42,X42,Y42,Z42,AA42,AB42,AC42,AD42,AE42)</f>
        <v>UOETPCZHQWJGDYSMIKRVAFBXNL</v>
      </c>
      <c r="AH42" s="12" t="str">
        <f>F37&amp;F42</f>
        <v>AU</v>
      </c>
      <c r="AI42" s="12" t="str">
        <f t="shared" ref="AI42:BG42" si="57">G37&amp;G42</f>
        <v>BO</v>
      </c>
      <c r="AJ42" s="12" t="str">
        <f t="shared" si="57"/>
        <v>CE</v>
      </c>
      <c r="AK42" s="12" t="str">
        <f t="shared" si="57"/>
        <v>DT</v>
      </c>
      <c r="AL42" s="12" t="str">
        <f t="shared" si="57"/>
        <v>EP</v>
      </c>
      <c r="AM42" s="12" t="str">
        <f t="shared" si="57"/>
        <v>FC</v>
      </c>
      <c r="AN42" s="12" t="str">
        <f t="shared" si="57"/>
        <v>GZ</v>
      </c>
      <c r="AO42" s="12" t="str">
        <f t="shared" si="57"/>
        <v>HH</v>
      </c>
      <c r="AP42" s="12" t="str">
        <f t="shared" si="57"/>
        <v>IQ</v>
      </c>
      <c r="AQ42" s="12" t="str">
        <f t="shared" si="57"/>
        <v>JW</v>
      </c>
      <c r="AR42" s="12" t="str">
        <f t="shared" si="57"/>
        <v>KJ</v>
      </c>
      <c r="AS42" s="12" t="str">
        <f t="shared" si="57"/>
        <v>LG</v>
      </c>
      <c r="AT42" s="12" t="str">
        <f t="shared" si="57"/>
        <v>MD</v>
      </c>
      <c r="AU42" s="12" t="str">
        <f t="shared" si="57"/>
        <v>NY</v>
      </c>
      <c r="AV42" s="12" t="str">
        <f t="shared" si="57"/>
        <v>OS</v>
      </c>
      <c r="AW42" s="12" t="str">
        <f t="shared" si="57"/>
        <v>PM</v>
      </c>
      <c r="AX42" s="12" t="str">
        <f t="shared" si="57"/>
        <v>QI</v>
      </c>
      <c r="AY42" s="12" t="str">
        <f t="shared" si="57"/>
        <v>RK</v>
      </c>
      <c r="AZ42" s="12" t="str">
        <f t="shared" si="57"/>
        <v>SR</v>
      </c>
      <c r="BA42" s="12" t="str">
        <f t="shared" si="57"/>
        <v>TV</v>
      </c>
      <c r="BB42" s="12" t="str">
        <f t="shared" si="57"/>
        <v>UA</v>
      </c>
      <c r="BC42" s="12" t="str">
        <f t="shared" si="57"/>
        <v>VF</v>
      </c>
      <c r="BD42" s="12" t="str">
        <f t="shared" si="57"/>
        <v>WB</v>
      </c>
      <c r="BE42" s="12" t="str">
        <f t="shared" si="57"/>
        <v>XX</v>
      </c>
      <c r="BF42" s="12" t="str">
        <f t="shared" si="57"/>
        <v>YN</v>
      </c>
      <c r="BG42" s="12" t="str">
        <f t="shared" si="57"/>
        <v>ZL</v>
      </c>
    </row>
    <row r="43" spans="2:59" x14ac:dyDescent="0.35">
      <c r="F43" s="3" t="s">
        <v>0</v>
      </c>
      <c r="G43" s="3" t="s">
        <v>1</v>
      </c>
      <c r="H43" s="3" t="s">
        <v>2</v>
      </c>
      <c r="I43" s="3" t="s">
        <v>3</v>
      </c>
      <c r="J43" s="3" t="s">
        <v>4</v>
      </c>
      <c r="K43" s="3" t="s">
        <v>5</v>
      </c>
      <c r="L43" s="3" t="s">
        <v>6</v>
      </c>
      <c r="M43" s="3" t="s">
        <v>7</v>
      </c>
      <c r="N43" s="3" t="s">
        <v>8</v>
      </c>
      <c r="O43" s="3" t="s">
        <v>9</v>
      </c>
      <c r="P43" s="3" t="s">
        <v>10</v>
      </c>
      <c r="Q43" s="3" t="s">
        <v>11</v>
      </c>
      <c r="R43" s="3" t="s">
        <v>12</v>
      </c>
      <c r="S43" s="3" t="s">
        <v>13</v>
      </c>
      <c r="T43" s="3" t="s">
        <v>14</v>
      </c>
      <c r="U43" s="3" t="s">
        <v>15</v>
      </c>
      <c r="V43" s="3" t="s">
        <v>16</v>
      </c>
      <c r="W43" s="3" t="s">
        <v>17</v>
      </c>
      <c r="X43" s="3" t="s">
        <v>18</v>
      </c>
      <c r="Y43" s="3" t="s">
        <v>19</v>
      </c>
      <c r="Z43" s="3" t="s">
        <v>20</v>
      </c>
      <c r="AA43" s="3" t="s">
        <v>21</v>
      </c>
      <c r="AB43" s="3" t="s">
        <v>22</v>
      </c>
      <c r="AC43" s="3" t="s">
        <v>23</v>
      </c>
      <c r="AD43" s="3" t="s">
        <v>24</v>
      </c>
      <c r="AE43" s="3" t="s">
        <v>25</v>
      </c>
      <c r="AH43" s="42" t="str">
        <f>HLOOKUP(AH37,$AH40:$BG41,2,FALSE)</f>
        <v>K</v>
      </c>
      <c r="AI43" s="42" t="str">
        <f>HLOOKUP(AI37,$AH40:$BG41,2,FALSE)</f>
        <v>U</v>
      </c>
      <c r="AJ43" s="42" t="str">
        <f t="shared" ref="AJ43:BG43" si="58">HLOOKUP(AJ37,$AH40:$BG41,2,FALSE)</f>
        <v>T</v>
      </c>
      <c r="AK43" s="42" t="str">
        <f t="shared" si="58"/>
        <v>R</v>
      </c>
      <c r="AL43" s="42" t="str">
        <f t="shared" si="58"/>
        <v>Z</v>
      </c>
      <c r="AM43" s="42" t="str">
        <f t="shared" si="58"/>
        <v>I</v>
      </c>
      <c r="AN43" s="42" t="str">
        <f t="shared" si="58"/>
        <v>X</v>
      </c>
      <c r="AO43" s="42" t="str">
        <f t="shared" si="58"/>
        <v>M</v>
      </c>
      <c r="AP43" s="42" t="str">
        <f t="shared" si="58"/>
        <v>F</v>
      </c>
      <c r="AQ43" s="42" t="str">
        <f t="shared" si="58"/>
        <v>O</v>
      </c>
      <c r="AR43" s="42" t="str">
        <f t="shared" si="58"/>
        <v>A</v>
      </c>
      <c r="AS43" s="42" t="str">
        <f t="shared" si="58"/>
        <v>Q</v>
      </c>
      <c r="AT43" s="42" t="str">
        <f t="shared" si="58"/>
        <v>H</v>
      </c>
      <c r="AU43" s="42" t="str">
        <f t="shared" si="58"/>
        <v>S</v>
      </c>
      <c r="AV43" s="42" t="str">
        <f t="shared" si="58"/>
        <v>J</v>
      </c>
      <c r="AW43" s="42" t="str">
        <f t="shared" si="58"/>
        <v>Y</v>
      </c>
      <c r="AX43" s="42" t="str">
        <f t="shared" si="58"/>
        <v>L</v>
      </c>
      <c r="AY43" s="42" t="str">
        <f t="shared" si="58"/>
        <v>D</v>
      </c>
      <c r="AZ43" s="42" t="str">
        <f t="shared" si="58"/>
        <v>N</v>
      </c>
      <c r="BA43" s="42" t="str">
        <f t="shared" si="58"/>
        <v>C</v>
      </c>
      <c r="BB43" s="42" t="str">
        <f t="shared" si="58"/>
        <v>B</v>
      </c>
      <c r="BC43" s="42" t="str">
        <f t="shared" si="58"/>
        <v>W</v>
      </c>
      <c r="BD43" s="42" t="str">
        <f t="shared" si="58"/>
        <v>V</v>
      </c>
      <c r="BE43" s="42" t="str">
        <f t="shared" si="58"/>
        <v>G</v>
      </c>
      <c r="BF43" s="42" t="str">
        <f t="shared" si="58"/>
        <v>P</v>
      </c>
      <c r="BG43" s="42" t="str">
        <f t="shared" si="58"/>
        <v>E</v>
      </c>
    </row>
    <row r="44" spans="2:59" x14ac:dyDescent="0.35"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H44" s="95" t="s">
        <v>608</v>
      </c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U44" s="96"/>
      <c r="AV44" s="96"/>
      <c r="AW44" s="96"/>
      <c r="AX44" s="96"/>
      <c r="AY44" s="96"/>
      <c r="AZ44" s="96"/>
      <c r="BA44" s="96"/>
      <c r="BB44" s="96"/>
      <c r="BC44" s="96"/>
      <c r="BD44" s="96"/>
      <c r="BE44" s="96"/>
      <c r="BF44" s="96"/>
      <c r="BG44" s="97"/>
    </row>
  </sheetData>
  <sheetProtection sheet="1" objects="1" scenarios="1"/>
  <mergeCells count="2">
    <mergeCell ref="AH6:BG6"/>
    <mergeCell ref="AH44:BG44"/>
  </mergeCells>
  <pageMargins left="0.70866141732283472" right="0.70866141732283472" top="0.74803149606299213" bottom="0.74803149606299213" header="0.31496062992125984" footer="0.31496062992125984"/>
  <pageSetup paperSize="8" scale="6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pageSetUpPr fitToPage="1"/>
  </sheetPr>
  <dimension ref="A1:BG44"/>
  <sheetViews>
    <sheetView showGridLines="0" showRowColHeaders="0" zoomScale="80" zoomScaleNormal="80" workbookViewId="0"/>
  </sheetViews>
  <sheetFormatPr defaultRowHeight="14.5" x14ac:dyDescent="0.35"/>
  <cols>
    <col min="2" max="2" width="20.54296875" bestFit="1" customWidth="1"/>
    <col min="3" max="3" width="4.54296875" customWidth="1"/>
    <col min="4" max="4" width="8.1796875" bestFit="1" customWidth="1"/>
    <col min="5" max="5" width="15.54296875" bestFit="1" customWidth="1"/>
    <col min="6" max="6" width="3.453125" customWidth="1"/>
    <col min="7" max="7" width="4" customWidth="1"/>
    <col min="8" max="8" width="3.26953125" customWidth="1"/>
    <col min="9" max="9" width="4.1796875" customWidth="1"/>
    <col min="10" max="10" width="3.453125" customWidth="1"/>
    <col min="11" max="31" width="3.26953125" customWidth="1"/>
    <col min="32" max="32" width="32.26953125" bestFit="1" customWidth="1"/>
    <col min="34" max="59" width="3.453125" customWidth="1"/>
  </cols>
  <sheetData>
    <row r="1" spans="1:59" x14ac:dyDescent="0.35">
      <c r="B1" s="29" t="s">
        <v>378</v>
      </c>
      <c r="C1" s="75">
        <v>64</v>
      </c>
      <c r="D1" s="76" t="str">
        <f>nRotorL&amp;nRotorM&amp;nRotorR</f>
        <v>142</v>
      </c>
      <c r="E1" s="76" t="str">
        <f>F18&amp;F12&amp;F6</f>
        <v>ELU</v>
      </c>
      <c r="J1" s="44" t="s">
        <v>4</v>
      </c>
      <c r="K1" s="44" t="s">
        <v>13</v>
      </c>
      <c r="L1" s="44" t="s">
        <v>8</v>
      </c>
      <c r="M1" s="44" t="s">
        <v>6</v>
      </c>
      <c r="N1" s="44" t="s">
        <v>12</v>
      </c>
      <c r="O1" s="44" t="s">
        <v>0</v>
      </c>
      <c r="P1" s="44" t="s">
        <v>18</v>
      </c>
      <c r="Q1" s="44" t="s">
        <v>2</v>
      </c>
      <c r="R1" s="44" t="s">
        <v>17</v>
      </c>
      <c r="S1" s="44" t="s">
        <v>0</v>
      </c>
      <c r="T1" s="44" t="s">
        <v>12</v>
      </c>
      <c r="U1" s="44" t="s">
        <v>1</v>
      </c>
      <c r="V1" s="44" t="s">
        <v>11</v>
      </c>
      <c r="W1" s="44" t="s">
        <v>4</v>
      </c>
      <c r="X1" s="44" t="s">
        <v>17</v>
      </c>
      <c r="Y1" s="44">
        <v>0</v>
      </c>
      <c r="Z1" s="44">
        <v>6</v>
      </c>
    </row>
    <row r="2" spans="1:59" x14ac:dyDescent="0.35">
      <c r="D2" s="77">
        <f>nCounter</f>
        <v>3707</v>
      </c>
    </row>
    <row r="3" spans="1:59" ht="15" thickBot="1" x14ac:dyDescent="0.4">
      <c r="D3" s="78">
        <f>n_RO06</f>
        <v>6</v>
      </c>
      <c r="F3" s="1"/>
      <c r="AF3" s="79" t="s">
        <v>423</v>
      </c>
    </row>
    <row r="4" spans="1:59" x14ac:dyDescent="0.35">
      <c r="B4" s="21"/>
      <c r="C4" s="4"/>
      <c r="E4" s="5" t="s">
        <v>385</v>
      </c>
      <c r="F4" s="6" t="s">
        <v>0</v>
      </c>
      <c r="G4" s="6" t="s">
        <v>1</v>
      </c>
      <c r="H4" s="6" t="s">
        <v>2</v>
      </c>
      <c r="I4" s="6" t="s">
        <v>3</v>
      </c>
      <c r="J4" s="6" t="s">
        <v>4</v>
      </c>
      <c r="K4" s="6" t="s">
        <v>5</v>
      </c>
      <c r="L4" s="6" t="s">
        <v>6</v>
      </c>
      <c r="M4" s="6" t="s">
        <v>7</v>
      </c>
      <c r="N4" s="6" t="s">
        <v>8</v>
      </c>
      <c r="O4" s="6" t="s">
        <v>9</v>
      </c>
      <c r="P4" s="6" t="s">
        <v>10</v>
      </c>
      <c r="Q4" s="6" t="s">
        <v>11</v>
      </c>
      <c r="R4" s="6" t="s">
        <v>12</v>
      </c>
      <c r="S4" s="6" t="s">
        <v>13</v>
      </c>
      <c r="T4" s="6" t="s">
        <v>14</v>
      </c>
      <c r="U4" s="6" t="s">
        <v>15</v>
      </c>
      <c r="V4" s="6" t="s">
        <v>16</v>
      </c>
      <c r="W4" s="6" t="s">
        <v>17</v>
      </c>
      <c r="X4" s="6" t="s">
        <v>18</v>
      </c>
      <c r="Y4" s="6" t="s">
        <v>19</v>
      </c>
      <c r="Z4" s="6" t="s">
        <v>20</v>
      </c>
      <c r="AA4" s="6" t="s">
        <v>21</v>
      </c>
      <c r="AB4" s="6" t="s">
        <v>22</v>
      </c>
      <c r="AC4" s="6" t="s">
        <v>23</v>
      </c>
      <c r="AD4" s="6" t="s">
        <v>24</v>
      </c>
      <c r="AE4" s="6" t="s">
        <v>25</v>
      </c>
      <c r="AF4" s="10"/>
    </row>
    <row r="5" spans="1:59" x14ac:dyDescent="0.35">
      <c r="B5" s="22"/>
      <c r="C5" s="8"/>
      <c r="D5" s="9" t="s">
        <v>28</v>
      </c>
      <c r="E5" s="9" t="s">
        <v>27</v>
      </c>
      <c r="F5" s="1">
        <f t="shared" ref="F5:AE5" si="0">IF(ISERROR(FIND(F4,$AF3)),0,1)</f>
        <v>1</v>
      </c>
      <c r="G5" s="1">
        <f t="shared" si="0"/>
        <v>1</v>
      </c>
      <c r="H5" s="1">
        <f t="shared" si="0"/>
        <v>1</v>
      </c>
      <c r="I5" s="1">
        <f t="shared" si="0"/>
        <v>1</v>
      </c>
      <c r="J5" s="1">
        <f t="shared" si="0"/>
        <v>1</v>
      </c>
      <c r="K5" s="1">
        <f t="shared" si="0"/>
        <v>1</v>
      </c>
      <c r="L5" s="1">
        <f t="shared" si="0"/>
        <v>1</v>
      </c>
      <c r="M5" s="1">
        <f t="shared" si="0"/>
        <v>1</v>
      </c>
      <c r="N5" s="1">
        <f t="shared" si="0"/>
        <v>1</v>
      </c>
      <c r="O5" s="1">
        <f t="shared" si="0"/>
        <v>1</v>
      </c>
      <c r="P5" s="1">
        <f t="shared" si="0"/>
        <v>1</v>
      </c>
      <c r="Q5" s="1">
        <f t="shared" si="0"/>
        <v>1</v>
      </c>
      <c r="R5" s="1">
        <f t="shared" si="0"/>
        <v>1</v>
      </c>
      <c r="S5" s="1">
        <f t="shared" si="0"/>
        <v>1</v>
      </c>
      <c r="T5" s="1">
        <f t="shared" si="0"/>
        <v>1</v>
      </c>
      <c r="U5" s="1">
        <f t="shared" si="0"/>
        <v>1</v>
      </c>
      <c r="V5" s="1">
        <f t="shared" si="0"/>
        <v>1</v>
      </c>
      <c r="W5" s="1">
        <f t="shared" si="0"/>
        <v>1</v>
      </c>
      <c r="X5" s="1">
        <f t="shared" si="0"/>
        <v>1</v>
      </c>
      <c r="Y5" s="1">
        <f t="shared" si="0"/>
        <v>1</v>
      </c>
      <c r="Z5" s="1">
        <f t="shared" si="0"/>
        <v>1</v>
      </c>
      <c r="AA5" s="1">
        <f t="shared" si="0"/>
        <v>1</v>
      </c>
      <c r="AB5" s="1">
        <f t="shared" si="0"/>
        <v>1</v>
      </c>
      <c r="AC5" s="1">
        <f t="shared" si="0"/>
        <v>1</v>
      </c>
      <c r="AD5" s="1">
        <f t="shared" si="0"/>
        <v>1</v>
      </c>
      <c r="AE5" s="1">
        <f t="shared" si="0"/>
        <v>1</v>
      </c>
      <c r="AF5" s="10"/>
    </row>
    <row r="6" spans="1:59" x14ac:dyDescent="0.35">
      <c r="B6" s="22" t="s">
        <v>379</v>
      </c>
      <c r="C6" s="41">
        <f>n_RotorR</f>
        <v>2</v>
      </c>
      <c r="D6" s="11">
        <f>D3+D2</f>
        <v>3713</v>
      </c>
      <c r="E6" s="11">
        <f>IF(MOD(D6,26)=0,26,MOD(D6,26))</f>
        <v>21</v>
      </c>
      <c r="F6" s="12" t="str">
        <f>CHAR(E6+nCharOffset)</f>
        <v>U</v>
      </c>
      <c r="G6" s="13" t="str">
        <f t="shared" ref="G6:AE6" si="1">VLOOKUP(F6,nNextLetter,2,FALSE)</f>
        <v>V</v>
      </c>
      <c r="H6" s="13" t="str">
        <f t="shared" si="1"/>
        <v>W</v>
      </c>
      <c r="I6" s="13" t="str">
        <f t="shared" si="1"/>
        <v>X</v>
      </c>
      <c r="J6" s="13" t="str">
        <f t="shared" si="1"/>
        <v>Y</v>
      </c>
      <c r="K6" s="13" t="str">
        <f t="shared" si="1"/>
        <v>Z</v>
      </c>
      <c r="L6" s="13" t="str">
        <f t="shared" si="1"/>
        <v>A</v>
      </c>
      <c r="M6" s="13" t="str">
        <f t="shared" si="1"/>
        <v>B</v>
      </c>
      <c r="N6" s="13" t="str">
        <f t="shared" si="1"/>
        <v>C</v>
      </c>
      <c r="O6" s="13" t="str">
        <f t="shared" si="1"/>
        <v>D</v>
      </c>
      <c r="P6" s="13" t="str">
        <f t="shared" si="1"/>
        <v>E</v>
      </c>
      <c r="Q6" s="13" t="str">
        <f t="shared" si="1"/>
        <v>F</v>
      </c>
      <c r="R6" s="13" t="str">
        <f t="shared" si="1"/>
        <v>G</v>
      </c>
      <c r="S6" s="13" t="str">
        <f t="shared" si="1"/>
        <v>H</v>
      </c>
      <c r="T6" s="13" t="str">
        <f t="shared" si="1"/>
        <v>I</v>
      </c>
      <c r="U6" s="13" t="str">
        <f t="shared" si="1"/>
        <v>J</v>
      </c>
      <c r="V6" s="13" t="str">
        <f t="shared" si="1"/>
        <v>K</v>
      </c>
      <c r="W6" s="13" t="str">
        <f t="shared" si="1"/>
        <v>L</v>
      </c>
      <c r="X6" s="13" t="str">
        <f t="shared" si="1"/>
        <v>M</v>
      </c>
      <c r="Y6" s="13" t="str">
        <f t="shared" si="1"/>
        <v>N</v>
      </c>
      <c r="Z6" s="13" t="str">
        <f t="shared" si="1"/>
        <v>O</v>
      </c>
      <c r="AA6" s="13" t="str">
        <f t="shared" si="1"/>
        <v>P</v>
      </c>
      <c r="AB6" s="13" t="str">
        <f t="shared" si="1"/>
        <v>Q</v>
      </c>
      <c r="AC6" s="13" t="str">
        <f t="shared" si="1"/>
        <v>R</v>
      </c>
      <c r="AD6" s="13" t="str">
        <f t="shared" si="1"/>
        <v>S</v>
      </c>
      <c r="AE6" s="13" t="str">
        <f t="shared" si="1"/>
        <v>T</v>
      </c>
      <c r="AF6" s="10"/>
      <c r="AH6" s="95" t="s">
        <v>607</v>
      </c>
      <c r="AI6" s="96"/>
      <c r="AJ6" s="96"/>
      <c r="AK6" s="96"/>
      <c r="AL6" s="96"/>
      <c r="AM6" s="96"/>
      <c r="AN6" s="96"/>
      <c r="AO6" s="96"/>
      <c r="AP6" s="96"/>
      <c r="AQ6" s="96"/>
      <c r="AR6" s="96"/>
      <c r="AS6" s="96"/>
      <c r="AT6" s="96"/>
      <c r="AU6" s="96"/>
      <c r="AV6" s="96"/>
      <c r="AW6" s="96"/>
      <c r="AX6" s="96"/>
      <c r="AY6" s="96"/>
      <c r="AZ6" s="96"/>
      <c r="BA6" s="96"/>
      <c r="BB6" s="96"/>
      <c r="BC6" s="96"/>
      <c r="BD6" s="96"/>
      <c r="BE6" s="96"/>
      <c r="BF6" s="96"/>
      <c r="BG6" s="97"/>
    </row>
    <row r="7" spans="1:59" x14ac:dyDescent="0.35">
      <c r="B7" s="22" t="s">
        <v>389</v>
      </c>
      <c r="C7" s="41" t="str">
        <f>n_RingPosR</f>
        <v>A</v>
      </c>
      <c r="D7" s="11">
        <f>VLOOKUP(C7,nRingOffset,2,FALSE)</f>
        <v>0</v>
      </c>
      <c r="E7" t="s">
        <v>386</v>
      </c>
      <c r="F7" s="14" t="str">
        <f t="shared" ref="F7:AE7" si="2">IF(F5=1,VLOOKUP(nCurPosR+nRingOffsetR+(CODE(F4)-nCharOffset)-1,nNum2Let,2,FALSE),"")</f>
        <v>U</v>
      </c>
      <c r="G7" s="14" t="str">
        <f t="shared" si="2"/>
        <v>V</v>
      </c>
      <c r="H7" s="14" t="str">
        <f t="shared" si="2"/>
        <v>W</v>
      </c>
      <c r="I7" s="14" t="str">
        <f t="shared" si="2"/>
        <v>X</v>
      </c>
      <c r="J7" s="14" t="str">
        <f t="shared" si="2"/>
        <v>Y</v>
      </c>
      <c r="K7" s="14" t="str">
        <f t="shared" si="2"/>
        <v>Z</v>
      </c>
      <c r="L7" s="14" t="str">
        <f t="shared" si="2"/>
        <v>A</v>
      </c>
      <c r="M7" s="14" t="str">
        <f t="shared" si="2"/>
        <v>B</v>
      </c>
      <c r="N7" s="14" t="str">
        <f t="shared" si="2"/>
        <v>C</v>
      </c>
      <c r="O7" s="14" t="str">
        <f t="shared" si="2"/>
        <v>D</v>
      </c>
      <c r="P7" s="14" t="str">
        <f t="shared" si="2"/>
        <v>E</v>
      </c>
      <c r="Q7" s="14" t="str">
        <f t="shared" si="2"/>
        <v>F</v>
      </c>
      <c r="R7" s="14" t="str">
        <f t="shared" si="2"/>
        <v>G</v>
      </c>
      <c r="S7" s="14" t="str">
        <f t="shared" si="2"/>
        <v>H</v>
      </c>
      <c r="T7" s="14" t="str">
        <f t="shared" si="2"/>
        <v>I</v>
      </c>
      <c r="U7" s="14" t="str">
        <f t="shared" si="2"/>
        <v>J</v>
      </c>
      <c r="V7" s="14" t="str">
        <f t="shared" si="2"/>
        <v>K</v>
      </c>
      <c r="W7" s="14" t="str">
        <f t="shared" si="2"/>
        <v>L</v>
      </c>
      <c r="X7" s="14" t="str">
        <f t="shared" si="2"/>
        <v>M</v>
      </c>
      <c r="Y7" s="14" t="str">
        <f t="shared" si="2"/>
        <v>N</v>
      </c>
      <c r="Z7" s="14" t="str">
        <f t="shared" si="2"/>
        <v>O</v>
      </c>
      <c r="AA7" s="14" t="str">
        <f t="shared" si="2"/>
        <v>P</v>
      </c>
      <c r="AB7" s="14" t="str">
        <f t="shared" si="2"/>
        <v>Q</v>
      </c>
      <c r="AC7" s="14" t="str">
        <f t="shared" si="2"/>
        <v>R</v>
      </c>
      <c r="AD7" s="14" t="str">
        <f t="shared" si="2"/>
        <v>S</v>
      </c>
      <c r="AE7" s="14" t="str">
        <f t="shared" si="2"/>
        <v>T</v>
      </c>
      <c r="AF7" s="10"/>
      <c r="AH7" s="42" t="str">
        <f t="shared" ref="AH7:BG7" si="3">IF(LEN(AH9)=2,LEFT(AH9,1),"")</f>
        <v>A</v>
      </c>
      <c r="AI7" s="42" t="str">
        <f t="shared" si="3"/>
        <v>B</v>
      </c>
      <c r="AJ7" s="42" t="str">
        <f t="shared" si="3"/>
        <v>C</v>
      </c>
      <c r="AK7" s="42" t="str">
        <f t="shared" si="3"/>
        <v>D</v>
      </c>
      <c r="AL7" s="42" t="str">
        <f t="shared" si="3"/>
        <v>E</v>
      </c>
      <c r="AM7" s="42" t="str">
        <f t="shared" si="3"/>
        <v>F</v>
      </c>
      <c r="AN7" s="42" t="str">
        <f t="shared" si="3"/>
        <v>G</v>
      </c>
      <c r="AO7" s="42" t="str">
        <f t="shared" si="3"/>
        <v>H</v>
      </c>
      <c r="AP7" s="42" t="str">
        <f t="shared" si="3"/>
        <v>I</v>
      </c>
      <c r="AQ7" s="42" t="str">
        <f t="shared" si="3"/>
        <v>J</v>
      </c>
      <c r="AR7" s="42" t="str">
        <f t="shared" si="3"/>
        <v>K</v>
      </c>
      <c r="AS7" s="42" t="str">
        <f t="shared" si="3"/>
        <v>L</v>
      </c>
      <c r="AT7" s="42" t="str">
        <f t="shared" si="3"/>
        <v>M</v>
      </c>
      <c r="AU7" s="42" t="str">
        <f t="shared" si="3"/>
        <v>N</v>
      </c>
      <c r="AV7" s="42" t="str">
        <f t="shared" si="3"/>
        <v>O</v>
      </c>
      <c r="AW7" s="42" t="str">
        <f t="shared" si="3"/>
        <v>P</v>
      </c>
      <c r="AX7" s="42" t="str">
        <f t="shared" si="3"/>
        <v>Q</v>
      </c>
      <c r="AY7" s="42" t="str">
        <f t="shared" si="3"/>
        <v>R</v>
      </c>
      <c r="AZ7" s="42" t="str">
        <f t="shared" si="3"/>
        <v>S</v>
      </c>
      <c r="BA7" s="42" t="str">
        <f t="shared" si="3"/>
        <v>T</v>
      </c>
      <c r="BB7" s="42" t="str">
        <f t="shared" si="3"/>
        <v>U</v>
      </c>
      <c r="BC7" s="42" t="str">
        <f t="shared" si="3"/>
        <v>V</v>
      </c>
      <c r="BD7" s="42" t="str">
        <f t="shared" si="3"/>
        <v>W</v>
      </c>
      <c r="BE7" s="42" t="str">
        <f t="shared" si="3"/>
        <v>X</v>
      </c>
      <c r="BF7" s="42" t="str">
        <f t="shared" si="3"/>
        <v>Y</v>
      </c>
      <c r="BG7" s="42" t="str">
        <f t="shared" si="3"/>
        <v>Z</v>
      </c>
    </row>
    <row r="8" spans="1:59" x14ac:dyDescent="0.35">
      <c r="B8" s="22"/>
      <c r="C8" s="8"/>
      <c r="E8" t="s">
        <v>387</v>
      </c>
      <c r="F8" s="15" t="str">
        <f t="shared" ref="F8:AE8" si="4">IF(F5=1,VLOOKUP(nRotorR&amp;F7,nRotor,4,FALSE),"")</f>
        <v>P</v>
      </c>
      <c r="G8" s="15" t="str">
        <f t="shared" si="4"/>
        <v>Y</v>
      </c>
      <c r="H8" s="15" t="str">
        <f t="shared" si="4"/>
        <v>F</v>
      </c>
      <c r="I8" s="15" t="str">
        <f t="shared" si="4"/>
        <v>V</v>
      </c>
      <c r="J8" s="15" t="str">
        <f t="shared" si="4"/>
        <v>O</v>
      </c>
      <c r="K8" s="15" t="str">
        <f t="shared" si="4"/>
        <v>E</v>
      </c>
      <c r="L8" s="15" t="str">
        <f t="shared" si="4"/>
        <v>A</v>
      </c>
      <c r="M8" s="15" t="str">
        <f t="shared" si="4"/>
        <v>J</v>
      </c>
      <c r="N8" s="15" t="str">
        <f t="shared" si="4"/>
        <v>D</v>
      </c>
      <c r="O8" s="15" t="str">
        <f t="shared" si="4"/>
        <v>K</v>
      </c>
      <c r="P8" s="15" t="str">
        <f t="shared" si="4"/>
        <v>S</v>
      </c>
      <c r="Q8" s="15" t="str">
        <f t="shared" si="4"/>
        <v>I</v>
      </c>
      <c r="R8" s="15" t="str">
        <f t="shared" si="4"/>
        <v>R</v>
      </c>
      <c r="S8" s="15" t="str">
        <f t="shared" si="4"/>
        <v>U</v>
      </c>
      <c r="T8" s="15" t="str">
        <f t="shared" si="4"/>
        <v>X</v>
      </c>
      <c r="U8" s="15" t="str">
        <f t="shared" si="4"/>
        <v>B</v>
      </c>
      <c r="V8" s="15" t="str">
        <f t="shared" si="4"/>
        <v>L</v>
      </c>
      <c r="W8" s="15" t="str">
        <f t="shared" si="4"/>
        <v>H</v>
      </c>
      <c r="X8" s="15" t="str">
        <f t="shared" si="4"/>
        <v>W</v>
      </c>
      <c r="Y8" s="15" t="str">
        <f t="shared" si="4"/>
        <v>T</v>
      </c>
      <c r="Z8" s="15" t="str">
        <f t="shared" si="4"/>
        <v>M</v>
      </c>
      <c r="AA8" s="15" t="str">
        <f t="shared" si="4"/>
        <v>C</v>
      </c>
      <c r="AB8" s="15" t="str">
        <f t="shared" si="4"/>
        <v>Q</v>
      </c>
      <c r="AC8" s="15" t="str">
        <f t="shared" si="4"/>
        <v>G</v>
      </c>
      <c r="AD8" s="15" t="str">
        <f t="shared" si="4"/>
        <v>Z</v>
      </c>
      <c r="AE8" s="15" t="str">
        <f t="shared" si="4"/>
        <v>N</v>
      </c>
      <c r="AF8" s="10"/>
      <c r="AH8" s="28" t="str">
        <f t="shared" ref="AH8:BG8" si="5">IF(LEN(AH9)=2,RIGHT(AH9,1),"")</f>
        <v>V</v>
      </c>
      <c r="AI8" s="28" t="str">
        <f t="shared" si="5"/>
        <v>E</v>
      </c>
      <c r="AJ8" s="28" t="str">
        <f t="shared" si="5"/>
        <v>L</v>
      </c>
      <c r="AK8" s="28" t="str">
        <f t="shared" si="5"/>
        <v>B</v>
      </c>
      <c r="AL8" s="28" t="str">
        <f t="shared" si="5"/>
        <v>U</v>
      </c>
      <c r="AM8" s="28" t="str">
        <f t="shared" si="5"/>
        <v>K</v>
      </c>
      <c r="AN8" s="28" t="str">
        <f t="shared" si="5"/>
        <v>G</v>
      </c>
      <c r="AO8" s="28" t="str">
        <f t="shared" si="5"/>
        <v>P</v>
      </c>
      <c r="AP8" s="28" t="str">
        <f t="shared" si="5"/>
        <v>J</v>
      </c>
      <c r="AQ8" s="28" t="str">
        <f t="shared" si="5"/>
        <v>Q</v>
      </c>
      <c r="AR8" s="28" t="str">
        <f t="shared" si="5"/>
        <v>Y</v>
      </c>
      <c r="AS8" s="28" t="str">
        <f t="shared" si="5"/>
        <v>O</v>
      </c>
      <c r="AT8" s="28" t="str">
        <f t="shared" si="5"/>
        <v>X</v>
      </c>
      <c r="AU8" s="28" t="str">
        <f t="shared" si="5"/>
        <v>A</v>
      </c>
      <c r="AV8" s="28" t="str">
        <f t="shared" si="5"/>
        <v>D</v>
      </c>
      <c r="AW8" s="28" t="str">
        <f t="shared" si="5"/>
        <v>H</v>
      </c>
      <c r="AX8" s="28" t="str">
        <f t="shared" si="5"/>
        <v>R</v>
      </c>
      <c r="AY8" s="28" t="str">
        <f t="shared" si="5"/>
        <v>N</v>
      </c>
      <c r="AZ8" s="28" t="str">
        <f t="shared" si="5"/>
        <v>C</v>
      </c>
      <c r="BA8" s="28" t="str">
        <f t="shared" si="5"/>
        <v>Z</v>
      </c>
      <c r="BB8" s="28" t="str">
        <f t="shared" si="5"/>
        <v>S</v>
      </c>
      <c r="BC8" s="28" t="str">
        <f t="shared" si="5"/>
        <v>I</v>
      </c>
      <c r="BD8" s="28" t="str">
        <f t="shared" si="5"/>
        <v>W</v>
      </c>
      <c r="BE8" s="28" t="str">
        <f t="shared" si="5"/>
        <v>M</v>
      </c>
      <c r="BF8" s="28" t="str">
        <f t="shared" si="5"/>
        <v>F</v>
      </c>
      <c r="BG8" s="28" t="str">
        <f t="shared" si="5"/>
        <v>T</v>
      </c>
    </row>
    <row r="9" spans="1:59" ht="15" thickBot="1" x14ac:dyDescent="0.4">
      <c r="B9" s="23"/>
      <c r="C9" s="16"/>
      <c r="D9" s="17"/>
      <c r="E9" s="17" t="s">
        <v>388</v>
      </c>
      <c r="F9" s="18" t="str">
        <f t="shared" ref="F9:AE9" si="6">IF(F5=1,IF(CODE(F8)-CODE(F7)&lt;0,VLOOKUP((CODE(F8)-CODE(F7)+26)+(CODE(F4)-nCharOffset),nNum2Let,2,FALSE),VLOOKUP((CODE(F8)-CODE(F7))+(CODE(F4)-nCharOffset),nNum2Let,2,FALSE)),"")</f>
        <v>V</v>
      </c>
      <c r="G9" s="18" t="str">
        <f t="shared" si="6"/>
        <v>E</v>
      </c>
      <c r="H9" s="18" t="str">
        <f t="shared" si="6"/>
        <v>L</v>
      </c>
      <c r="I9" s="18" t="str">
        <f t="shared" si="6"/>
        <v>B</v>
      </c>
      <c r="J9" s="18" t="str">
        <f t="shared" si="6"/>
        <v>U</v>
      </c>
      <c r="K9" s="18" t="str">
        <f t="shared" si="6"/>
        <v>K</v>
      </c>
      <c r="L9" s="18" t="str">
        <f t="shared" si="6"/>
        <v>G</v>
      </c>
      <c r="M9" s="18" t="str">
        <f t="shared" si="6"/>
        <v>P</v>
      </c>
      <c r="N9" s="18" t="str">
        <f t="shared" si="6"/>
        <v>J</v>
      </c>
      <c r="O9" s="18" t="str">
        <f t="shared" si="6"/>
        <v>Q</v>
      </c>
      <c r="P9" s="18" t="str">
        <f t="shared" si="6"/>
        <v>Y</v>
      </c>
      <c r="Q9" s="18" t="str">
        <f t="shared" si="6"/>
        <v>O</v>
      </c>
      <c r="R9" s="18" t="str">
        <f t="shared" si="6"/>
        <v>X</v>
      </c>
      <c r="S9" s="18" t="str">
        <f t="shared" si="6"/>
        <v>A</v>
      </c>
      <c r="T9" s="18" t="str">
        <f t="shared" si="6"/>
        <v>D</v>
      </c>
      <c r="U9" s="18" t="str">
        <f t="shared" si="6"/>
        <v>H</v>
      </c>
      <c r="V9" s="18" t="str">
        <f t="shared" si="6"/>
        <v>R</v>
      </c>
      <c r="W9" s="18" t="str">
        <f t="shared" si="6"/>
        <v>N</v>
      </c>
      <c r="X9" s="18" t="str">
        <f t="shared" si="6"/>
        <v>C</v>
      </c>
      <c r="Y9" s="18" t="str">
        <f t="shared" si="6"/>
        <v>Z</v>
      </c>
      <c r="Z9" s="18" t="str">
        <f t="shared" si="6"/>
        <v>S</v>
      </c>
      <c r="AA9" s="18" t="str">
        <f t="shared" si="6"/>
        <v>I</v>
      </c>
      <c r="AB9" s="18" t="str">
        <f t="shared" si="6"/>
        <v>W</v>
      </c>
      <c r="AC9" s="18" t="str">
        <f t="shared" si="6"/>
        <v>M</v>
      </c>
      <c r="AD9" s="18" t="str">
        <f t="shared" si="6"/>
        <v>F</v>
      </c>
      <c r="AE9" s="18" t="str">
        <f t="shared" si="6"/>
        <v>T</v>
      </c>
      <c r="AF9" s="19" t="str">
        <f>CONCATENATE(F9,G9,H9,I9,J9,K9,L9,M9,N9,O9,P9,Q9,R9,S9,T9&amp;U9,V9,W9,X9,Y9,Z9,AA9,AB9,AC9,AD9,AE9)</f>
        <v>VELBUKGPJQYOXADHRNCZSIWMFT</v>
      </c>
      <c r="AH9" s="12" t="str">
        <f>F4&amp;F9</f>
        <v>AV</v>
      </c>
      <c r="AI9" s="12" t="str">
        <f t="shared" ref="AI9:BG9" si="7">G4&amp;G9</f>
        <v>BE</v>
      </c>
      <c r="AJ9" s="12" t="str">
        <f t="shared" si="7"/>
        <v>CL</v>
      </c>
      <c r="AK9" s="12" t="str">
        <f t="shared" si="7"/>
        <v>DB</v>
      </c>
      <c r="AL9" s="12" t="str">
        <f t="shared" si="7"/>
        <v>EU</v>
      </c>
      <c r="AM9" s="12" t="str">
        <f t="shared" si="7"/>
        <v>FK</v>
      </c>
      <c r="AN9" s="12" t="str">
        <f t="shared" si="7"/>
        <v>GG</v>
      </c>
      <c r="AO9" s="12" t="str">
        <f t="shared" si="7"/>
        <v>HP</v>
      </c>
      <c r="AP9" s="12" t="str">
        <f t="shared" si="7"/>
        <v>IJ</v>
      </c>
      <c r="AQ9" s="12" t="str">
        <f t="shared" si="7"/>
        <v>JQ</v>
      </c>
      <c r="AR9" s="12" t="str">
        <f t="shared" si="7"/>
        <v>KY</v>
      </c>
      <c r="AS9" s="12" t="str">
        <f t="shared" si="7"/>
        <v>LO</v>
      </c>
      <c r="AT9" s="12" t="str">
        <f t="shared" si="7"/>
        <v>MX</v>
      </c>
      <c r="AU9" s="12" t="str">
        <f t="shared" si="7"/>
        <v>NA</v>
      </c>
      <c r="AV9" s="12" t="str">
        <f t="shared" si="7"/>
        <v>OD</v>
      </c>
      <c r="AW9" s="12" t="str">
        <f t="shared" si="7"/>
        <v>PH</v>
      </c>
      <c r="AX9" s="12" t="str">
        <f t="shared" si="7"/>
        <v>QR</v>
      </c>
      <c r="AY9" s="12" t="str">
        <f t="shared" si="7"/>
        <v>RN</v>
      </c>
      <c r="AZ9" s="12" t="str">
        <f t="shared" si="7"/>
        <v>SC</v>
      </c>
      <c r="BA9" s="12" t="str">
        <f t="shared" si="7"/>
        <v>TZ</v>
      </c>
      <c r="BB9" s="12" t="str">
        <f t="shared" si="7"/>
        <v>US</v>
      </c>
      <c r="BC9" s="12" t="str">
        <f t="shared" si="7"/>
        <v>VI</v>
      </c>
      <c r="BD9" s="12" t="str">
        <f t="shared" si="7"/>
        <v>WW</v>
      </c>
      <c r="BE9" s="12" t="str">
        <f t="shared" si="7"/>
        <v>XM</v>
      </c>
      <c r="BF9" s="12" t="str">
        <f t="shared" si="7"/>
        <v>YF</v>
      </c>
      <c r="BG9" s="12" t="str">
        <f t="shared" si="7"/>
        <v>ZT</v>
      </c>
    </row>
    <row r="10" spans="1:59" x14ac:dyDescent="0.35">
      <c r="B10" s="21"/>
      <c r="C10" s="4"/>
      <c r="D10" s="5"/>
      <c r="E10" s="5" t="s">
        <v>385</v>
      </c>
      <c r="F10" s="6" t="s">
        <v>0</v>
      </c>
      <c r="G10" s="6" t="s">
        <v>1</v>
      </c>
      <c r="H10" s="6" t="s">
        <v>2</v>
      </c>
      <c r="I10" s="6" t="s">
        <v>3</v>
      </c>
      <c r="J10" s="6" t="s">
        <v>4</v>
      </c>
      <c r="K10" s="6" t="s">
        <v>5</v>
      </c>
      <c r="L10" s="6" t="s">
        <v>6</v>
      </c>
      <c r="M10" s="6" t="s">
        <v>7</v>
      </c>
      <c r="N10" s="6" t="s">
        <v>8</v>
      </c>
      <c r="O10" s="6" t="s">
        <v>9</v>
      </c>
      <c r="P10" s="6" t="s">
        <v>10</v>
      </c>
      <c r="Q10" s="6" t="s">
        <v>11</v>
      </c>
      <c r="R10" s="6" t="s">
        <v>12</v>
      </c>
      <c r="S10" s="6" t="s">
        <v>13</v>
      </c>
      <c r="T10" s="6" t="s">
        <v>14</v>
      </c>
      <c r="U10" s="6" t="s">
        <v>15</v>
      </c>
      <c r="V10" s="6" t="s">
        <v>16</v>
      </c>
      <c r="W10" s="6" t="s">
        <v>17</v>
      </c>
      <c r="X10" s="6" t="s">
        <v>18</v>
      </c>
      <c r="Y10" s="6" t="s">
        <v>19</v>
      </c>
      <c r="Z10" s="6" t="s">
        <v>20</v>
      </c>
      <c r="AA10" s="6" t="s">
        <v>21</v>
      </c>
      <c r="AB10" s="6" t="s">
        <v>22</v>
      </c>
      <c r="AC10" s="6" t="s">
        <v>23</v>
      </c>
      <c r="AD10" s="6" t="s">
        <v>24</v>
      </c>
      <c r="AE10" s="6" t="s">
        <v>25</v>
      </c>
      <c r="AF10" s="20"/>
    </row>
    <row r="11" spans="1:59" x14ac:dyDescent="0.35">
      <c r="A11" s="43">
        <f>INT(D2/26)</f>
        <v>142</v>
      </c>
      <c r="B11" s="10"/>
      <c r="C11" s="8"/>
      <c r="F11" s="1">
        <f>IF(ISERROR(FIND(F10,$AF9)),0,1)</f>
        <v>1</v>
      </c>
      <c r="G11" s="1">
        <f t="shared" ref="G11:AE11" si="8">IF(ISERROR(FIND(G10,$AF9)),0,1)</f>
        <v>1</v>
      </c>
      <c r="H11" s="1">
        <f t="shared" si="8"/>
        <v>1</v>
      </c>
      <c r="I11" s="1">
        <f t="shared" si="8"/>
        <v>1</v>
      </c>
      <c r="J11" s="1">
        <f t="shared" si="8"/>
        <v>1</v>
      </c>
      <c r="K11" s="1">
        <f t="shared" si="8"/>
        <v>1</v>
      </c>
      <c r="L11" s="1">
        <f t="shared" si="8"/>
        <v>1</v>
      </c>
      <c r="M11" s="1">
        <f t="shared" si="8"/>
        <v>1</v>
      </c>
      <c r="N11" s="1">
        <f t="shared" si="8"/>
        <v>1</v>
      </c>
      <c r="O11" s="1">
        <f t="shared" si="8"/>
        <v>1</v>
      </c>
      <c r="P11" s="1">
        <f t="shared" si="8"/>
        <v>1</v>
      </c>
      <c r="Q11" s="1">
        <f t="shared" si="8"/>
        <v>1</v>
      </c>
      <c r="R11" s="1">
        <f t="shared" si="8"/>
        <v>1</v>
      </c>
      <c r="S11" s="1">
        <f t="shared" si="8"/>
        <v>1</v>
      </c>
      <c r="T11" s="1">
        <f t="shared" si="8"/>
        <v>1</v>
      </c>
      <c r="U11" s="1">
        <f t="shared" si="8"/>
        <v>1</v>
      </c>
      <c r="V11" s="1">
        <f t="shared" si="8"/>
        <v>1</v>
      </c>
      <c r="W11" s="1">
        <f t="shared" si="8"/>
        <v>1</v>
      </c>
      <c r="X11" s="1">
        <f t="shared" si="8"/>
        <v>1</v>
      </c>
      <c r="Y11" s="1">
        <f t="shared" si="8"/>
        <v>1</v>
      </c>
      <c r="Z11" s="1">
        <f t="shared" si="8"/>
        <v>1</v>
      </c>
      <c r="AA11" s="1">
        <f t="shared" si="8"/>
        <v>1</v>
      </c>
      <c r="AB11" s="1">
        <f t="shared" si="8"/>
        <v>1</v>
      </c>
      <c r="AC11" s="1">
        <f t="shared" si="8"/>
        <v>1</v>
      </c>
      <c r="AD11" s="1">
        <f t="shared" si="8"/>
        <v>1</v>
      </c>
      <c r="AE11" s="1">
        <f t="shared" si="8"/>
        <v>1</v>
      </c>
      <c r="AF11" s="10"/>
    </row>
    <row r="12" spans="1:59" x14ac:dyDescent="0.35">
      <c r="A12" s="43">
        <f>IF(A11=0,26,A11)</f>
        <v>142</v>
      </c>
      <c r="B12" s="10" t="s">
        <v>380</v>
      </c>
      <c r="C12" s="41">
        <f>n_RotorM</f>
        <v>4</v>
      </c>
      <c r="D12" s="11">
        <f>A12</f>
        <v>142</v>
      </c>
      <c r="E12" s="11">
        <f>IF(MOD(D12,26)=0,26,MOD(D12,26))</f>
        <v>12</v>
      </c>
      <c r="F12" s="12" t="str">
        <f>CHAR(E12+nCharOffset)</f>
        <v>L</v>
      </c>
      <c r="G12" s="13" t="str">
        <f t="shared" ref="G12:AE12" si="9">VLOOKUP(F12,nNextLetter,2,FALSE)</f>
        <v>M</v>
      </c>
      <c r="H12" s="13" t="str">
        <f t="shared" si="9"/>
        <v>N</v>
      </c>
      <c r="I12" s="13" t="str">
        <f t="shared" si="9"/>
        <v>O</v>
      </c>
      <c r="J12" s="13" t="str">
        <f t="shared" si="9"/>
        <v>P</v>
      </c>
      <c r="K12" s="13" t="str">
        <f t="shared" si="9"/>
        <v>Q</v>
      </c>
      <c r="L12" s="13" t="str">
        <f t="shared" si="9"/>
        <v>R</v>
      </c>
      <c r="M12" s="13" t="str">
        <f t="shared" si="9"/>
        <v>S</v>
      </c>
      <c r="N12" s="13" t="str">
        <f t="shared" si="9"/>
        <v>T</v>
      </c>
      <c r="O12" s="13" t="str">
        <f t="shared" si="9"/>
        <v>U</v>
      </c>
      <c r="P12" s="13" t="str">
        <f t="shared" si="9"/>
        <v>V</v>
      </c>
      <c r="Q12" s="13" t="str">
        <f t="shared" si="9"/>
        <v>W</v>
      </c>
      <c r="R12" s="13" t="str">
        <f t="shared" si="9"/>
        <v>X</v>
      </c>
      <c r="S12" s="13" t="str">
        <f t="shared" si="9"/>
        <v>Y</v>
      </c>
      <c r="T12" s="13" t="str">
        <f t="shared" si="9"/>
        <v>Z</v>
      </c>
      <c r="U12" s="13" t="str">
        <f t="shared" si="9"/>
        <v>A</v>
      </c>
      <c r="V12" s="13" t="str">
        <f t="shared" si="9"/>
        <v>B</v>
      </c>
      <c r="W12" s="13" t="str">
        <f t="shared" si="9"/>
        <v>C</v>
      </c>
      <c r="X12" s="13" t="str">
        <f t="shared" si="9"/>
        <v>D</v>
      </c>
      <c r="Y12" s="13" t="str">
        <f t="shared" si="9"/>
        <v>E</v>
      </c>
      <c r="Z12" s="13" t="str">
        <f t="shared" si="9"/>
        <v>F</v>
      </c>
      <c r="AA12" s="13" t="str">
        <f t="shared" si="9"/>
        <v>G</v>
      </c>
      <c r="AB12" s="13" t="str">
        <f t="shared" si="9"/>
        <v>H</v>
      </c>
      <c r="AC12" s="13" t="str">
        <f t="shared" si="9"/>
        <v>I</v>
      </c>
      <c r="AD12" s="13" t="str">
        <f t="shared" si="9"/>
        <v>J</v>
      </c>
      <c r="AE12" s="13" t="str">
        <f t="shared" si="9"/>
        <v>K</v>
      </c>
      <c r="AF12" s="10"/>
    </row>
    <row r="13" spans="1:59" x14ac:dyDescent="0.35">
      <c r="B13" s="22" t="s">
        <v>390</v>
      </c>
      <c r="C13" s="41" t="str">
        <f>n_RingPosM</f>
        <v>A</v>
      </c>
      <c r="D13" s="11">
        <f>VLOOKUP(C13,nRingOffset,2,FALSE)</f>
        <v>0</v>
      </c>
      <c r="E13" t="s">
        <v>386</v>
      </c>
      <c r="F13" s="14" t="str">
        <f t="shared" ref="F13:AE13" si="10">IF(F11=1,VLOOKUP(nCurPosM+nRingOffsetM+(CODE(F10)-nCharOffset)-1,nNum2Let,2,FALSE),"")</f>
        <v>L</v>
      </c>
      <c r="G13" s="14" t="str">
        <f t="shared" si="10"/>
        <v>M</v>
      </c>
      <c r="H13" s="14" t="str">
        <f t="shared" si="10"/>
        <v>N</v>
      </c>
      <c r="I13" s="14" t="str">
        <f t="shared" si="10"/>
        <v>O</v>
      </c>
      <c r="J13" s="14" t="str">
        <f t="shared" si="10"/>
        <v>P</v>
      </c>
      <c r="K13" s="14" t="str">
        <f t="shared" si="10"/>
        <v>Q</v>
      </c>
      <c r="L13" s="14" t="str">
        <f t="shared" si="10"/>
        <v>R</v>
      </c>
      <c r="M13" s="14" t="str">
        <f t="shared" si="10"/>
        <v>S</v>
      </c>
      <c r="N13" s="14" t="str">
        <f t="shared" si="10"/>
        <v>T</v>
      </c>
      <c r="O13" s="14" t="str">
        <f t="shared" si="10"/>
        <v>U</v>
      </c>
      <c r="P13" s="14" t="str">
        <f t="shared" si="10"/>
        <v>V</v>
      </c>
      <c r="Q13" s="14" t="str">
        <f t="shared" si="10"/>
        <v>W</v>
      </c>
      <c r="R13" s="14" t="str">
        <f t="shared" si="10"/>
        <v>X</v>
      </c>
      <c r="S13" s="14" t="str">
        <f t="shared" si="10"/>
        <v>Y</v>
      </c>
      <c r="T13" s="14" t="str">
        <f t="shared" si="10"/>
        <v>Z</v>
      </c>
      <c r="U13" s="14" t="str">
        <f t="shared" si="10"/>
        <v>A</v>
      </c>
      <c r="V13" s="14" t="str">
        <f t="shared" si="10"/>
        <v>B</v>
      </c>
      <c r="W13" s="14" t="str">
        <f t="shared" si="10"/>
        <v>C</v>
      </c>
      <c r="X13" s="14" t="str">
        <f t="shared" si="10"/>
        <v>D</v>
      </c>
      <c r="Y13" s="14" t="str">
        <f t="shared" si="10"/>
        <v>E</v>
      </c>
      <c r="Z13" s="14" t="str">
        <f t="shared" si="10"/>
        <v>F</v>
      </c>
      <c r="AA13" s="14" t="str">
        <f t="shared" si="10"/>
        <v>G</v>
      </c>
      <c r="AB13" s="14" t="str">
        <f t="shared" si="10"/>
        <v>H</v>
      </c>
      <c r="AC13" s="14" t="str">
        <f t="shared" si="10"/>
        <v>I</v>
      </c>
      <c r="AD13" s="14" t="str">
        <f t="shared" si="10"/>
        <v>J</v>
      </c>
      <c r="AE13" s="14" t="str">
        <f t="shared" si="10"/>
        <v>K</v>
      </c>
      <c r="AF13" s="10"/>
      <c r="AH13" s="28" t="str">
        <f t="shared" ref="AH13:BG13" si="11">IF(LEN(AH15)=2,LEFT(AH15,1),"")</f>
        <v>A</v>
      </c>
      <c r="AI13" s="28" t="str">
        <f t="shared" si="11"/>
        <v>B</v>
      </c>
      <c r="AJ13" s="28" t="str">
        <f t="shared" si="11"/>
        <v>C</v>
      </c>
      <c r="AK13" s="28" t="str">
        <f t="shared" si="11"/>
        <v>D</v>
      </c>
      <c r="AL13" s="28" t="str">
        <f t="shared" si="11"/>
        <v>E</v>
      </c>
      <c r="AM13" s="28" t="str">
        <f t="shared" si="11"/>
        <v>F</v>
      </c>
      <c r="AN13" s="28" t="str">
        <f t="shared" si="11"/>
        <v>G</v>
      </c>
      <c r="AO13" s="28" t="str">
        <f t="shared" si="11"/>
        <v>H</v>
      </c>
      <c r="AP13" s="28" t="str">
        <f t="shared" si="11"/>
        <v>I</v>
      </c>
      <c r="AQ13" s="28" t="str">
        <f t="shared" si="11"/>
        <v>J</v>
      </c>
      <c r="AR13" s="28" t="str">
        <f t="shared" si="11"/>
        <v>K</v>
      </c>
      <c r="AS13" s="28" t="str">
        <f t="shared" si="11"/>
        <v>L</v>
      </c>
      <c r="AT13" s="28" t="str">
        <f t="shared" si="11"/>
        <v>M</v>
      </c>
      <c r="AU13" s="28" t="str">
        <f t="shared" si="11"/>
        <v>N</v>
      </c>
      <c r="AV13" s="28" t="str">
        <f t="shared" si="11"/>
        <v>O</v>
      </c>
      <c r="AW13" s="28" t="str">
        <f t="shared" si="11"/>
        <v>P</v>
      </c>
      <c r="AX13" s="28" t="str">
        <f t="shared" si="11"/>
        <v>Q</v>
      </c>
      <c r="AY13" s="28" t="str">
        <f t="shared" si="11"/>
        <v>R</v>
      </c>
      <c r="AZ13" s="28" t="str">
        <f t="shared" si="11"/>
        <v>S</v>
      </c>
      <c r="BA13" s="28" t="str">
        <f t="shared" si="11"/>
        <v>T</v>
      </c>
      <c r="BB13" s="28" t="str">
        <f t="shared" si="11"/>
        <v>U</v>
      </c>
      <c r="BC13" s="28" t="str">
        <f t="shared" si="11"/>
        <v>V</v>
      </c>
      <c r="BD13" s="28" t="str">
        <f t="shared" si="11"/>
        <v>W</v>
      </c>
      <c r="BE13" s="28" t="str">
        <f t="shared" si="11"/>
        <v>X</v>
      </c>
      <c r="BF13" s="28" t="str">
        <f t="shared" si="11"/>
        <v>Y</v>
      </c>
      <c r="BG13" s="28" t="str">
        <f t="shared" si="11"/>
        <v>Z</v>
      </c>
    </row>
    <row r="14" spans="1:59" x14ac:dyDescent="0.35">
      <c r="B14" s="22"/>
      <c r="C14" s="8"/>
      <c r="E14" t="s">
        <v>387</v>
      </c>
      <c r="F14" s="15" t="str">
        <f t="shared" ref="F14:AE14" si="12">IF(F11=1,VLOOKUP(nRotorM&amp;F13,nRotor,4,FALSE),"")</f>
        <v>I</v>
      </c>
      <c r="G14" s="15" t="str">
        <f t="shared" si="12"/>
        <v>R</v>
      </c>
      <c r="H14" s="15" t="str">
        <f t="shared" si="12"/>
        <v>H</v>
      </c>
      <c r="I14" s="15" t="str">
        <f t="shared" si="12"/>
        <v>X</v>
      </c>
      <c r="J14" s="15" t="str">
        <f t="shared" si="12"/>
        <v>L</v>
      </c>
      <c r="K14" s="15" t="str">
        <f t="shared" si="12"/>
        <v>N</v>
      </c>
      <c r="L14" s="15" t="str">
        <f t="shared" si="12"/>
        <v>F</v>
      </c>
      <c r="M14" s="15" t="str">
        <f t="shared" si="12"/>
        <v>T</v>
      </c>
      <c r="N14" s="15" t="str">
        <f t="shared" si="12"/>
        <v>G</v>
      </c>
      <c r="O14" s="15" t="str">
        <f t="shared" si="12"/>
        <v>K</v>
      </c>
      <c r="P14" s="15" t="str">
        <f t="shared" si="12"/>
        <v>D</v>
      </c>
      <c r="Q14" s="15" t="str">
        <f t="shared" si="12"/>
        <v>C</v>
      </c>
      <c r="R14" s="15" t="str">
        <f t="shared" si="12"/>
        <v>M</v>
      </c>
      <c r="S14" s="15" t="str">
        <f t="shared" si="12"/>
        <v>W</v>
      </c>
      <c r="T14" s="15" t="str">
        <f t="shared" si="12"/>
        <v>B</v>
      </c>
      <c r="U14" s="15" t="str">
        <f t="shared" si="12"/>
        <v>E</v>
      </c>
      <c r="V14" s="15" t="str">
        <f t="shared" si="12"/>
        <v>S</v>
      </c>
      <c r="W14" s="15" t="str">
        <f t="shared" si="12"/>
        <v>O</v>
      </c>
      <c r="X14" s="15" t="str">
        <f t="shared" si="12"/>
        <v>V</v>
      </c>
      <c r="Y14" s="15" t="str">
        <f t="shared" si="12"/>
        <v>P</v>
      </c>
      <c r="Z14" s="15" t="str">
        <f t="shared" si="12"/>
        <v>Z</v>
      </c>
      <c r="AA14" s="15" t="str">
        <f t="shared" si="12"/>
        <v>J</v>
      </c>
      <c r="AB14" s="15" t="str">
        <f t="shared" si="12"/>
        <v>A</v>
      </c>
      <c r="AC14" s="15" t="str">
        <f t="shared" si="12"/>
        <v>Y</v>
      </c>
      <c r="AD14" s="15" t="str">
        <f t="shared" si="12"/>
        <v>Q</v>
      </c>
      <c r="AE14" s="15" t="str">
        <f t="shared" si="12"/>
        <v>U</v>
      </c>
      <c r="AF14" s="10"/>
      <c r="AH14" s="28" t="str">
        <f t="shared" ref="AH14:BG14" si="13">IF(LEN(AH15)=2,RIGHT(AH15,1),"")</f>
        <v>X</v>
      </c>
      <c r="AI14" s="28" t="str">
        <f t="shared" si="13"/>
        <v>G</v>
      </c>
      <c r="AJ14" s="28" t="str">
        <f t="shared" si="13"/>
        <v>W</v>
      </c>
      <c r="AK14" s="28" t="str">
        <f t="shared" si="13"/>
        <v>M</v>
      </c>
      <c r="AL14" s="28" t="str">
        <f t="shared" si="13"/>
        <v>A</v>
      </c>
      <c r="AM14" s="28" t="str">
        <f t="shared" si="13"/>
        <v>C</v>
      </c>
      <c r="AN14" s="28" t="str">
        <f t="shared" si="13"/>
        <v>U</v>
      </c>
      <c r="AO14" s="28" t="str">
        <f t="shared" si="13"/>
        <v>I</v>
      </c>
      <c r="AP14" s="28" t="str">
        <f t="shared" si="13"/>
        <v>V</v>
      </c>
      <c r="AQ14" s="28" t="str">
        <f t="shared" si="13"/>
        <v>Z</v>
      </c>
      <c r="AR14" s="28" t="str">
        <f t="shared" si="13"/>
        <v>S</v>
      </c>
      <c r="AS14" s="28" t="str">
        <f t="shared" si="13"/>
        <v>R</v>
      </c>
      <c r="AT14" s="28" t="str">
        <f t="shared" si="13"/>
        <v>B</v>
      </c>
      <c r="AU14" s="28" t="str">
        <f t="shared" si="13"/>
        <v>L</v>
      </c>
      <c r="AV14" s="28" t="str">
        <f t="shared" si="13"/>
        <v>Q</v>
      </c>
      <c r="AW14" s="28" t="str">
        <f t="shared" si="13"/>
        <v>T</v>
      </c>
      <c r="AX14" s="28" t="str">
        <f t="shared" si="13"/>
        <v>H</v>
      </c>
      <c r="AY14" s="28" t="str">
        <f t="shared" si="13"/>
        <v>D</v>
      </c>
      <c r="AZ14" s="28" t="str">
        <f t="shared" si="13"/>
        <v>K</v>
      </c>
      <c r="BA14" s="28" t="str">
        <f t="shared" si="13"/>
        <v>E</v>
      </c>
      <c r="BB14" s="28" t="str">
        <f t="shared" si="13"/>
        <v>O</v>
      </c>
      <c r="BC14" s="28" t="str">
        <f t="shared" si="13"/>
        <v>Y</v>
      </c>
      <c r="BD14" s="28" t="str">
        <f t="shared" si="13"/>
        <v>P</v>
      </c>
      <c r="BE14" s="28" t="str">
        <f t="shared" si="13"/>
        <v>N</v>
      </c>
      <c r="BF14" s="28" t="str">
        <f t="shared" si="13"/>
        <v>F</v>
      </c>
      <c r="BG14" s="28" t="str">
        <f t="shared" si="13"/>
        <v>J</v>
      </c>
    </row>
    <row r="15" spans="1:59" ht="15" thickBot="1" x14ac:dyDescent="0.4">
      <c r="B15" s="23"/>
      <c r="C15" s="16"/>
      <c r="D15" s="17"/>
      <c r="E15" s="17" t="s">
        <v>388</v>
      </c>
      <c r="F15" s="18" t="str">
        <f t="shared" ref="F15:AE15" si="14">IF(F11=1,IF(CODE(F14)-CODE(F13)&lt;0,VLOOKUP((CODE(F14)-CODE(F13)+26)+(CODE(F10)-nCharOffset),nNum2Let,2,FALSE),VLOOKUP((CODE(F14)-CODE(F13))+(CODE(F10)-nCharOffset),nNum2Let,2,FALSE)),"")</f>
        <v>X</v>
      </c>
      <c r="G15" s="18" t="str">
        <f t="shared" si="14"/>
        <v>G</v>
      </c>
      <c r="H15" s="18" t="str">
        <f t="shared" si="14"/>
        <v>W</v>
      </c>
      <c r="I15" s="18" t="str">
        <f t="shared" si="14"/>
        <v>M</v>
      </c>
      <c r="J15" s="18" t="str">
        <f t="shared" si="14"/>
        <v>A</v>
      </c>
      <c r="K15" s="18" t="str">
        <f t="shared" si="14"/>
        <v>C</v>
      </c>
      <c r="L15" s="18" t="str">
        <f t="shared" si="14"/>
        <v>U</v>
      </c>
      <c r="M15" s="18" t="str">
        <f t="shared" si="14"/>
        <v>I</v>
      </c>
      <c r="N15" s="18" t="str">
        <f t="shared" si="14"/>
        <v>V</v>
      </c>
      <c r="O15" s="18" t="str">
        <f t="shared" si="14"/>
        <v>Z</v>
      </c>
      <c r="P15" s="18" t="str">
        <f t="shared" si="14"/>
        <v>S</v>
      </c>
      <c r="Q15" s="18" t="str">
        <f t="shared" si="14"/>
        <v>R</v>
      </c>
      <c r="R15" s="18" t="str">
        <f t="shared" si="14"/>
        <v>B</v>
      </c>
      <c r="S15" s="18" t="str">
        <f t="shared" si="14"/>
        <v>L</v>
      </c>
      <c r="T15" s="18" t="str">
        <f t="shared" si="14"/>
        <v>Q</v>
      </c>
      <c r="U15" s="18" t="str">
        <f t="shared" si="14"/>
        <v>T</v>
      </c>
      <c r="V15" s="18" t="str">
        <f t="shared" si="14"/>
        <v>H</v>
      </c>
      <c r="W15" s="18" t="str">
        <f t="shared" si="14"/>
        <v>D</v>
      </c>
      <c r="X15" s="18" t="str">
        <f t="shared" si="14"/>
        <v>K</v>
      </c>
      <c r="Y15" s="18" t="str">
        <f t="shared" si="14"/>
        <v>E</v>
      </c>
      <c r="Z15" s="18" t="str">
        <f t="shared" si="14"/>
        <v>O</v>
      </c>
      <c r="AA15" s="18" t="str">
        <f t="shared" si="14"/>
        <v>Y</v>
      </c>
      <c r="AB15" s="18" t="str">
        <f t="shared" si="14"/>
        <v>P</v>
      </c>
      <c r="AC15" s="18" t="str">
        <f t="shared" si="14"/>
        <v>N</v>
      </c>
      <c r="AD15" s="18" t="str">
        <f t="shared" si="14"/>
        <v>F</v>
      </c>
      <c r="AE15" s="18" t="str">
        <f t="shared" si="14"/>
        <v>J</v>
      </c>
      <c r="AF15" s="19" t="str">
        <f>CONCATENATE(F15,G15,H15,I15,J15,K15,L15,M15,N15,O15,P15,Q15,R15,S15,T15&amp;U15,V15,W15,X15,Y15,Z15,AA15,AB15,AC15,AD15,AE15)</f>
        <v>XGWMACUIVZSRBLQTHDKEOYPNFJ</v>
      </c>
      <c r="AH15" s="12" t="str">
        <f>F10&amp;F15</f>
        <v>AX</v>
      </c>
      <c r="AI15" s="12" t="str">
        <f t="shared" ref="AI15:BG15" si="15">G10&amp;G15</f>
        <v>BG</v>
      </c>
      <c r="AJ15" s="12" t="str">
        <f t="shared" si="15"/>
        <v>CW</v>
      </c>
      <c r="AK15" s="12" t="str">
        <f t="shared" si="15"/>
        <v>DM</v>
      </c>
      <c r="AL15" s="12" t="str">
        <f t="shared" si="15"/>
        <v>EA</v>
      </c>
      <c r="AM15" s="12" t="str">
        <f t="shared" si="15"/>
        <v>FC</v>
      </c>
      <c r="AN15" s="12" t="str">
        <f t="shared" si="15"/>
        <v>GU</v>
      </c>
      <c r="AO15" s="12" t="str">
        <f t="shared" si="15"/>
        <v>HI</v>
      </c>
      <c r="AP15" s="12" t="str">
        <f t="shared" si="15"/>
        <v>IV</v>
      </c>
      <c r="AQ15" s="12" t="str">
        <f t="shared" si="15"/>
        <v>JZ</v>
      </c>
      <c r="AR15" s="12" t="str">
        <f t="shared" si="15"/>
        <v>KS</v>
      </c>
      <c r="AS15" s="12" t="str">
        <f t="shared" si="15"/>
        <v>LR</v>
      </c>
      <c r="AT15" s="12" t="str">
        <f t="shared" si="15"/>
        <v>MB</v>
      </c>
      <c r="AU15" s="12" t="str">
        <f t="shared" si="15"/>
        <v>NL</v>
      </c>
      <c r="AV15" s="12" t="str">
        <f t="shared" si="15"/>
        <v>OQ</v>
      </c>
      <c r="AW15" s="12" t="str">
        <f t="shared" si="15"/>
        <v>PT</v>
      </c>
      <c r="AX15" s="12" t="str">
        <f t="shared" si="15"/>
        <v>QH</v>
      </c>
      <c r="AY15" s="12" t="str">
        <f t="shared" si="15"/>
        <v>RD</v>
      </c>
      <c r="AZ15" s="12" t="str">
        <f t="shared" si="15"/>
        <v>SK</v>
      </c>
      <c r="BA15" s="12" t="str">
        <f t="shared" si="15"/>
        <v>TE</v>
      </c>
      <c r="BB15" s="12" t="str">
        <f t="shared" si="15"/>
        <v>UO</v>
      </c>
      <c r="BC15" s="12" t="str">
        <f t="shared" si="15"/>
        <v>VY</v>
      </c>
      <c r="BD15" s="12" t="str">
        <f t="shared" si="15"/>
        <v>WP</v>
      </c>
      <c r="BE15" s="12" t="str">
        <f t="shared" si="15"/>
        <v>XN</v>
      </c>
      <c r="BF15" s="12" t="str">
        <f t="shared" si="15"/>
        <v>YF</v>
      </c>
      <c r="BG15" s="12" t="str">
        <f t="shared" si="15"/>
        <v>ZJ</v>
      </c>
    </row>
    <row r="16" spans="1:59" x14ac:dyDescent="0.35">
      <c r="B16" s="21"/>
      <c r="C16" s="4"/>
      <c r="D16" s="5"/>
      <c r="E16" s="5" t="s">
        <v>385</v>
      </c>
      <c r="F16" s="6" t="s">
        <v>0</v>
      </c>
      <c r="G16" s="6" t="s">
        <v>1</v>
      </c>
      <c r="H16" s="6" t="s">
        <v>2</v>
      </c>
      <c r="I16" s="6" t="s">
        <v>3</v>
      </c>
      <c r="J16" s="6" t="s">
        <v>4</v>
      </c>
      <c r="K16" s="6" t="s">
        <v>5</v>
      </c>
      <c r="L16" s="6" t="s">
        <v>6</v>
      </c>
      <c r="M16" s="6" t="s">
        <v>7</v>
      </c>
      <c r="N16" s="6" t="s">
        <v>8</v>
      </c>
      <c r="O16" s="6" t="s">
        <v>9</v>
      </c>
      <c r="P16" s="6" t="s">
        <v>10</v>
      </c>
      <c r="Q16" s="6" t="s">
        <v>11</v>
      </c>
      <c r="R16" s="6" t="s">
        <v>12</v>
      </c>
      <c r="S16" s="6" t="s">
        <v>13</v>
      </c>
      <c r="T16" s="6" t="s">
        <v>14</v>
      </c>
      <c r="U16" s="6" t="s">
        <v>15</v>
      </c>
      <c r="V16" s="6" t="s">
        <v>16</v>
      </c>
      <c r="W16" s="6" t="s">
        <v>17</v>
      </c>
      <c r="X16" s="6" t="s">
        <v>18</v>
      </c>
      <c r="Y16" s="6" t="s">
        <v>19</v>
      </c>
      <c r="Z16" s="6" t="s">
        <v>20</v>
      </c>
      <c r="AA16" s="6" t="s">
        <v>21</v>
      </c>
      <c r="AB16" s="6" t="s">
        <v>22</v>
      </c>
      <c r="AC16" s="6" t="s">
        <v>23</v>
      </c>
      <c r="AD16" s="6" t="s">
        <v>24</v>
      </c>
      <c r="AE16" s="6" t="s">
        <v>25</v>
      </c>
      <c r="AF16" s="7"/>
      <c r="AH16" s="28" t="str">
        <f>HLOOKUP(AH8,$AH13:$BG14,2,FALSE)</f>
        <v>Y</v>
      </c>
      <c r="AI16" s="28" t="str">
        <f>HLOOKUP(AI8,$AH13:$BG14,2,FALSE)</f>
        <v>A</v>
      </c>
      <c r="AJ16" s="28" t="str">
        <f>HLOOKUP(AJ8,$AH13:$BG14,2,FALSE)</f>
        <v>R</v>
      </c>
      <c r="AK16" s="28" t="str">
        <f t="shared" ref="AK16:BG16" si="16">HLOOKUP(AK8,$AH13:$BG14,2,FALSE)</f>
        <v>G</v>
      </c>
      <c r="AL16" s="28" t="str">
        <f t="shared" si="16"/>
        <v>O</v>
      </c>
      <c r="AM16" s="28" t="str">
        <f t="shared" si="16"/>
        <v>S</v>
      </c>
      <c r="AN16" s="28" t="str">
        <f t="shared" si="16"/>
        <v>U</v>
      </c>
      <c r="AO16" s="28" t="str">
        <f t="shared" si="16"/>
        <v>T</v>
      </c>
      <c r="AP16" s="28" t="str">
        <f t="shared" si="16"/>
        <v>Z</v>
      </c>
      <c r="AQ16" s="28" t="str">
        <f t="shared" si="16"/>
        <v>H</v>
      </c>
      <c r="AR16" s="28" t="str">
        <f t="shared" si="16"/>
        <v>F</v>
      </c>
      <c r="AS16" s="28" t="str">
        <f t="shared" si="16"/>
        <v>Q</v>
      </c>
      <c r="AT16" s="28" t="str">
        <f t="shared" si="16"/>
        <v>N</v>
      </c>
      <c r="AU16" s="28" t="str">
        <f t="shared" si="16"/>
        <v>X</v>
      </c>
      <c r="AV16" s="28" t="str">
        <f t="shared" si="16"/>
        <v>M</v>
      </c>
      <c r="AW16" s="28" t="str">
        <f t="shared" si="16"/>
        <v>I</v>
      </c>
      <c r="AX16" s="28" t="str">
        <f t="shared" si="16"/>
        <v>D</v>
      </c>
      <c r="AY16" s="28" t="str">
        <f t="shared" si="16"/>
        <v>L</v>
      </c>
      <c r="AZ16" s="28" t="str">
        <f t="shared" si="16"/>
        <v>W</v>
      </c>
      <c r="BA16" s="28" t="str">
        <f t="shared" si="16"/>
        <v>J</v>
      </c>
      <c r="BB16" s="28" t="str">
        <f t="shared" si="16"/>
        <v>K</v>
      </c>
      <c r="BC16" s="28" t="str">
        <f t="shared" si="16"/>
        <v>V</v>
      </c>
      <c r="BD16" s="28" t="str">
        <f t="shared" si="16"/>
        <v>P</v>
      </c>
      <c r="BE16" s="28" t="str">
        <f t="shared" si="16"/>
        <v>B</v>
      </c>
      <c r="BF16" s="28" t="str">
        <f t="shared" si="16"/>
        <v>C</v>
      </c>
      <c r="BG16" s="28" t="str">
        <f t="shared" si="16"/>
        <v>E</v>
      </c>
    </row>
    <row r="17" spans="1:59" x14ac:dyDescent="0.35">
      <c r="A17" s="43">
        <f>INT(D2/676)</f>
        <v>5</v>
      </c>
      <c r="B17" s="10"/>
      <c r="C17" s="8"/>
      <c r="F17" s="1">
        <f>IF(ISERROR(FIND(F16,$AF15)),0,1)</f>
        <v>1</v>
      </c>
      <c r="G17" s="1">
        <f t="shared" ref="G17:AE17" si="17">IF(ISERROR(FIND(G16,$AF15)),0,1)</f>
        <v>1</v>
      </c>
      <c r="H17" s="1">
        <f t="shared" si="17"/>
        <v>1</v>
      </c>
      <c r="I17" s="1">
        <f t="shared" si="17"/>
        <v>1</v>
      </c>
      <c r="J17" s="1">
        <f t="shared" si="17"/>
        <v>1</v>
      </c>
      <c r="K17" s="1">
        <f t="shared" si="17"/>
        <v>1</v>
      </c>
      <c r="L17" s="1">
        <f t="shared" si="17"/>
        <v>1</v>
      </c>
      <c r="M17" s="1">
        <f t="shared" si="17"/>
        <v>1</v>
      </c>
      <c r="N17" s="1">
        <f t="shared" si="17"/>
        <v>1</v>
      </c>
      <c r="O17" s="1">
        <f t="shared" si="17"/>
        <v>1</v>
      </c>
      <c r="P17" s="1">
        <f t="shared" si="17"/>
        <v>1</v>
      </c>
      <c r="Q17" s="1">
        <f t="shared" si="17"/>
        <v>1</v>
      </c>
      <c r="R17" s="1">
        <f t="shared" si="17"/>
        <v>1</v>
      </c>
      <c r="S17" s="1">
        <f t="shared" si="17"/>
        <v>1</v>
      </c>
      <c r="T17" s="1">
        <f t="shared" si="17"/>
        <v>1</v>
      </c>
      <c r="U17" s="1">
        <f t="shared" si="17"/>
        <v>1</v>
      </c>
      <c r="V17" s="1">
        <f t="shared" si="17"/>
        <v>1</v>
      </c>
      <c r="W17" s="1">
        <f t="shared" si="17"/>
        <v>1</v>
      </c>
      <c r="X17" s="1">
        <f t="shared" si="17"/>
        <v>1</v>
      </c>
      <c r="Y17" s="1">
        <f t="shared" si="17"/>
        <v>1</v>
      </c>
      <c r="Z17" s="1">
        <f t="shared" si="17"/>
        <v>1</v>
      </c>
      <c r="AA17" s="1">
        <f t="shared" si="17"/>
        <v>1</v>
      </c>
      <c r="AB17" s="1">
        <f t="shared" si="17"/>
        <v>1</v>
      </c>
      <c r="AC17" s="1">
        <f t="shared" si="17"/>
        <v>1</v>
      </c>
      <c r="AD17" s="1">
        <f t="shared" si="17"/>
        <v>1</v>
      </c>
      <c r="AE17" s="1">
        <f t="shared" si="17"/>
        <v>1</v>
      </c>
      <c r="AF17" s="10"/>
    </row>
    <row r="18" spans="1:59" x14ac:dyDescent="0.35">
      <c r="A18" s="43">
        <f>IF(A17=0,26,A17)</f>
        <v>5</v>
      </c>
      <c r="B18" s="10" t="s">
        <v>381</v>
      </c>
      <c r="C18" s="41">
        <f>n_RotorL</f>
        <v>1</v>
      </c>
      <c r="D18" s="11">
        <f>A18</f>
        <v>5</v>
      </c>
      <c r="E18" s="11">
        <f>IF(MOD(D18,26)=0,26,MOD(D18,26))</f>
        <v>5</v>
      </c>
      <c r="F18" s="12" t="str">
        <f>CHAR(E18+nCharOffset)</f>
        <v>E</v>
      </c>
      <c r="G18" s="13" t="str">
        <f t="shared" ref="G18:AE18" si="18">VLOOKUP(F18,nNextLetter,2,FALSE)</f>
        <v>F</v>
      </c>
      <c r="H18" s="13" t="str">
        <f t="shared" si="18"/>
        <v>G</v>
      </c>
      <c r="I18" s="13" t="str">
        <f t="shared" si="18"/>
        <v>H</v>
      </c>
      <c r="J18" s="13" t="str">
        <f t="shared" si="18"/>
        <v>I</v>
      </c>
      <c r="K18" s="13" t="str">
        <f t="shared" si="18"/>
        <v>J</v>
      </c>
      <c r="L18" s="13" t="str">
        <f t="shared" si="18"/>
        <v>K</v>
      </c>
      <c r="M18" s="13" t="str">
        <f t="shared" si="18"/>
        <v>L</v>
      </c>
      <c r="N18" s="13" t="str">
        <f t="shared" si="18"/>
        <v>M</v>
      </c>
      <c r="O18" s="13" t="str">
        <f t="shared" si="18"/>
        <v>N</v>
      </c>
      <c r="P18" s="13" t="str">
        <f t="shared" si="18"/>
        <v>O</v>
      </c>
      <c r="Q18" s="13" t="str">
        <f t="shared" si="18"/>
        <v>P</v>
      </c>
      <c r="R18" s="13" t="str">
        <f t="shared" si="18"/>
        <v>Q</v>
      </c>
      <c r="S18" s="13" t="str">
        <f t="shared" si="18"/>
        <v>R</v>
      </c>
      <c r="T18" s="13" t="str">
        <f t="shared" si="18"/>
        <v>S</v>
      </c>
      <c r="U18" s="13" t="str">
        <f t="shared" si="18"/>
        <v>T</v>
      </c>
      <c r="V18" s="13" t="str">
        <f t="shared" si="18"/>
        <v>U</v>
      </c>
      <c r="W18" s="13" t="str">
        <f t="shared" si="18"/>
        <v>V</v>
      </c>
      <c r="X18" s="13" t="str">
        <f t="shared" si="18"/>
        <v>W</v>
      </c>
      <c r="Y18" s="13" t="str">
        <f t="shared" si="18"/>
        <v>X</v>
      </c>
      <c r="Z18" s="13" t="str">
        <f t="shared" si="18"/>
        <v>Y</v>
      </c>
      <c r="AA18" s="13" t="str">
        <f t="shared" si="18"/>
        <v>Z</v>
      </c>
      <c r="AB18" s="13" t="str">
        <f t="shared" si="18"/>
        <v>A</v>
      </c>
      <c r="AC18" s="13" t="str">
        <f t="shared" si="18"/>
        <v>B</v>
      </c>
      <c r="AD18" s="13" t="str">
        <f t="shared" si="18"/>
        <v>C</v>
      </c>
      <c r="AE18" s="13" t="str">
        <f t="shared" si="18"/>
        <v>D</v>
      </c>
      <c r="AF18" s="10"/>
    </row>
    <row r="19" spans="1:59" x14ac:dyDescent="0.35">
      <c r="B19" s="22" t="s">
        <v>391</v>
      </c>
      <c r="C19" s="41" t="str">
        <f>n_RingPosL</f>
        <v>A</v>
      </c>
      <c r="D19" s="11">
        <f>VLOOKUP(C19,nRingOffset,2,FALSE)</f>
        <v>0</v>
      </c>
      <c r="E19" t="s">
        <v>386</v>
      </c>
      <c r="F19" s="14" t="str">
        <f t="shared" ref="F19:AE19" si="19">IF(F17=1,VLOOKUP(nCurPosL+nRingOffsetL+(CODE(F16)-nCharOffset)-1,nNum2Let,2,FALSE),"")</f>
        <v>E</v>
      </c>
      <c r="G19" s="14" t="str">
        <f t="shared" si="19"/>
        <v>F</v>
      </c>
      <c r="H19" s="14" t="str">
        <f t="shared" si="19"/>
        <v>G</v>
      </c>
      <c r="I19" s="14" t="str">
        <f t="shared" si="19"/>
        <v>H</v>
      </c>
      <c r="J19" s="14" t="str">
        <f t="shared" si="19"/>
        <v>I</v>
      </c>
      <c r="K19" s="14" t="str">
        <f t="shared" si="19"/>
        <v>J</v>
      </c>
      <c r="L19" s="14" t="str">
        <f t="shared" si="19"/>
        <v>K</v>
      </c>
      <c r="M19" s="14" t="str">
        <f t="shared" si="19"/>
        <v>L</v>
      </c>
      <c r="N19" s="14" t="str">
        <f t="shared" si="19"/>
        <v>M</v>
      </c>
      <c r="O19" s="14" t="str">
        <f t="shared" si="19"/>
        <v>N</v>
      </c>
      <c r="P19" s="14" t="str">
        <f t="shared" si="19"/>
        <v>O</v>
      </c>
      <c r="Q19" s="14" t="str">
        <f t="shared" si="19"/>
        <v>P</v>
      </c>
      <c r="R19" s="14" t="str">
        <f t="shared" si="19"/>
        <v>Q</v>
      </c>
      <c r="S19" s="14" t="str">
        <f t="shared" si="19"/>
        <v>R</v>
      </c>
      <c r="T19" s="14" t="str">
        <f t="shared" si="19"/>
        <v>S</v>
      </c>
      <c r="U19" s="14" t="str">
        <f t="shared" si="19"/>
        <v>T</v>
      </c>
      <c r="V19" s="14" t="str">
        <f t="shared" si="19"/>
        <v>U</v>
      </c>
      <c r="W19" s="14" t="str">
        <f t="shared" si="19"/>
        <v>V</v>
      </c>
      <c r="X19" s="14" t="str">
        <f t="shared" si="19"/>
        <v>W</v>
      </c>
      <c r="Y19" s="14" t="str">
        <f t="shared" si="19"/>
        <v>X</v>
      </c>
      <c r="Z19" s="14" t="str">
        <f t="shared" si="19"/>
        <v>Y</v>
      </c>
      <c r="AA19" s="14" t="str">
        <f t="shared" si="19"/>
        <v>Z</v>
      </c>
      <c r="AB19" s="14" t="str">
        <f t="shared" si="19"/>
        <v>A</v>
      </c>
      <c r="AC19" s="14" t="str">
        <f t="shared" si="19"/>
        <v>B</v>
      </c>
      <c r="AD19" s="14" t="str">
        <f t="shared" si="19"/>
        <v>C</v>
      </c>
      <c r="AE19" s="14" t="str">
        <f t="shared" si="19"/>
        <v>D</v>
      </c>
      <c r="AF19" s="10"/>
      <c r="AH19" s="28" t="str">
        <f t="shared" ref="AH19:BG19" si="20">IF(LEN(AH21)=2,LEFT(AH21,1),"")</f>
        <v>A</v>
      </c>
      <c r="AI19" s="28" t="str">
        <f t="shared" si="20"/>
        <v>B</v>
      </c>
      <c r="AJ19" s="28" t="str">
        <f t="shared" si="20"/>
        <v>C</v>
      </c>
      <c r="AK19" s="28" t="str">
        <f t="shared" si="20"/>
        <v>D</v>
      </c>
      <c r="AL19" s="28" t="str">
        <f t="shared" si="20"/>
        <v>E</v>
      </c>
      <c r="AM19" s="28" t="str">
        <f t="shared" si="20"/>
        <v>F</v>
      </c>
      <c r="AN19" s="28" t="str">
        <f t="shared" si="20"/>
        <v>G</v>
      </c>
      <c r="AO19" s="28" t="str">
        <f t="shared" si="20"/>
        <v>H</v>
      </c>
      <c r="AP19" s="28" t="str">
        <f t="shared" si="20"/>
        <v>I</v>
      </c>
      <c r="AQ19" s="28" t="str">
        <f t="shared" si="20"/>
        <v>J</v>
      </c>
      <c r="AR19" s="28" t="str">
        <f t="shared" si="20"/>
        <v>K</v>
      </c>
      <c r="AS19" s="28" t="str">
        <f t="shared" si="20"/>
        <v>L</v>
      </c>
      <c r="AT19" s="28" t="str">
        <f t="shared" si="20"/>
        <v>M</v>
      </c>
      <c r="AU19" s="28" t="str">
        <f t="shared" si="20"/>
        <v>N</v>
      </c>
      <c r="AV19" s="28" t="str">
        <f t="shared" si="20"/>
        <v>O</v>
      </c>
      <c r="AW19" s="28" t="str">
        <f t="shared" si="20"/>
        <v>P</v>
      </c>
      <c r="AX19" s="28" t="str">
        <f t="shared" si="20"/>
        <v>Q</v>
      </c>
      <c r="AY19" s="28" t="str">
        <f t="shared" si="20"/>
        <v>R</v>
      </c>
      <c r="AZ19" s="28" t="str">
        <f t="shared" si="20"/>
        <v>S</v>
      </c>
      <c r="BA19" s="28" t="str">
        <f t="shared" si="20"/>
        <v>T</v>
      </c>
      <c r="BB19" s="28" t="str">
        <f t="shared" si="20"/>
        <v>U</v>
      </c>
      <c r="BC19" s="28" t="str">
        <f t="shared" si="20"/>
        <v>V</v>
      </c>
      <c r="BD19" s="28" t="str">
        <f t="shared" si="20"/>
        <v>W</v>
      </c>
      <c r="BE19" s="28" t="str">
        <f t="shared" si="20"/>
        <v>X</v>
      </c>
      <c r="BF19" s="28" t="str">
        <f t="shared" si="20"/>
        <v>Y</v>
      </c>
      <c r="BG19" s="28" t="str">
        <f t="shared" si="20"/>
        <v>Z</v>
      </c>
    </row>
    <row r="20" spans="1:59" x14ac:dyDescent="0.35">
      <c r="B20" s="22"/>
      <c r="C20" s="8"/>
      <c r="E20" t="s">
        <v>387</v>
      </c>
      <c r="F20" s="15" t="str">
        <f t="shared" ref="F20:AE20" si="21">IF(F17=1,VLOOKUP(nRotorL&amp;F19,nRotor,4,FALSE),"")</f>
        <v>L</v>
      </c>
      <c r="G20" s="15" t="str">
        <f t="shared" si="21"/>
        <v>G</v>
      </c>
      <c r="H20" s="15" t="str">
        <f t="shared" si="21"/>
        <v>D</v>
      </c>
      <c r="I20" s="15" t="str">
        <f t="shared" si="21"/>
        <v>Q</v>
      </c>
      <c r="J20" s="15" t="str">
        <f t="shared" si="21"/>
        <v>V</v>
      </c>
      <c r="K20" s="15" t="str">
        <f t="shared" si="21"/>
        <v>Z</v>
      </c>
      <c r="L20" s="15" t="str">
        <f t="shared" si="21"/>
        <v>N</v>
      </c>
      <c r="M20" s="15" t="str">
        <f t="shared" si="21"/>
        <v>T</v>
      </c>
      <c r="N20" s="15" t="str">
        <f t="shared" si="21"/>
        <v>O</v>
      </c>
      <c r="O20" s="15" t="str">
        <f t="shared" si="21"/>
        <v>W</v>
      </c>
      <c r="P20" s="15" t="str">
        <f t="shared" si="21"/>
        <v>Y</v>
      </c>
      <c r="Q20" s="15" t="str">
        <f t="shared" si="21"/>
        <v>H</v>
      </c>
      <c r="R20" s="15" t="str">
        <f t="shared" si="21"/>
        <v>X</v>
      </c>
      <c r="S20" s="15" t="str">
        <f t="shared" si="21"/>
        <v>U</v>
      </c>
      <c r="T20" s="15" t="str">
        <f t="shared" si="21"/>
        <v>S</v>
      </c>
      <c r="U20" s="15" t="str">
        <f t="shared" si="21"/>
        <v>P</v>
      </c>
      <c r="V20" s="15" t="str">
        <f t="shared" si="21"/>
        <v>A</v>
      </c>
      <c r="W20" s="15" t="str">
        <f t="shared" si="21"/>
        <v>I</v>
      </c>
      <c r="X20" s="15" t="str">
        <f t="shared" si="21"/>
        <v>B</v>
      </c>
      <c r="Y20" s="15" t="str">
        <f t="shared" si="21"/>
        <v>R</v>
      </c>
      <c r="Z20" s="15" t="str">
        <f t="shared" si="21"/>
        <v>C</v>
      </c>
      <c r="AA20" s="15" t="str">
        <f t="shared" si="21"/>
        <v>J</v>
      </c>
      <c r="AB20" s="15" t="str">
        <f t="shared" si="21"/>
        <v>E</v>
      </c>
      <c r="AC20" s="15" t="str">
        <f t="shared" si="21"/>
        <v>K</v>
      </c>
      <c r="AD20" s="15" t="str">
        <f t="shared" si="21"/>
        <v>M</v>
      </c>
      <c r="AE20" s="15" t="str">
        <f t="shared" si="21"/>
        <v>F</v>
      </c>
      <c r="AF20" s="10"/>
      <c r="AH20" s="28" t="str">
        <f t="shared" ref="AH20:BG20" si="22">IF(LEN(AH21)=2,RIGHT(AH21,1),"")</f>
        <v>H</v>
      </c>
      <c r="AI20" s="28" t="str">
        <f t="shared" si="22"/>
        <v>C</v>
      </c>
      <c r="AJ20" s="28" t="str">
        <f t="shared" si="22"/>
        <v>Z</v>
      </c>
      <c r="AK20" s="28" t="str">
        <f t="shared" si="22"/>
        <v>M</v>
      </c>
      <c r="AL20" s="28" t="str">
        <f t="shared" si="22"/>
        <v>R</v>
      </c>
      <c r="AM20" s="28" t="str">
        <f t="shared" si="22"/>
        <v>V</v>
      </c>
      <c r="AN20" s="28" t="str">
        <f t="shared" si="22"/>
        <v>J</v>
      </c>
      <c r="AO20" s="28" t="str">
        <f t="shared" si="22"/>
        <v>P</v>
      </c>
      <c r="AP20" s="28" t="str">
        <f t="shared" si="22"/>
        <v>K</v>
      </c>
      <c r="AQ20" s="28" t="str">
        <f t="shared" si="22"/>
        <v>S</v>
      </c>
      <c r="AR20" s="28" t="str">
        <f t="shared" si="22"/>
        <v>U</v>
      </c>
      <c r="AS20" s="28" t="str">
        <f t="shared" si="22"/>
        <v>D</v>
      </c>
      <c r="AT20" s="28" t="str">
        <f t="shared" si="22"/>
        <v>T</v>
      </c>
      <c r="AU20" s="28" t="str">
        <f t="shared" si="22"/>
        <v>Q</v>
      </c>
      <c r="AV20" s="28" t="str">
        <f t="shared" si="22"/>
        <v>O</v>
      </c>
      <c r="AW20" s="28" t="str">
        <f t="shared" si="22"/>
        <v>L</v>
      </c>
      <c r="AX20" s="28" t="str">
        <f t="shared" si="22"/>
        <v>W</v>
      </c>
      <c r="AY20" s="28" t="str">
        <f t="shared" si="22"/>
        <v>E</v>
      </c>
      <c r="AZ20" s="28" t="str">
        <f t="shared" si="22"/>
        <v>X</v>
      </c>
      <c r="BA20" s="28" t="str">
        <f t="shared" si="22"/>
        <v>N</v>
      </c>
      <c r="BB20" s="28" t="str">
        <f t="shared" si="22"/>
        <v>Y</v>
      </c>
      <c r="BC20" s="28" t="str">
        <f t="shared" si="22"/>
        <v>F</v>
      </c>
      <c r="BD20" s="28" t="str">
        <f t="shared" si="22"/>
        <v>A</v>
      </c>
      <c r="BE20" s="28" t="str">
        <f t="shared" si="22"/>
        <v>G</v>
      </c>
      <c r="BF20" s="28" t="str">
        <f t="shared" si="22"/>
        <v>I</v>
      </c>
      <c r="BG20" s="28" t="str">
        <f t="shared" si="22"/>
        <v>B</v>
      </c>
    </row>
    <row r="21" spans="1:59" ht="15" thickBot="1" x14ac:dyDescent="0.4">
      <c r="B21" s="23"/>
      <c r="C21" s="16"/>
      <c r="D21" s="17"/>
      <c r="E21" s="17" t="s">
        <v>388</v>
      </c>
      <c r="F21" s="18" t="str">
        <f t="shared" ref="F21:AE21" si="23">IF(F17=1,IF(CODE(F20)-CODE(F19)&lt;0,VLOOKUP((CODE(F20)-CODE(F19)+26)+(CODE(F16)-nCharOffset),nNum2Let,2,FALSE),VLOOKUP((CODE(F20)-CODE(F19))+(CODE(F16)-nCharOffset),nNum2Let,2,FALSE)),"")</f>
        <v>H</v>
      </c>
      <c r="G21" s="18" t="str">
        <f t="shared" si="23"/>
        <v>C</v>
      </c>
      <c r="H21" s="18" t="str">
        <f t="shared" si="23"/>
        <v>Z</v>
      </c>
      <c r="I21" s="18" t="str">
        <f t="shared" si="23"/>
        <v>M</v>
      </c>
      <c r="J21" s="18" t="str">
        <f t="shared" si="23"/>
        <v>R</v>
      </c>
      <c r="K21" s="18" t="str">
        <f t="shared" si="23"/>
        <v>V</v>
      </c>
      <c r="L21" s="18" t="str">
        <f t="shared" si="23"/>
        <v>J</v>
      </c>
      <c r="M21" s="18" t="str">
        <f t="shared" si="23"/>
        <v>P</v>
      </c>
      <c r="N21" s="18" t="str">
        <f t="shared" si="23"/>
        <v>K</v>
      </c>
      <c r="O21" s="18" t="str">
        <f t="shared" si="23"/>
        <v>S</v>
      </c>
      <c r="P21" s="18" t="str">
        <f t="shared" si="23"/>
        <v>U</v>
      </c>
      <c r="Q21" s="18" t="str">
        <f t="shared" si="23"/>
        <v>D</v>
      </c>
      <c r="R21" s="18" t="str">
        <f t="shared" si="23"/>
        <v>T</v>
      </c>
      <c r="S21" s="18" t="str">
        <f t="shared" si="23"/>
        <v>Q</v>
      </c>
      <c r="T21" s="18" t="str">
        <f t="shared" si="23"/>
        <v>O</v>
      </c>
      <c r="U21" s="18" t="str">
        <f t="shared" si="23"/>
        <v>L</v>
      </c>
      <c r="V21" s="18" t="str">
        <f t="shared" si="23"/>
        <v>W</v>
      </c>
      <c r="W21" s="18" t="str">
        <f t="shared" si="23"/>
        <v>E</v>
      </c>
      <c r="X21" s="18" t="str">
        <f t="shared" si="23"/>
        <v>X</v>
      </c>
      <c r="Y21" s="18" t="str">
        <f t="shared" si="23"/>
        <v>N</v>
      </c>
      <c r="Z21" s="18" t="str">
        <f t="shared" si="23"/>
        <v>Y</v>
      </c>
      <c r="AA21" s="18" t="str">
        <f t="shared" si="23"/>
        <v>F</v>
      </c>
      <c r="AB21" s="18" t="str">
        <f t="shared" si="23"/>
        <v>A</v>
      </c>
      <c r="AC21" s="18" t="str">
        <f t="shared" si="23"/>
        <v>G</v>
      </c>
      <c r="AD21" s="18" t="str">
        <f t="shared" si="23"/>
        <v>I</v>
      </c>
      <c r="AE21" s="18" t="str">
        <f t="shared" si="23"/>
        <v>B</v>
      </c>
      <c r="AF21" s="19" t="str">
        <f>CONCATENATE(F21,G21,H21,I21,J21,K21,L21,M21,N21,O21,P21,Q21,R21,S21,T21&amp;U21,V21,W21,X21,Y21,Z21,AA21,AB21,AC21,AD21,AE21)</f>
        <v>HCZMRVJPKSUDTQOLWEXNYFAGIB</v>
      </c>
      <c r="AH21" s="12" t="str">
        <f>F16&amp;F21</f>
        <v>AH</v>
      </c>
      <c r="AI21" s="12" t="str">
        <f t="shared" ref="AI21:BG21" si="24">G16&amp;G21</f>
        <v>BC</v>
      </c>
      <c r="AJ21" s="12" t="str">
        <f t="shared" si="24"/>
        <v>CZ</v>
      </c>
      <c r="AK21" s="12" t="str">
        <f t="shared" si="24"/>
        <v>DM</v>
      </c>
      <c r="AL21" s="12" t="str">
        <f t="shared" si="24"/>
        <v>ER</v>
      </c>
      <c r="AM21" s="12" t="str">
        <f t="shared" si="24"/>
        <v>FV</v>
      </c>
      <c r="AN21" s="12" t="str">
        <f t="shared" si="24"/>
        <v>GJ</v>
      </c>
      <c r="AO21" s="12" t="str">
        <f t="shared" si="24"/>
        <v>HP</v>
      </c>
      <c r="AP21" s="12" t="str">
        <f t="shared" si="24"/>
        <v>IK</v>
      </c>
      <c r="AQ21" s="12" t="str">
        <f t="shared" si="24"/>
        <v>JS</v>
      </c>
      <c r="AR21" s="12" t="str">
        <f t="shared" si="24"/>
        <v>KU</v>
      </c>
      <c r="AS21" s="12" t="str">
        <f t="shared" si="24"/>
        <v>LD</v>
      </c>
      <c r="AT21" s="12" t="str">
        <f t="shared" si="24"/>
        <v>MT</v>
      </c>
      <c r="AU21" s="12" t="str">
        <f t="shared" si="24"/>
        <v>NQ</v>
      </c>
      <c r="AV21" s="12" t="str">
        <f t="shared" si="24"/>
        <v>OO</v>
      </c>
      <c r="AW21" s="12" t="str">
        <f t="shared" si="24"/>
        <v>PL</v>
      </c>
      <c r="AX21" s="12" t="str">
        <f t="shared" si="24"/>
        <v>QW</v>
      </c>
      <c r="AY21" s="12" t="str">
        <f t="shared" si="24"/>
        <v>RE</v>
      </c>
      <c r="AZ21" s="12" t="str">
        <f t="shared" si="24"/>
        <v>SX</v>
      </c>
      <c r="BA21" s="12" t="str">
        <f t="shared" si="24"/>
        <v>TN</v>
      </c>
      <c r="BB21" s="12" t="str">
        <f t="shared" si="24"/>
        <v>UY</v>
      </c>
      <c r="BC21" s="12" t="str">
        <f t="shared" si="24"/>
        <v>VF</v>
      </c>
      <c r="BD21" s="12" t="str">
        <f t="shared" si="24"/>
        <v>WA</v>
      </c>
      <c r="BE21" s="12" t="str">
        <f t="shared" si="24"/>
        <v>XG</v>
      </c>
      <c r="BF21" s="12" t="str">
        <f t="shared" si="24"/>
        <v>YI</v>
      </c>
      <c r="BG21" s="12" t="str">
        <f t="shared" si="24"/>
        <v>ZB</v>
      </c>
    </row>
    <row r="22" spans="1:59" x14ac:dyDescent="0.35">
      <c r="B22" s="21"/>
      <c r="C22" s="5"/>
      <c r="D22" s="5"/>
      <c r="E22" s="5" t="s">
        <v>385</v>
      </c>
      <c r="F22" s="6" t="s">
        <v>0</v>
      </c>
      <c r="G22" s="6" t="s">
        <v>1</v>
      </c>
      <c r="H22" s="6" t="s">
        <v>2</v>
      </c>
      <c r="I22" s="6" t="s">
        <v>3</v>
      </c>
      <c r="J22" s="6" t="s">
        <v>4</v>
      </c>
      <c r="K22" s="6" t="s">
        <v>5</v>
      </c>
      <c r="L22" s="6" t="s">
        <v>6</v>
      </c>
      <c r="M22" s="6" t="s">
        <v>7</v>
      </c>
      <c r="N22" s="6" t="s">
        <v>8</v>
      </c>
      <c r="O22" s="6" t="s">
        <v>9</v>
      </c>
      <c r="P22" s="6" t="s">
        <v>10</v>
      </c>
      <c r="Q22" s="6" t="s">
        <v>11</v>
      </c>
      <c r="R22" s="6" t="s">
        <v>12</v>
      </c>
      <c r="S22" s="6" t="s">
        <v>13</v>
      </c>
      <c r="T22" s="6" t="s">
        <v>14</v>
      </c>
      <c r="U22" s="6" t="s">
        <v>15</v>
      </c>
      <c r="V22" s="6" t="s">
        <v>16</v>
      </c>
      <c r="W22" s="6" t="s">
        <v>17</v>
      </c>
      <c r="X22" s="6" t="s">
        <v>18</v>
      </c>
      <c r="Y22" s="6" t="s">
        <v>19</v>
      </c>
      <c r="Z22" s="6" t="s">
        <v>20</v>
      </c>
      <c r="AA22" s="6" t="s">
        <v>21</v>
      </c>
      <c r="AB22" s="6" t="s">
        <v>22</v>
      </c>
      <c r="AC22" s="6" t="s">
        <v>23</v>
      </c>
      <c r="AD22" s="6" t="s">
        <v>24</v>
      </c>
      <c r="AE22" s="6" t="s">
        <v>25</v>
      </c>
      <c r="AF22" s="7"/>
      <c r="AH22" s="28" t="str">
        <f>HLOOKUP(AH16,$AH19:$BG20,2,FALSE)</f>
        <v>I</v>
      </c>
      <c r="AI22" s="28" t="str">
        <f>HLOOKUP(AI16,$AH19:$BG20,2,FALSE)</f>
        <v>H</v>
      </c>
      <c r="AJ22" s="28" t="str">
        <f t="shared" ref="AJ22:BG22" si="25">HLOOKUP(AJ16,$AH19:$BG20,2,FALSE)</f>
        <v>E</v>
      </c>
      <c r="AK22" s="28" t="str">
        <f t="shared" si="25"/>
        <v>J</v>
      </c>
      <c r="AL22" s="28" t="str">
        <f t="shared" si="25"/>
        <v>O</v>
      </c>
      <c r="AM22" s="28" t="str">
        <f t="shared" si="25"/>
        <v>X</v>
      </c>
      <c r="AN22" s="28" t="str">
        <f t="shared" si="25"/>
        <v>Y</v>
      </c>
      <c r="AO22" s="28" t="str">
        <f t="shared" si="25"/>
        <v>N</v>
      </c>
      <c r="AP22" s="28" t="str">
        <f t="shared" si="25"/>
        <v>B</v>
      </c>
      <c r="AQ22" s="28" t="str">
        <f t="shared" si="25"/>
        <v>P</v>
      </c>
      <c r="AR22" s="28" t="str">
        <f t="shared" si="25"/>
        <v>V</v>
      </c>
      <c r="AS22" s="28" t="str">
        <f t="shared" si="25"/>
        <v>W</v>
      </c>
      <c r="AT22" s="28" t="str">
        <f t="shared" si="25"/>
        <v>Q</v>
      </c>
      <c r="AU22" s="28" t="str">
        <f t="shared" si="25"/>
        <v>G</v>
      </c>
      <c r="AV22" s="28" t="str">
        <f t="shared" si="25"/>
        <v>T</v>
      </c>
      <c r="AW22" s="28" t="str">
        <f t="shared" si="25"/>
        <v>K</v>
      </c>
      <c r="AX22" s="28" t="str">
        <f t="shared" si="25"/>
        <v>M</v>
      </c>
      <c r="AY22" s="28" t="str">
        <f t="shared" si="25"/>
        <v>D</v>
      </c>
      <c r="AZ22" s="28" t="str">
        <f t="shared" si="25"/>
        <v>A</v>
      </c>
      <c r="BA22" s="28" t="str">
        <f t="shared" si="25"/>
        <v>S</v>
      </c>
      <c r="BB22" s="28" t="str">
        <f t="shared" si="25"/>
        <v>U</v>
      </c>
      <c r="BC22" s="28" t="str">
        <f t="shared" si="25"/>
        <v>F</v>
      </c>
      <c r="BD22" s="28" t="str">
        <f t="shared" si="25"/>
        <v>L</v>
      </c>
      <c r="BE22" s="28" t="str">
        <f t="shared" si="25"/>
        <v>C</v>
      </c>
      <c r="BF22" s="28" t="str">
        <f t="shared" si="25"/>
        <v>Z</v>
      </c>
      <c r="BG22" s="28" t="str">
        <f t="shared" si="25"/>
        <v>R</v>
      </c>
    </row>
    <row r="23" spans="1:59" x14ac:dyDescent="0.35">
      <c r="B23" s="22" t="s">
        <v>26</v>
      </c>
      <c r="C23" s="41" t="str">
        <f>n_Reflector</f>
        <v>B</v>
      </c>
      <c r="D23" s="11" t="str">
        <f>"Wide"&amp;C23</f>
        <v>WideB</v>
      </c>
      <c r="F23" s="1">
        <f>IF(ISERROR(FIND(F22,$AF21)),0,1)</f>
        <v>1</v>
      </c>
      <c r="G23" s="1">
        <f t="shared" ref="G23:AE23" si="26">IF(ISERROR(FIND(G22,$AF21)),0,1)</f>
        <v>1</v>
      </c>
      <c r="H23" s="1">
        <f t="shared" si="26"/>
        <v>1</v>
      </c>
      <c r="I23" s="1">
        <f t="shared" si="26"/>
        <v>1</v>
      </c>
      <c r="J23" s="1">
        <f t="shared" si="26"/>
        <v>1</v>
      </c>
      <c r="K23" s="1">
        <f t="shared" si="26"/>
        <v>1</v>
      </c>
      <c r="L23" s="1">
        <f t="shared" si="26"/>
        <v>1</v>
      </c>
      <c r="M23" s="1">
        <f t="shared" si="26"/>
        <v>1</v>
      </c>
      <c r="N23" s="1">
        <f t="shared" si="26"/>
        <v>1</v>
      </c>
      <c r="O23" s="1">
        <f t="shared" si="26"/>
        <v>1</v>
      </c>
      <c r="P23" s="1">
        <f t="shared" si="26"/>
        <v>1</v>
      </c>
      <c r="Q23" s="1">
        <f t="shared" si="26"/>
        <v>1</v>
      </c>
      <c r="R23" s="1">
        <f t="shared" si="26"/>
        <v>1</v>
      </c>
      <c r="S23" s="1">
        <f t="shared" si="26"/>
        <v>1</v>
      </c>
      <c r="T23" s="1">
        <f t="shared" si="26"/>
        <v>1</v>
      </c>
      <c r="U23" s="1">
        <f t="shared" si="26"/>
        <v>1</v>
      </c>
      <c r="V23" s="1">
        <f t="shared" si="26"/>
        <v>1</v>
      </c>
      <c r="W23" s="1">
        <f t="shared" si="26"/>
        <v>1</v>
      </c>
      <c r="X23" s="1">
        <f t="shared" si="26"/>
        <v>1</v>
      </c>
      <c r="Y23" s="1">
        <f t="shared" si="26"/>
        <v>1</v>
      </c>
      <c r="Z23" s="1">
        <f t="shared" si="26"/>
        <v>1</v>
      </c>
      <c r="AA23" s="1">
        <f t="shared" si="26"/>
        <v>1</v>
      </c>
      <c r="AB23" s="1">
        <f t="shared" si="26"/>
        <v>1</v>
      </c>
      <c r="AC23" s="1">
        <f t="shared" si="26"/>
        <v>1</v>
      </c>
      <c r="AD23" s="1">
        <f t="shared" si="26"/>
        <v>1</v>
      </c>
      <c r="AE23" s="1">
        <f t="shared" si="26"/>
        <v>1</v>
      </c>
      <c r="AF23" s="10"/>
      <c r="AH23" s="28" t="str">
        <f>HLOOKUP(AH22,$AH25:$BG26,2,FALSE)</f>
        <v>P</v>
      </c>
      <c r="AI23" s="28" t="str">
        <f t="shared" ref="AI23:BG23" si="27">HLOOKUP(AI22,$AH25:$BG26,2,FALSE)</f>
        <v>D</v>
      </c>
      <c r="AJ23" s="28" t="str">
        <f t="shared" si="27"/>
        <v>Q</v>
      </c>
      <c r="AK23" s="28" t="str">
        <f t="shared" si="27"/>
        <v>X</v>
      </c>
      <c r="AL23" s="28" t="str">
        <f t="shared" si="27"/>
        <v>M</v>
      </c>
      <c r="AM23" s="28" t="str">
        <f t="shared" si="27"/>
        <v>J</v>
      </c>
      <c r="AN23" s="28" t="str">
        <f t="shared" si="27"/>
        <v>A</v>
      </c>
      <c r="AO23" s="28" t="str">
        <f t="shared" si="27"/>
        <v>K</v>
      </c>
      <c r="AP23" s="28" t="str">
        <f t="shared" si="27"/>
        <v>R</v>
      </c>
      <c r="AQ23" s="28" t="str">
        <f t="shared" si="27"/>
        <v>I</v>
      </c>
      <c r="AR23" s="28" t="str">
        <f t="shared" si="27"/>
        <v>W</v>
      </c>
      <c r="AS23" s="28" t="str">
        <f t="shared" si="27"/>
        <v>V</v>
      </c>
      <c r="AT23" s="28" t="str">
        <f t="shared" si="27"/>
        <v>E</v>
      </c>
      <c r="AU23" s="28" t="str">
        <f t="shared" si="27"/>
        <v>L</v>
      </c>
      <c r="AV23" s="28" t="str">
        <f t="shared" si="27"/>
        <v>Z</v>
      </c>
      <c r="AW23" s="28" t="str">
        <f t="shared" si="27"/>
        <v>N</v>
      </c>
      <c r="AX23" s="28" t="str">
        <f t="shared" si="27"/>
        <v>O</v>
      </c>
      <c r="AY23" s="28" t="str">
        <f t="shared" si="27"/>
        <v>H</v>
      </c>
      <c r="AZ23" s="28" t="str">
        <f t="shared" si="27"/>
        <v>Y</v>
      </c>
      <c r="BA23" s="28" t="str">
        <f t="shared" si="27"/>
        <v>F</v>
      </c>
      <c r="BB23" s="28" t="str">
        <f t="shared" si="27"/>
        <v>C</v>
      </c>
      <c r="BC23" s="28" t="str">
        <f t="shared" si="27"/>
        <v>S</v>
      </c>
      <c r="BD23" s="28" t="str">
        <f t="shared" si="27"/>
        <v>G</v>
      </c>
      <c r="BE23" s="28" t="str">
        <f t="shared" si="27"/>
        <v>U</v>
      </c>
      <c r="BF23" s="28" t="str">
        <f t="shared" si="27"/>
        <v>T</v>
      </c>
      <c r="BG23" s="28" t="str">
        <f t="shared" si="27"/>
        <v>B</v>
      </c>
    </row>
    <row r="24" spans="1:59" ht="15" thickBot="1" x14ac:dyDescent="0.4">
      <c r="B24" s="23"/>
      <c r="C24" s="17"/>
      <c r="D24" s="17"/>
      <c r="E24" s="17"/>
      <c r="F24" s="24" t="str">
        <f t="shared" ref="F24:AE24" si="28">IF(F23=1,VLOOKUP(nReflector&amp;"_"&amp;F22,nReflectorWide,4,FALSE),"")</f>
        <v>Y</v>
      </c>
      <c r="G24" s="24" t="str">
        <f t="shared" si="28"/>
        <v>R</v>
      </c>
      <c r="H24" s="24" t="str">
        <f t="shared" si="28"/>
        <v>U</v>
      </c>
      <c r="I24" s="24" t="str">
        <f t="shared" si="28"/>
        <v>H</v>
      </c>
      <c r="J24" s="24" t="str">
        <f t="shared" si="28"/>
        <v>Q</v>
      </c>
      <c r="K24" s="24" t="str">
        <f t="shared" si="28"/>
        <v>S</v>
      </c>
      <c r="L24" s="24" t="str">
        <f t="shared" si="28"/>
        <v>L</v>
      </c>
      <c r="M24" s="24" t="str">
        <f t="shared" si="28"/>
        <v>D</v>
      </c>
      <c r="N24" s="24" t="str">
        <f t="shared" si="28"/>
        <v>P</v>
      </c>
      <c r="O24" s="24" t="str">
        <f t="shared" si="28"/>
        <v>X</v>
      </c>
      <c r="P24" s="24" t="str">
        <f t="shared" si="28"/>
        <v>N</v>
      </c>
      <c r="Q24" s="24" t="str">
        <f t="shared" si="28"/>
        <v>G</v>
      </c>
      <c r="R24" s="24" t="str">
        <f t="shared" si="28"/>
        <v>O</v>
      </c>
      <c r="S24" s="24" t="str">
        <f t="shared" si="28"/>
        <v>K</v>
      </c>
      <c r="T24" s="24" t="str">
        <f t="shared" si="28"/>
        <v>M</v>
      </c>
      <c r="U24" s="24" t="str">
        <f t="shared" si="28"/>
        <v>I</v>
      </c>
      <c r="V24" s="24" t="str">
        <f t="shared" si="28"/>
        <v>E</v>
      </c>
      <c r="W24" s="24" t="str">
        <f t="shared" si="28"/>
        <v>B</v>
      </c>
      <c r="X24" s="24" t="str">
        <f t="shared" si="28"/>
        <v>F</v>
      </c>
      <c r="Y24" s="24" t="str">
        <f t="shared" si="28"/>
        <v>Z</v>
      </c>
      <c r="Z24" s="24" t="str">
        <f t="shared" si="28"/>
        <v>C</v>
      </c>
      <c r="AA24" s="24" t="str">
        <f t="shared" si="28"/>
        <v>W</v>
      </c>
      <c r="AB24" s="24" t="str">
        <f t="shared" si="28"/>
        <v>V</v>
      </c>
      <c r="AC24" s="24" t="str">
        <f t="shared" si="28"/>
        <v>J</v>
      </c>
      <c r="AD24" s="24" t="str">
        <f t="shared" si="28"/>
        <v>A</v>
      </c>
      <c r="AE24" s="24" t="str">
        <f t="shared" si="28"/>
        <v>T</v>
      </c>
      <c r="AF24" s="25" t="str">
        <f>CONCATENATE(F24,G24,H24,I24,J24,K24,L24,M24,N24,O24,P24,Q24,R24,S24,T24&amp;U24,V24,W24,X24,Y24,Z24,AA24,AB24,AC24,AD24,AE24)</f>
        <v>YRUHQSLDPXNGOKMIEBFZCWVJAT</v>
      </c>
      <c r="AH24" s="27" t="str">
        <f>F22&amp;F24</f>
        <v>AY</v>
      </c>
      <c r="AI24" s="27" t="str">
        <f t="shared" ref="AI24:BG24" si="29">G22&amp;G24</f>
        <v>BR</v>
      </c>
      <c r="AJ24" s="27" t="str">
        <f t="shared" si="29"/>
        <v>CU</v>
      </c>
      <c r="AK24" s="27" t="str">
        <f t="shared" si="29"/>
        <v>DH</v>
      </c>
      <c r="AL24" s="27" t="str">
        <f t="shared" si="29"/>
        <v>EQ</v>
      </c>
      <c r="AM24" s="27" t="str">
        <f t="shared" si="29"/>
        <v>FS</v>
      </c>
      <c r="AN24" s="27" t="str">
        <f t="shared" si="29"/>
        <v>GL</v>
      </c>
      <c r="AO24" s="27" t="str">
        <f t="shared" si="29"/>
        <v>HD</v>
      </c>
      <c r="AP24" s="27" t="str">
        <f t="shared" si="29"/>
        <v>IP</v>
      </c>
      <c r="AQ24" s="27" t="str">
        <f t="shared" si="29"/>
        <v>JX</v>
      </c>
      <c r="AR24" s="27" t="str">
        <f t="shared" si="29"/>
        <v>KN</v>
      </c>
      <c r="AS24" s="27" t="str">
        <f t="shared" si="29"/>
        <v>LG</v>
      </c>
      <c r="AT24" s="27" t="str">
        <f t="shared" si="29"/>
        <v>MO</v>
      </c>
      <c r="AU24" s="27" t="str">
        <f t="shared" si="29"/>
        <v>NK</v>
      </c>
      <c r="AV24" s="27" t="str">
        <f t="shared" si="29"/>
        <v>OM</v>
      </c>
      <c r="AW24" s="27" t="str">
        <f t="shared" si="29"/>
        <v>PI</v>
      </c>
      <c r="AX24" s="27" t="str">
        <f t="shared" si="29"/>
        <v>QE</v>
      </c>
      <c r="AY24" s="27" t="str">
        <f t="shared" si="29"/>
        <v>RB</v>
      </c>
      <c r="AZ24" s="27" t="str">
        <f t="shared" si="29"/>
        <v>SF</v>
      </c>
      <c r="BA24" s="27" t="str">
        <f t="shared" si="29"/>
        <v>TZ</v>
      </c>
      <c r="BB24" s="27" t="str">
        <f t="shared" si="29"/>
        <v>UC</v>
      </c>
      <c r="BC24" s="27" t="str">
        <f t="shared" si="29"/>
        <v>VW</v>
      </c>
      <c r="BD24" s="27" t="str">
        <f t="shared" si="29"/>
        <v>WV</v>
      </c>
      <c r="BE24" s="27" t="str">
        <f t="shared" si="29"/>
        <v>XJ</v>
      </c>
      <c r="BF24" s="27" t="str">
        <f t="shared" si="29"/>
        <v>YA</v>
      </c>
      <c r="BG24" s="27" t="str">
        <f t="shared" si="29"/>
        <v>ZT</v>
      </c>
    </row>
    <row r="25" spans="1:59" x14ac:dyDescent="0.35">
      <c r="B25" s="21"/>
      <c r="C25" s="4"/>
      <c r="D25" s="5"/>
      <c r="E25" s="5" t="s">
        <v>385</v>
      </c>
      <c r="F25" s="6" t="s">
        <v>0</v>
      </c>
      <c r="G25" s="6" t="s">
        <v>1</v>
      </c>
      <c r="H25" s="6" t="s">
        <v>2</v>
      </c>
      <c r="I25" s="6" t="s">
        <v>3</v>
      </c>
      <c r="J25" s="6" t="s">
        <v>4</v>
      </c>
      <c r="K25" s="6" t="s">
        <v>5</v>
      </c>
      <c r="L25" s="6" t="s">
        <v>6</v>
      </c>
      <c r="M25" s="6" t="s">
        <v>7</v>
      </c>
      <c r="N25" s="6" t="s">
        <v>8</v>
      </c>
      <c r="O25" s="6" t="s">
        <v>9</v>
      </c>
      <c r="P25" s="6" t="s">
        <v>10</v>
      </c>
      <c r="Q25" s="6" t="s">
        <v>11</v>
      </c>
      <c r="R25" s="6" t="s">
        <v>12</v>
      </c>
      <c r="S25" s="6" t="s">
        <v>13</v>
      </c>
      <c r="T25" s="6" t="s">
        <v>14</v>
      </c>
      <c r="U25" s="6" t="s">
        <v>15</v>
      </c>
      <c r="V25" s="6" t="s">
        <v>16</v>
      </c>
      <c r="W25" s="6" t="s">
        <v>17</v>
      </c>
      <c r="X25" s="6" t="s">
        <v>18</v>
      </c>
      <c r="Y25" s="6" t="s">
        <v>19</v>
      </c>
      <c r="Z25" s="6" t="s">
        <v>20</v>
      </c>
      <c r="AA25" s="6" t="s">
        <v>21</v>
      </c>
      <c r="AB25" s="6" t="s">
        <v>22</v>
      </c>
      <c r="AC25" s="6" t="s">
        <v>23</v>
      </c>
      <c r="AD25" s="6" t="s">
        <v>24</v>
      </c>
      <c r="AE25" s="6" t="s">
        <v>25</v>
      </c>
      <c r="AF25" s="7"/>
      <c r="AH25" s="28" t="str">
        <f>IF(LEN(AH24)=2,LEFT(AH24,1),"")</f>
        <v>A</v>
      </c>
      <c r="AI25" s="28" t="str">
        <f t="shared" ref="AI25:BG25" si="30">IF(LEN(AI24)=2,LEFT(AI24,1),"")</f>
        <v>B</v>
      </c>
      <c r="AJ25" s="28" t="str">
        <f t="shared" si="30"/>
        <v>C</v>
      </c>
      <c r="AK25" s="28" t="str">
        <f t="shared" si="30"/>
        <v>D</v>
      </c>
      <c r="AL25" s="28" t="str">
        <f t="shared" si="30"/>
        <v>E</v>
      </c>
      <c r="AM25" s="28" t="str">
        <f t="shared" si="30"/>
        <v>F</v>
      </c>
      <c r="AN25" s="28" t="str">
        <f t="shared" si="30"/>
        <v>G</v>
      </c>
      <c r="AO25" s="28" t="str">
        <f t="shared" si="30"/>
        <v>H</v>
      </c>
      <c r="AP25" s="28" t="str">
        <f t="shared" si="30"/>
        <v>I</v>
      </c>
      <c r="AQ25" s="28" t="str">
        <f t="shared" si="30"/>
        <v>J</v>
      </c>
      <c r="AR25" s="28" t="str">
        <f t="shared" si="30"/>
        <v>K</v>
      </c>
      <c r="AS25" s="28" t="str">
        <f t="shared" si="30"/>
        <v>L</v>
      </c>
      <c r="AT25" s="28" t="str">
        <f t="shared" si="30"/>
        <v>M</v>
      </c>
      <c r="AU25" s="28" t="str">
        <f t="shared" si="30"/>
        <v>N</v>
      </c>
      <c r="AV25" s="28" t="str">
        <f t="shared" si="30"/>
        <v>O</v>
      </c>
      <c r="AW25" s="28" t="str">
        <f t="shared" si="30"/>
        <v>P</v>
      </c>
      <c r="AX25" s="28" t="str">
        <f t="shared" si="30"/>
        <v>Q</v>
      </c>
      <c r="AY25" s="28" t="str">
        <f t="shared" si="30"/>
        <v>R</v>
      </c>
      <c r="AZ25" s="28" t="str">
        <f t="shared" si="30"/>
        <v>S</v>
      </c>
      <c r="BA25" s="28" t="str">
        <f t="shared" si="30"/>
        <v>T</v>
      </c>
      <c r="BB25" s="28" t="str">
        <f t="shared" si="30"/>
        <v>U</v>
      </c>
      <c r="BC25" s="28" t="str">
        <f t="shared" si="30"/>
        <v>V</v>
      </c>
      <c r="BD25" s="28" t="str">
        <f t="shared" si="30"/>
        <v>W</v>
      </c>
      <c r="BE25" s="28" t="str">
        <f t="shared" si="30"/>
        <v>X</v>
      </c>
      <c r="BF25" s="28" t="str">
        <f t="shared" si="30"/>
        <v>Y</v>
      </c>
      <c r="BG25" s="28" t="str">
        <f t="shared" si="30"/>
        <v>Z</v>
      </c>
    </row>
    <row r="26" spans="1:59" x14ac:dyDescent="0.35">
      <c r="B26" s="22"/>
      <c r="C26" s="8"/>
      <c r="F26" s="1">
        <f t="shared" ref="F26:AE26" si="31">IF(ISERROR(FIND(F25,$AF24)),0,1)</f>
        <v>1</v>
      </c>
      <c r="G26" s="1">
        <f t="shared" si="31"/>
        <v>1</v>
      </c>
      <c r="H26" s="1">
        <f t="shared" si="31"/>
        <v>1</v>
      </c>
      <c r="I26" s="1">
        <f t="shared" si="31"/>
        <v>1</v>
      </c>
      <c r="J26" s="1">
        <f t="shared" si="31"/>
        <v>1</v>
      </c>
      <c r="K26" s="1">
        <f t="shared" si="31"/>
        <v>1</v>
      </c>
      <c r="L26" s="1">
        <f t="shared" si="31"/>
        <v>1</v>
      </c>
      <c r="M26" s="1">
        <f t="shared" si="31"/>
        <v>1</v>
      </c>
      <c r="N26" s="1">
        <f t="shared" si="31"/>
        <v>1</v>
      </c>
      <c r="O26" s="1">
        <f t="shared" si="31"/>
        <v>1</v>
      </c>
      <c r="P26" s="1">
        <f t="shared" si="31"/>
        <v>1</v>
      </c>
      <c r="Q26" s="1">
        <f t="shared" si="31"/>
        <v>1</v>
      </c>
      <c r="R26" s="1">
        <f t="shared" si="31"/>
        <v>1</v>
      </c>
      <c r="S26" s="1">
        <f t="shared" si="31"/>
        <v>1</v>
      </c>
      <c r="T26" s="1">
        <f t="shared" si="31"/>
        <v>1</v>
      </c>
      <c r="U26" s="1">
        <f t="shared" si="31"/>
        <v>1</v>
      </c>
      <c r="V26" s="1">
        <f t="shared" si="31"/>
        <v>1</v>
      </c>
      <c r="W26" s="1">
        <f t="shared" si="31"/>
        <v>1</v>
      </c>
      <c r="X26" s="1">
        <f t="shared" si="31"/>
        <v>1</v>
      </c>
      <c r="Y26" s="1">
        <f t="shared" si="31"/>
        <v>1</v>
      </c>
      <c r="Z26" s="1">
        <f t="shared" si="31"/>
        <v>1</v>
      </c>
      <c r="AA26" s="1">
        <f t="shared" si="31"/>
        <v>1</v>
      </c>
      <c r="AB26" s="1">
        <f t="shared" si="31"/>
        <v>1</v>
      </c>
      <c r="AC26" s="1">
        <f t="shared" si="31"/>
        <v>1</v>
      </c>
      <c r="AD26" s="1">
        <f t="shared" si="31"/>
        <v>1</v>
      </c>
      <c r="AE26" s="1">
        <f t="shared" si="31"/>
        <v>1</v>
      </c>
      <c r="AF26" s="10"/>
      <c r="AH26" s="28" t="str">
        <f>IF(LEN(AH24)=2,RIGHT(AH24,1),"")</f>
        <v>Y</v>
      </c>
      <c r="AI26" s="28" t="str">
        <f t="shared" ref="AI26:BG26" si="32">IF(LEN(AI24)=2,RIGHT(AI24,1),"")</f>
        <v>R</v>
      </c>
      <c r="AJ26" s="28" t="str">
        <f t="shared" si="32"/>
        <v>U</v>
      </c>
      <c r="AK26" s="28" t="str">
        <f t="shared" si="32"/>
        <v>H</v>
      </c>
      <c r="AL26" s="28" t="str">
        <f t="shared" si="32"/>
        <v>Q</v>
      </c>
      <c r="AM26" s="28" t="str">
        <f t="shared" si="32"/>
        <v>S</v>
      </c>
      <c r="AN26" s="28" t="str">
        <f t="shared" si="32"/>
        <v>L</v>
      </c>
      <c r="AO26" s="28" t="str">
        <f t="shared" si="32"/>
        <v>D</v>
      </c>
      <c r="AP26" s="28" t="str">
        <f t="shared" si="32"/>
        <v>P</v>
      </c>
      <c r="AQ26" s="28" t="str">
        <f t="shared" si="32"/>
        <v>X</v>
      </c>
      <c r="AR26" s="28" t="str">
        <f t="shared" si="32"/>
        <v>N</v>
      </c>
      <c r="AS26" s="28" t="str">
        <f t="shared" si="32"/>
        <v>G</v>
      </c>
      <c r="AT26" s="28" t="str">
        <f t="shared" si="32"/>
        <v>O</v>
      </c>
      <c r="AU26" s="28" t="str">
        <f t="shared" si="32"/>
        <v>K</v>
      </c>
      <c r="AV26" s="28" t="str">
        <f t="shared" si="32"/>
        <v>M</v>
      </c>
      <c r="AW26" s="28" t="str">
        <f t="shared" si="32"/>
        <v>I</v>
      </c>
      <c r="AX26" s="28" t="str">
        <f t="shared" si="32"/>
        <v>E</v>
      </c>
      <c r="AY26" s="28" t="str">
        <f t="shared" si="32"/>
        <v>B</v>
      </c>
      <c r="AZ26" s="28" t="str">
        <f t="shared" si="32"/>
        <v>F</v>
      </c>
      <c r="BA26" s="28" t="str">
        <f t="shared" si="32"/>
        <v>Z</v>
      </c>
      <c r="BB26" s="28" t="str">
        <f t="shared" si="32"/>
        <v>C</v>
      </c>
      <c r="BC26" s="28" t="str">
        <f t="shared" si="32"/>
        <v>W</v>
      </c>
      <c r="BD26" s="28" t="str">
        <f t="shared" si="32"/>
        <v>V</v>
      </c>
      <c r="BE26" s="28" t="str">
        <f t="shared" si="32"/>
        <v>J</v>
      </c>
      <c r="BF26" s="28" t="str">
        <f t="shared" si="32"/>
        <v>A</v>
      </c>
      <c r="BG26" s="28" t="str">
        <f t="shared" si="32"/>
        <v>T</v>
      </c>
    </row>
    <row r="27" spans="1:59" x14ac:dyDescent="0.35">
      <c r="B27" s="22" t="s">
        <v>382</v>
      </c>
      <c r="C27" s="26" t="str">
        <f>"R"&amp;C18</f>
        <v>R1</v>
      </c>
      <c r="D27" s="11">
        <f>D18</f>
        <v>5</v>
      </c>
      <c r="E27" s="11">
        <f>E18</f>
        <v>5</v>
      </c>
      <c r="F27" s="12" t="str">
        <f>F18</f>
        <v>E</v>
      </c>
      <c r="G27" s="13" t="str">
        <f t="shared" ref="G27:AE27" si="33">VLOOKUP(F27,nNextLetter,2,FALSE)</f>
        <v>F</v>
      </c>
      <c r="H27" s="13" t="str">
        <f t="shared" si="33"/>
        <v>G</v>
      </c>
      <c r="I27" s="13" t="str">
        <f t="shared" si="33"/>
        <v>H</v>
      </c>
      <c r="J27" s="13" t="str">
        <f t="shared" si="33"/>
        <v>I</v>
      </c>
      <c r="K27" s="13" t="str">
        <f t="shared" si="33"/>
        <v>J</v>
      </c>
      <c r="L27" s="13" t="str">
        <f t="shared" si="33"/>
        <v>K</v>
      </c>
      <c r="M27" s="13" t="str">
        <f t="shared" si="33"/>
        <v>L</v>
      </c>
      <c r="N27" s="13" t="str">
        <f t="shared" si="33"/>
        <v>M</v>
      </c>
      <c r="O27" s="13" t="str">
        <f t="shared" si="33"/>
        <v>N</v>
      </c>
      <c r="P27" s="13" t="str">
        <f t="shared" si="33"/>
        <v>O</v>
      </c>
      <c r="Q27" s="13" t="str">
        <f t="shared" si="33"/>
        <v>P</v>
      </c>
      <c r="R27" s="13" t="str">
        <f t="shared" si="33"/>
        <v>Q</v>
      </c>
      <c r="S27" s="13" t="str">
        <f t="shared" si="33"/>
        <v>R</v>
      </c>
      <c r="T27" s="13" t="str">
        <f t="shared" si="33"/>
        <v>S</v>
      </c>
      <c r="U27" s="13" t="str">
        <f t="shared" si="33"/>
        <v>T</v>
      </c>
      <c r="V27" s="13" t="str">
        <f t="shared" si="33"/>
        <v>U</v>
      </c>
      <c r="W27" s="13" t="str">
        <f t="shared" si="33"/>
        <v>V</v>
      </c>
      <c r="X27" s="13" t="str">
        <f t="shared" si="33"/>
        <v>W</v>
      </c>
      <c r="Y27" s="13" t="str">
        <f t="shared" si="33"/>
        <v>X</v>
      </c>
      <c r="Z27" s="13" t="str">
        <f t="shared" si="33"/>
        <v>Y</v>
      </c>
      <c r="AA27" s="13" t="str">
        <f t="shared" si="33"/>
        <v>Z</v>
      </c>
      <c r="AB27" s="13" t="str">
        <f t="shared" si="33"/>
        <v>A</v>
      </c>
      <c r="AC27" s="13" t="str">
        <f t="shared" si="33"/>
        <v>B</v>
      </c>
      <c r="AD27" s="13" t="str">
        <f t="shared" si="33"/>
        <v>C</v>
      </c>
      <c r="AE27" s="13" t="str">
        <f t="shared" si="33"/>
        <v>D</v>
      </c>
      <c r="AF27" s="10"/>
    </row>
    <row r="28" spans="1:59" x14ac:dyDescent="0.35">
      <c r="B28" s="22"/>
      <c r="C28" s="8"/>
      <c r="E28" t="s">
        <v>386</v>
      </c>
      <c r="F28" s="14" t="str">
        <f t="shared" ref="F28:AE28" si="34">IF(F26=1,VLOOKUP(nCurPosL+nRingOffsetL+(CODE(F25)-nCharOffset)-1,nNum2Let,2,FALSE),"")</f>
        <v>E</v>
      </c>
      <c r="G28" s="14" t="str">
        <f t="shared" si="34"/>
        <v>F</v>
      </c>
      <c r="H28" s="14" t="str">
        <f t="shared" si="34"/>
        <v>G</v>
      </c>
      <c r="I28" s="14" t="str">
        <f t="shared" si="34"/>
        <v>H</v>
      </c>
      <c r="J28" s="14" t="str">
        <f t="shared" si="34"/>
        <v>I</v>
      </c>
      <c r="K28" s="14" t="str">
        <f t="shared" si="34"/>
        <v>J</v>
      </c>
      <c r="L28" s="14" t="str">
        <f t="shared" si="34"/>
        <v>K</v>
      </c>
      <c r="M28" s="14" t="str">
        <f t="shared" si="34"/>
        <v>L</v>
      </c>
      <c r="N28" s="14" t="str">
        <f t="shared" si="34"/>
        <v>M</v>
      </c>
      <c r="O28" s="14" t="str">
        <f t="shared" si="34"/>
        <v>N</v>
      </c>
      <c r="P28" s="14" t="str">
        <f t="shared" si="34"/>
        <v>O</v>
      </c>
      <c r="Q28" s="14" t="str">
        <f t="shared" si="34"/>
        <v>P</v>
      </c>
      <c r="R28" s="14" t="str">
        <f t="shared" si="34"/>
        <v>Q</v>
      </c>
      <c r="S28" s="14" t="str">
        <f t="shared" si="34"/>
        <v>R</v>
      </c>
      <c r="T28" s="14" t="str">
        <f t="shared" si="34"/>
        <v>S</v>
      </c>
      <c r="U28" s="14" t="str">
        <f t="shared" si="34"/>
        <v>T</v>
      </c>
      <c r="V28" s="14" t="str">
        <f t="shared" si="34"/>
        <v>U</v>
      </c>
      <c r="W28" s="14" t="str">
        <f t="shared" si="34"/>
        <v>V</v>
      </c>
      <c r="X28" s="14" t="str">
        <f t="shared" si="34"/>
        <v>W</v>
      </c>
      <c r="Y28" s="14" t="str">
        <f t="shared" si="34"/>
        <v>X</v>
      </c>
      <c r="Z28" s="14" t="str">
        <f t="shared" si="34"/>
        <v>Y</v>
      </c>
      <c r="AA28" s="14" t="str">
        <f t="shared" si="34"/>
        <v>Z</v>
      </c>
      <c r="AB28" s="14" t="str">
        <f t="shared" si="34"/>
        <v>A</v>
      </c>
      <c r="AC28" s="14" t="str">
        <f t="shared" si="34"/>
        <v>B</v>
      </c>
      <c r="AD28" s="14" t="str">
        <f t="shared" si="34"/>
        <v>C</v>
      </c>
      <c r="AE28" s="14" t="str">
        <f t="shared" si="34"/>
        <v>D</v>
      </c>
      <c r="AF28" s="10"/>
      <c r="AH28" s="28" t="str">
        <f t="shared" ref="AH28:BG28" si="35">IF(LEN(AH30)=2,LEFT(AH30,1),"")</f>
        <v>A</v>
      </c>
      <c r="AI28" s="28" t="str">
        <f t="shared" si="35"/>
        <v>B</v>
      </c>
      <c r="AJ28" s="28" t="str">
        <f t="shared" si="35"/>
        <v>C</v>
      </c>
      <c r="AK28" s="28" t="str">
        <f t="shared" si="35"/>
        <v>D</v>
      </c>
      <c r="AL28" s="28" t="str">
        <f t="shared" si="35"/>
        <v>E</v>
      </c>
      <c r="AM28" s="28" t="str">
        <f t="shared" si="35"/>
        <v>F</v>
      </c>
      <c r="AN28" s="28" t="str">
        <f t="shared" si="35"/>
        <v>G</v>
      </c>
      <c r="AO28" s="28" t="str">
        <f t="shared" si="35"/>
        <v>H</v>
      </c>
      <c r="AP28" s="28" t="str">
        <f t="shared" si="35"/>
        <v>I</v>
      </c>
      <c r="AQ28" s="28" t="str">
        <f t="shared" si="35"/>
        <v>J</v>
      </c>
      <c r="AR28" s="28" t="str">
        <f t="shared" si="35"/>
        <v>K</v>
      </c>
      <c r="AS28" s="28" t="str">
        <f t="shared" si="35"/>
        <v>L</v>
      </c>
      <c r="AT28" s="28" t="str">
        <f t="shared" si="35"/>
        <v>M</v>
      </c>
      <c r="AU28" s="28" t="str">
        <f t="shared" si="35"/>
        <v>N</v>
      </c>
      <c r="AV28" s="28" t="str">
        <f t="shared" si="35"/>
        <v>O</v>
      </c>
      <c r="AW28" s="28" t="str">
        <f t="shared" si="35"/>
        <v>P</v>
      </c>
      <c r="AX28" s="28" t="str">
        <f t="shared" si="35"/>
        <v>Q</v>
      </c>
      <c r="AY28" s="28" t="str">
        <f t="shared" si="35"/>
        <v>R</v>
      </c>
      <c r="AZ28" s="28" t="str">
        <f t="shared" si="35"/>
        <v>S</v>
      </c>
      <c r="BA28" s="28" t="str">
        <f t="shared" si="35"/>
        <v>T</v>
      </c>
      <c r="BB28" s="28" t="str">
        <f t="shared" si="35"/>
        <v>U</v>
      </c>
      <c r="BC28" s="28" t="str">
        <f t="shared" si="35"/>
        <v>V</v>
      </c>
      <c r="BD28" s="28" t="str">
        <f t="shared" si="35"/>
        <v>W</v>
      </c>
      <c r="BE28" s="28" t="str">
        <f t="shared" si="35"/>
        <v>X</v>
      </c>
      <c r="BF28" s="28" t="str">
        <f t="shared" si="35"/>
        <v>Y</v>
      </c>
      <c r="BG28" s="28" t="str">
        <f t="shared" si="35"/>
        <v>Z</v>
      </c>
    </row>
    <row r="29" spans="1:59" x14ac:dyDescent="0.35">
      <c r="B29" s="22"/>
      <c r="C29" s="8"/>
      <c r="E29" t="s">
        <v>387</v>
      </c>
      <c r="F29" s="15" t="str">
        <f t="shared" ref="F29:AE29" si="36">IF(F26=1,VLOOKUP(nRotorL_Rev&amp;F28,nRotorRev,4,FALSE),"")</f>
        <v>A</v>
      </c>
      <c r="G29" s="15" t="str">
        <f t="shared" si="36"/>
        <v>D</v>
      </c>
      <c r="H29" s="15" t="str">
        <f t="shared" si="36"/>
        <v>F</v>
      </c>
      <c r="I29" s="15" t="str">
        <f t="shared" si="36"/>
        <v>P</v>
      </c>
      <c r="J29" s="15" t="str">
        <f t="shared" si="36"/>
        <v>V</v>
      </c>
      <c r="K29" s="15" t="str">
        <f t="shared" si="36"/>
        <v>Z</v>
      </c>
      <c r="L29" s="15" t="str">
        <f t="shared" si="36"/>
        <v>B</v>
      </c>
      <c r="M29" s="15" t="str">
        <f t="shared" si="36"/>
        <v>E</v>
      </c>
      <c r="N29" s="15" t="str">
        <f t="shared" si="36"/>
        <v>C</v>
      </c>
      <c r="O29" s="15" t="str">
        <f t="shared" si="36"/>
        <v>K</v>
      </c>
      <c r="P29" s="15" t="str">
        <f t="shared" si="36"/>
        <v>M</v>
      </c>
      <c r="Q29" s="15" t="str">
        <f t="shared" si="36"/>
        <v>T</v>
      </c>
      <c r="R29" s="15" t="str">
        <f t="shared" si="36"/>
        <v>H</v>
      </c>
      <c r="S29" s="15" t="str">
        <f t="shared" si="36"/>
        <v>X</v>
      </c>
      <c r="T29" s="15" t="str">
        <f t="shared" si="36"/>
        <v>S</v>
      </c>
      <c r="U29" s="15" t="str">
        <f t="shared" si="36"/>
        <v>L</v>
      </c>
      <c r="V29" s="15" t="str">
        <f t="shared" si="36"/>
        <v>R</v>
      </c>
      <c r="W29" s="15" t="str">
        <f t="shared" si="36"/>
        <v>I</v>
      </c>
      <c r="X29" s="15" t="str">
        <f t="shared" si="36"/>
        <v>N</v>
      </c>
      <c r="Y29" s="15" t="str">
        <f t="shared" si="36"/>
        <v>Q</v>
      </c>
      <c r="Z29" s="15" t="str">
        <f t="shared" si="36"/>
        <v>O</v>
      </c>
      <c r="AA29" s="15" t="str">
        <f t="shared" si="36"/>
        <v>J</v>
      </c>
      <c r="AB29" s="15" t="str">
        <f t="shared" si="36"/>
        <v>U</v>
      </c>
      <c r="AC29" s="15" t="str">
        <f t="shared" si="36"/>
        <v>W</v>
      </c>
      <c r="AD29" s="15" t="str">
        <f t="shared" si="36"/>
        <v>Y</v>
      </c>
      <c r="AE29" s="15" t="str">
        <f t="shared" si="36"/>
        <v>G</v>
      </c>
      <c r="AF29" s="10"/>
      <c r="AH29" s="28" t="str">
        <f t="shared" ref="AH29:BG29" si="37">IF(LEN(AH30)=2,RIGHT(AH30,1),"")</f>
        <v>W</v>
      </c>
      <c r="AI29" s="28" t="str">
        <f t="shared" si="37"/>
        <v>Z</v>
      </c>
      <c r="AJ29" s="28" t="str">
        <f t="shared" si="37"/>
        <v>B</v>
      </c>
      <c r="AK29" s="28" t="str">
        <f t="shared" si="37"/>
        <v>L</v>
      </c>
      <c r="AL29" s="28" t="str">
        <f t="shared" si="37"/>
        <v>R</v>
      </c>
      <c r="AM29" s="28" t="str">
        <f t="shared" si="37"/>
        <v>V</v>
      </c>
      <c r="AN29" s="28" t="str">
        <f t="shared" si="37"/>
        <v>X</v>
      </c>
      <c r="AO29" s="28" t="str">
        <f t="shared" si="37"/>
        <v>A</v>
      </c>
      <c r="AP29" s="28" t="str">
        <f t="shared" si="37"/>
        <v>Y</v>
      </c>
      <c r="AQ29" s="28" t="str">
        <f t="shared" si="37"/>
        <v>G</v>
      </c>
      <c r="AR29" s="28" t="str">
        <f t="shared" si="37"/>
        <v>I</v>
      </c>
      <c r="AS29" s="28" t="str">
        <f t="shared" si="37"/>
        <v>P</v>
      </c>
      <c r="AT29" s="28" t="str">
        <f t="shared" si="37"/>
        <v>D</v>
      </c>
      <c r="AU29" s="28" t="str">
        <f t="shared" si="37"/>
        <v>T</v>
      </c>
      <c r="AV29" s="28" t="str">
        <f t="shared" si="37"/>
        <v>O</v>
      </c>
      <c r="AW29" s="28" t="str">
        <f t="shared" si="37"/>
        <v>H</v>
      </c>
      <c r="AX29" s="28" t="str">
        <f t="shared" si="37"/>
        <v>N</v>
      </c>
      <c r="AY29" s="28" t="str">
        <f t="shared" si="37"/>
        <v>E</v>
      </c>
      <c r="AZ29" s="28" t="str">
        <f t="shared" si="37"/>
        <v>J</v>
      </c>
      <c r="BA29" s="28" t="str">
        <f t="shared" si="37"/>
        <v>M</v>
      </c>
      <c r="BB29" s="28" t="str">
        <f t="shared" si="37"/>
        <v>K</v>
      </c>
      <c r="BC29" s="28" t="str">
        <f t="shared" si="37"/>
        <v>F</v>
      </c>
      <c r="BD29" s="28" t="str">
        <f t="shared" si="37"/>
        <v>Q</v>
      </c>
      <c r="BE29" s="28" t="str">
        <f t="shared" si="37"/>
        <v>S</v>
      </c>
      <c r="BF29" s="28" t="str">
        <f t="shared" si="37"/>
        <v>U</v>
      </c>
      <c r="BG29" s="28" t="str">
        <f t="shared" si="37"/>
        <v>C</v>
      </c>
    </row>
    <row r="30" spans="1:59" ht="15" thickBot="1" x14ac:dyDescent="0.4">
      <c r="B30" s="23"/>
      <c r="C30" s="16"/>
      <c r="D30" s="17"/>
      <c r="E30" s="17" t="s">
        <v>388</v>
      </c>
      <c r="F30" s="18" t="str">
        <f t="shared" ref="F30:AE30" si="38">IF(F26=1,IF(CODE(F29)-CODE(F28)&lt;0,VLOOKUP((CODE(F29)-CODE(F28)+26)+(CODE(F25)-nCharOffset),nNum2Let,2,FALSE),VLOOKUP((CODE(F29)-CODE(F28))+(CODE(F25)-nCharOffset),nNum2Let,2,FALSE)),"")</f>
        <v>W</v>
      </c>
      <c r="G30" s="18" t="str">
        <f t="shared" si="38"/>
        <v>Z</v>
      </c>
      <c r="H30" s="18" t="str">
        <f t="shared" si="38"/>
        <v>B</v>
      </c>
      <c r="I30" s="18" t="str">
        <f t="shared" si="38"/>
        <v>L</v>
      </c>
      <c r="J30" s="18" t="str">
        <f t="shared" si="38"/>
        <v>R</v>
      </c>
      <c r="K30" s="18" t="str">
        <f t="shared" si="38"/>
        <v>V</v>
      </c>
      <c r="L30" s="18" t="str">
        <f t="shared" si="38"/>
        <v>X</v>
      </c>
      <c r="M30" s="18" t="str">
        <f t="shared" si="38"/>
        <v>A</v>
      </c>
      <c r="N30" s="18" t="str">
        <f t="shared" si="38"/>
        <v>Y</v>
      </c>
      <c r="O30" s="18" t="str">
        <f t="shared" si="38"/>
        <v>G</v>
      </c>
      <c r="P30" s="18" t="str">
        <f t="shared" si="38"/>
        <v>I</v>
      </c>
      <c r="Q30" s="18" t="str">
        <f t="shared" si="38"/>
        <v>P</v>
      </c>
      <c r="R30" s="18" t="str">
        <f t="shared" si="38"/>
        <v>D</v>
      </c>
      <c r="S30" s="18" t="str">
        <f t="shared" si="38"/>
        <v>T</v>
      </c>
      <c r="T30" s="18" t="str">
        <f t="shared" si="38"/>
        <v>O</v>
      </c>
      <c r="U30" s="18" t="str">
        <f t="shared" si="38"/>
        <v>H</v>
      </c>
      <c r="V30" s="18" t="str">
        <f t="shared" si="38"/>
        <v>N</v>
      </c>
      <c r="W30" s="18" t="str">
        <f t="shared" si="38"/>
        <v>E</v>
      </c>
      <c r="X30" s="18" t="str">
        <f t="shared" si="38"/>
        <v>J</v>
      </c>
      <c r="Y30" s="18" t="str">
        <f t="shared" si="38"/>
        <v>M</v>
      </c>
      <c r="Z30" s="18" t="str">
        <f t="shared" si="38"/>
        <v>K</v>
      </c>
      <c r="AA30" s="18" t="str">
        <f t="shared" si="38"/>
        <v>F</v>
      </c>
      <c r="AB30" s="18" t="str">
        <f t="shared" si="38"/>
        <v>Q</v>
      </c>
      <c r="AC30" s="18" t="str">
        <f t="shared" si="38"/>
        <v>S</v>
      </c>
      <c r="AD30" s="18" t="str">
        <f t="shared" si="38"/>
        <v>U</v>
      </c>
      <c r="AE30" s="18" t="str">
        <f t="shared" si="38"/>
        <v>C</v>
      </c>
      <c r="AF30" s="19" t="str">
        <f>CONCATENATE(F30,G30,H30,I30,J30,K30,L30,M30,N30,O30,P30,Q30,R30,S30,T30&amp;U30,V30,W30,X30,Y30,Z30,AA30,AB30,AC30,AD30,AE30)</f>
        <v>WZBLRVXAYGIPDTOHNEJMKFQSUC</v>
      </c>
      <c r="AH30" s="12" t="str">
        <f>F25&amp;F30</f>
        <v>AW</v>
      </c>
      <c r="AI30" s="12" t="str">
        <f t="shared" ref="AI30:BG30" si="39">G25&amp;G30</f>
        <v>BZ</v>
      </c>
      <c r="AJ30" s="12" t="str">
        <f t="shared" si="39"/>
        <v>CB</v>
      </c>
      <c r="AK30" s="12" t="str">
        <f t="shared" si="39"/>
        <v>DL</v>
      </c>
      <c r="AL30" s="12" t="str">
        <f t="shared" si="39"/>
        <v>ER</v>
      </c>
      <c r="AM30" s="12" t="str">
        <f t="shared" si="39"/>
        <v>FV</v>
      </c>
      <c r="AN30" s="12" t="str">
        <f t="shared" si="39"/>
        <v>GX</v>
      </c>
      <c r="AO30" s="12" t="str">
        <f t="shared" si="39"/>
        <v>HA</v>
      </c>
      <c r="AP30" s="12" t="str">
        <f t="shared" si="39"/>
        <v>IY</v>
      </c>
      <c r="AQ30" s="12" t="str">
        <f t="shared" si="39"/>
        <v>JG</v>
      </c>
      <c r="AR30" s="12" t="str">
        <f t="shared" si="39"/>
        <v>KI</v>
      </c>
      <c r="AS30" s="12" t="str">
        <f t="shared" si="39"/>
        <v>LP</v>
      </c>
      <c r="AT30" s="12" t="str">
        <f t="shared" si="39"/>
        <v>MD</v>
      </c>
      <c r="AU30" s="12" t="str">
        <f t="shared" si="39"/>
        <v>NT</v>
      </c>
      <c r="AV30" s="12" t="str">
        <f t="shared" si="39"/>
        <v>OO</v>
      </c>
      <c r="AW30" s="12" t="str">
        <f t="shared" si="39"/>
        <v>PH</v>
      </c>
      <c r="AX30" s="12" t="str">
        <f t="shared" si="39"/>
        <v>QN</v>
      </c>
      <c r="AY30" s="12" t="str">
        <f t="shared" si="39"/>
        <v>RE</v>
      </c>
      <c r="AZ30" s="12" t="str">
        <f t="shared" si="39"/>
        <v>SJ</v>
      </c>
      <c r="BA30" s="12" t="str">
        <f t="shared" si="39"/>
        <v>TM</v>
      </c>
      <c r="BB30" s="12" t="str">
        <f t="shared" si="39"/>
        <v>UK</v>
      </c>
      <c r="BC30" s="12" t="str">
        <f t="shared" si="39"/>
        <v>VF</v>
      </c>
      <c r="BD30" s="12" t="str">
        <f t="shared" si="39"/>
        <v>WQ</v>
      </c>
      <c r="BE30" s="12" t="str">
        <f t="shared" si="39"/>
        <v>XS</v>
      </c>
      <c r="BF30" s="12" t="str">
        <f t="shared" si="39"/>
        <v>YU</v>
      </c>
      <c r="BG30" s="12" t="str">
        <f t="shared" si="39"/>
        <v>ZC</v>
      </c>
    </row>
    <row r="31" spans="1:59" x14ac:dyDescent="0.35">
      <c r="B31" s="21"/>
      <c r="C31" s="4"/>
      <c r="D31" s="5"/>
      <c r="E31" s="5" t="s">
        <v>385</v>
      </c>
      <c r="F31" s="6" t="s">
        <v>0</v>
      </c>
      <c r="G31" s="6" t="s">
        <v>1</v>
      </c>
      <c r="H31" s="6" t="s">
        <v>2</v>
      </c>
      <c r="I31" s="6" t="s">
        <v>3</v>
      </c>
      <c r="J31" s="6" t="s">
        <v>4</v>
      </c>
      <c r="K31" s="6" t="s">
        <v>5</v>
      </c>
      <c r="L31" s="6" t="s">
        <v>6</v>
      </c>
      <c r="M31" s="6" t="s">
        <v>7</v>
      </c>
      <c r="N31" s="6" t="s">
        <v>8</v>
      </c>
      <c r="O31" s="6" t="s">
        <v>9</v>
      </c>
      <c r="P31" s="6" t="s">
        <v>10</v>
      </c>
      <c r="Q31" s="6" t="s">
        <v>11</v>
      </c>
      <c r="R31" s="6" t="s">
        <v>12</v>
      </c>
      <c r="S31" s="6" t="s">
        <v>13</v>
      </c>
      <c r="T31" s="6" t="s">
        <v>14</v>
      </c>
      <c r="U31" s="6" t="s">
        <v>15</v>
      </c>
      <c r="V31" s="6" t="s">
        <v>16</v>
      </c>
      <c r="W31" s="6" t="s">
        <v>17</v>
      </c>
      <c r="X31" s="6" t="s">
        <v>18</v>
      </c>
      <c r="Y31" s="6" t="s">
        <v>19</v>
      </c>
      <c r="Z31" s="6" t="s">
        <v>20</v>
      </c>
      <c r="AA31" s="6" t="s">
        <v>21</v>
      </c>
      <c r="AB31" s="6" t="s">
        <v>22</v>
      </c>
      <c r="AC31" s="6" t="s">
        <v>23</v>
      </c>
      <c r="AD31" s="6" t="s">
        <v>24</v>
      </c>
      <c r="AE31" s="6" t="s">
        <v>25</v>
      </c>
      <c r="AF31" s="7"/>
      <c r="AH31" s="28" t="str">
        <f>HLOOKUP(AH23,$AH28:$BG29,2,FALSE)</f>
        <v>H</v>
      </c>
      <c r="AI31" s="28" t="str">
        <f>HLOOKUP(AI23,$AH28:$BG29,2,FALSE)</f>
        <v>L</v>
      </c>
      <c r="AJ31" s="28" t="str">
        <f t="shared" ref="AJ31:BG31" si="40">HLOOKUP(AJ23,$AH28:$BG29,2,FALSE)</f>
        <v>N</v>
      </c>
      <c r="AK31" s="28" t="str">
        <f t="shared" si="40"/>
        <v>S</v>
      </c>
      <c r="AL31" s="28" t="str">
        <f t="shared" si="40"/>
        <v>D</v>
      </c>
      <c r="AM31" s="28" t="str">
        <f t="shared" si="40"/>
        <v>G</v>
      </c>
      <c r="AN31" s="28" t="str">
        <f t="shared" si="40"/>
        <v>W</v>
      </c>
      <c r="AO31" s="28" t="str">
        <f t="shared" si="40"/>
        <v>I</v>
      </c>
      <c r="AP31" s="28" t="str">
        <f t="shared" si="40"/>
        <v>E</v>
      </c>
      <c r="AQ31" s="28" t="str">
        <f t="shared" si="40"/>
        <v>Y</v>
      </c>
      <c r="AR31" s="28" t="str">
        <f t="shared" si="40"/>
        <v>Q</v>
      </c>
      <c r="AS31" s="28" t="str">
        <f t="shared" si="40"/>
        <v>F</v>
      </c>
      <c r="AT31" s="28" t="str">
        <f t="shared" si="40"/>
        <v>R</v>
      </c>
      <c r="AU31" s="28" t="str">
        <f t="shared" si="40"/>
        <v>P</v>
      </c>
      <c r="AV31" s="28" t="str">
        <f t="shared" si="40"/>
        <v>C</v>
      </c>
      <c r="AW31" s="28" t="str">
        <f t="shared" si="40"/>
        <v>T</v>
      </c>
      <c r="AX31" s="28" t="str">
        <f t="shared" si="40"/>
        <v>O</v>
      </c>
      <c r="AY31" s="28" t="str">
        <f t="shared" si="40"/>
        <v>A</v>
      </c>
      <c r="AZ31" s="28" t="str">
        <f t="shared" si="40"/>
        <v>U</v>
      </c>
      <c r="BA31" s="28" t="str">
        <f t="shared" si="40"/>
        <v>V</v>
      </c>
      <c r="BB31" s="28" t="str">
        <f t="shared" si="40"/>
        <v>B</v>
      </c>
      <c r="BC31" s="28" t="str">
        <f t="shared" si="40"/>
        <v>J</v>
      </c>
      <c r="BD31" s="28" t="str">
        <f t="shared" si="40"/>
        <v>X</v>
      </c>
      <c r="BE31" s="28" t="str">
        <f t="shared" si="40"/>
        <v>K</v>
      </c>
      <c r="BF31" s="28" t="str">
        <f t="shared" si="40"/>
        <v>M</v>
      </c>
      <c r="BG31" s="28" t="str">
        <f t="shared" si="40"/>
        <v>Z</v>
      </c>
    </row>
    <row r="32" spans="1:59" x14ac:dyDescent="0.35">
      <c r="B32" s="22"/>
      <c r="C32" s="8"/>
      <c r="F32" s="1">
        <f>IF(ISERROR(FIND(F31,$AF30)),0,1)</f>
        <v>1</v>
      </c>
      <c r="G32" s="1">
        <f t="shared" ref="G32:AE32" si="41">IF(ISERROR(FIND(G31,$AF30)),0,1)</f>
        <v>1</v>
      </c>
      <c r="H32" s="1">
        <f t="shared" si="41"/>
        <v>1</v>
      </c>
      <c r="I32" s="1">
        <f t="shared" si="41"/>
        <v>1</v>
      </c>
      <c r="J32" s="1">
        <f t="shared" si="41"/>
        <v>1</v>
      </c>
      <c r="K32" s="1">
        <f t="shared" si="41"/>
        <v>1</v>
      </c>
      <c r="L32" s="1">
        <f t="shared" si="41"/>
        <v>1</v>
      </c>
      <c r="M32" s="1">
        <f t="shared" si="41"/>
        <v>1</v>
      </c>
      <c r="N32" s="1">
        <f t="shared" si="41"/>
        <v>1</v>
      </c>
      <c r="O32" s="1">
        <f t="shared" si="41"/>
        <v>1</v>
      </c>
      <c r="P32" s="1">
        <f t="shared" si="41"/>
        <v>1</v>
      </c>
      <c r="Q32" s="1">
        <f t="shared" si="41"/>
        <v>1</v>
      </c>
      <c r="R32" s="1">
        <f t="shared" si="41"/>
        <v>1</v>
      </c>
      <c r="S32" s="1">
        <f t="shared" si="41"/>
        <v>1</v>
      </c>
      <c r="T32" s="1">
        <f t="shared" si="41"/>
        <v>1</v>
      </c>
      <c r="U32" s="1">
        <f t="shared" si="41"/>
        <v>1</v>
      </c>
      <c r="V32" s="1">
        <f t="shared" si="41"/>
        <v>1</v>
      </c>
      <c r="W32" s="1">
        <f t="shared" si="41"/>
        <v>1</v>
      </c>
      <c r="X32" s="1">
        <f t="shared" si="41"/>
        <v>1</v>
      </c>
      <c r="Y32" s="1">
        <f t="shared" si="41"/>
        <v>1</v>
      </c>
      <c r="Z32" s="1">
        <f t="shared" si="41"/>
        <v>1</v>
      </c>
      <c r="AA32" s="1">
        <f t="shared" si="41"/>
        <v>1</v>
      </c>
      <c r="AB32" s="1">
        <f t="shared" si="41"/>
        <v>1</v>
      </c>
      <c r="AC32" s="1">
        <f t="shared" si="41"/>
        <v>1</v>
      </c>
      <c r="AD32" s="1">
        <f t="shared" si="41"/>
        <v>1</v>
      </c>
      <c r="AE32" s="1">
        <f t="shared" si="41"/>
        <v>1</v>
      </c>
      <c r="AF32" s="10"/>
    </row>
    <row r="33" spans="2:59" x14ac:dyDescent="0.35">
      <c r="B33" s="22" t="s">
        <v>383</v>
      </c>
      <c r="C33" s="26" t="str">
        <f>"R"&amp;C12</f>
        <v>R4</v>
      </c>
      <c r="D33" s="11">
        <f>D12</f>
        <v>142</v>
      </c>
      <c r="E33" s="11">
        <f>E12</f>
        <v>12</v>
      </c>
      <c r="F33" s="12" t="str">
        <f>F12</f>
        <v>L</v>
      </c>
      <c r="G33" s="13" t="str">
        <f t="shared" ref="G33:AE33" si="42">VLOOKUP(F33,nNextLetter,2,FALSE)</f>
        <v>M</v>
      </c>
      <c r="H33" s="13" t="str">
        <f t="shared" si="42"/>
        <v>N</v>
      </c>
      <c r="I33" s="13" t="str">
        <f t="shared" si="42"/>
        <v>O</v>
      </c>
      <c r="J33" s="13" t="str">
        <f t="shared" si="42"/>
        <v>P</v>
      </c>
      <c r="K33" s="13" t="str">
        <f t="shared" si="42"/>
        <v>Q</v>
      </c>
      <c r="L33" s="13" t="str">
        <f t="shared" si="42"/>
        <v>R</v>
      </c>
      <c r="M33" s="13" t="str">
        <f t="shared" si="42"/>
        <v>S</v>
      </c>
      <c r="N33" s="13" t="str">
        <f t="shared" si="42"/>
        <v>T</v>
      </c>
      <c r="O33" s="13" t="str">
        <f t="shared" si="42"/>
        <v>U</v>
      </c>
      <c r="P33" s="13" t="str">
        <f t="shared" si="42"/>
        <v>V</v>
      </c>
      <c r="Q33" s="13" t="str">
        <f t="shared" si="42"/>
        <v>W</v>
      </c>
      <c r="R33" s="13" t="str">
        <f t="shared" si="42"/>
        <v>X</v>
      </c>
      <c r="S33" s="13" t="str">
        <f t="shared" si="42"/>
        <v>Y</v>
      </c>
      <c r="T33" s="13" t="str">
        <f t="shared" si="42"/>
        <v>Z</v>
      </c>
      <c r="U33" s="13" t="str">
        <f t="shared" si="42"/>
        <v>A</v>
      </c>
      <c r="V33" s="13" t="str">
        <f t="shared" si="42"/>
        <v>B</v>
      </c>
      <c r="W33" s="13" t="str">
        <f t="shared" si="42"/>
        <v>C</v>
      </c>
      <c r="X33" s="13" t="str">
        <f t="shared" si="42"/>
        <v>D</v>
      </c>
      <c r="Y33" s="13" t="str">
        <f t="shared" si="42"/>
        <v>E</v>
      </c>
      <c r="Z33" s="13" t="str">
        <f t="shared" si="42"/>
        <v>F</v>
      </c>
      <c r="AA33" s="13" t="str">
        <f t="shared" si="42"/>
        <v>G</v>
      </c>
      <c r="AB33" s="13" t="str">
        <f t="shared" si="42"/>
        <v>H</v>
      </c>
      <c r="AC33" s="13" t="str">
        <f t="shared" si="42"/>
        <v>I</v>
      </c>
      <c r="AD33" s="13" t="str">
        <f t="shared" si="42"/>
        <v>J</v>
      </c>
      <c r="AE33" s="13" t="str">
        <f t="shared" si="42"/>
        <v>K</v>
      </c>
      <c r="AF33" s="10"/>
    </row>
    <row r="34" spans="2:59" x14ac:dyDescent="0.35">
      <c r="B34" s="22"/>
      <c r="C34" s="8"/>
      <c r="E34" t="s">
        <v>386</v>
      </c>
      <c r="F34" s="14" t="str">
        <f t="shared" ref="F34:AE34" si="43">IF(F32=1,VLOOKUP(nCurPosM+nRingOffsetM+(CODE(F31)-nCharOffset)-1,nNum2Let,2,FALSE),"")</f>
        <v>L</v>
      </c>
      <c r="G34" s="14" t="str">
        <f t="shared" si="43"/>
        <v>M</v>
      </c>
      <c r="H34" s="14" t="str">
        <f t="shared" si="43"/>
        <v>N</v>
      </c>
      <c r="I34" s="14" t="str">
        <f t="shared" si="43"/>
        <v>O</v>
      </c>
      <c r="J34" s="14" t="str">
        <f t="shared" si="43"/>
        <v>P</v>
      </c>
      <c r="K34" s="14" t="str">
        <f t="shared" si="43"/>
        <v>Q</v>
      </c>
      <c r="L34" s="14" t="str">
        <f t="shared" si="43"/>
        <v>R</v>
      </c>
      <c r="M34" s="14" t="str">
        <f t="shared" si="43"/>
        <v>S</v>
      </c>
      <c r="N34" s="14" t="str">
        <f t="shared" si="43"/>
        <v>T</v>
      </c>
      <c r="O34" s="14" t="str">
        <f t="shared" si="43"/>
        <v>U</v>
      </c>
      <c r="P34" s="14" t="str">
        <f t="shared" si="43"/>
        <v>V</v>
      </c>
      <c r="Q34" s="14" t="str">
        <f t="shared" si="43"/>
        <v>W</v>
      </c>
      <c r="R34" s="14" t="str">
        <f t="shared" si="43"/>
        <v>X</v>
      </c>
      <c r="S34" s="14" t="str">
        <f t="shared" si="43"/>
        <v>Y</v>
      </c>
      <c r="T34" s="14" t="str">
        <f t="shared" si="43"/>
        <v>Z</v>
      </c>
      <c r="U34" s="14" t="str">
        <f t="shared" si="43"/>
        <v>A</v>
      </c>
      <c r="V34" s="14" t="str">
        <f t="shared" si="43"/>
        <v>B</v>
      </c>
      <c r="W34" s="14" t="str">
        <f t="shared" si="43"/>
        <v>C</v>
      </c>
      <c r="X34" s="14" t="str">
        <f t="shared" si="43"/>
        <v>D</v>
      </c>
      <c r="Y34" s="14" t="str">
        <f t="shared" si="43"/>
        <v>E</v>
      </c>
      <c r="Z34" s="14" t="str">
        <f t="shared" si="43"/>
        <v>F</v>
      </c>
      <c r="AA34" s="14" t="str">
        <f t="shared" si="43"/>
        <v>G</v>
      </c>
      <c r="AB34" s="14" t="str">
        <f t="shared" si="43"/>
        <v>H</v>
      </c>
      <c r="AC34" s="14" t="str">
        <f t="shared" si="43"/>
        <v>I</v>
      </c>
      <c r="AD34" s="14" t="str">
        <f t="shared" si="43"/>
        <v>J</v>
      </c>
      <c r="AE34" s="14" t="str">
        <f t="shared" si="43"/>
        <v>K</v>
      </c>
      <c r="AF34" s="10"/>
      <c r="AH34" s="28" t="str">
        <f t="shared" ref="AH34:BG34" si="44">IF(LEN(AH36)=2,LEFT(AH36,1),"")</f>
        <v>A</v>
      </c>
      <c r="AI34" s="28" t="str">
        <f t="shared" si="44"/>
        <v>B</v>
      </c>
      <c r="AJ34" s="28" t="str">
        <f t="shared" si="44"/>
        <v>C</v>
      </c>
      <c r="AK34" s="28" t="str">
        <f t="shared" si="44"/>
        <v>D</v>
      </c>
      <c r="AL34" s="28" t="str">
        <f t="shared" si="44"/>
        <v>E</v>
      </c>
      <c r="AM34" s="28" t="str">
        <f t="shared" si="44"/>
        <v>F</v>
      </c>
      <c r="AN34" s="28" t="str">
        <f t="shared" si="44"/>
        <v>G</v>
      </c>
      <c r="AO34" s="28" t="str">
        <f t="shared" si="44"/>
        <v>H</v>
      </c>
      <c r="AP34" s="28" t="str">
        <f t="shared" si="44"/>
        <v>I</v>
      </c>
      <c r="AQ34" s="28" t="str">
        <f t="shared" si="44"/>
        <v>J</v>
      </c>
      <c r="AR34" s="28" t="str">
        <f t="shared" si="44"/>
        <v>K</v>
      </c>
      <c r="AS34" s="28" t="str">
        <f t="shared" si="44"/>
        <v>L</v>
      </c>
      <c r="AT34" s="28" t="str">
        <f t="shared" si="44"/>
        <v>M</v>
      </c>
      <c r="AU34" s="28" t="str">
        <f t="shared" si="44"/>
        <v>N</v>
      </c>
      <c r="AV34" s="28" t="str">
        <f t="shared" si="44"/>
        <v>O</v>
      </c>
      <c r="AW34" s="28" t="str">
        <f t="shared" si="44"/>
        <v>P</v>
      </c>
      <c r="AX34" s="28" t="str">
        <f t="shared" si="44"/>
        <v>Q</v>
      </c>
      <c r="AY34" s="28" t="str">
        <f t="shared" si="44"/>
        <v>R</v>
      </c>
      <c r="AZ34" s="28" t="str">
        <f t="shared" si="44"/>
        <v>S</v>
      </c>
      <c r="BA34" s="28" t="str">
        <f t="shared" si="44"/>
        <v>T</v>
      </c>
      <c r="BB34" s="28" t="str">
        <f t="shared" si="44"/>
        <v>U</v>
      </c>
      <c r="BC34" s="28" t="str">
        <f t="shared" si="44"/>
        <v>V</v>
      </c>
      <c r="BD34" s="28" t="str">
        <f t="shared" si="44"/>
        <v>W</v>
      </c>
      <c r="BE34" s="28" t="str">
        <f t="shared" si="44"/>
        <v>X</v>
      </c>
      <c r="BF34" s="28" t="str">
        <f t="shared" si="44"/>
        <v>Y</v>
      </c>
      <c r="BG34" s="28" t="str">
        <f t="shared" si="44"/>
        <v>Z</v>
      </c>
    </row>
    <row r="35" spans="2:59" x14ac:dyDescent="0.35">
      <c r="B35" s="22"/>
      <c r="C35" s="8"/>
      <c r="E35" t="s">
        <v>387</v>
      </c>
      <c r="F35" s="15" t="str">
        <f t="shared" ref="F35:AE35" si="45">IF(F32=1,VLOOKUP(nRotorM_Rev&amp;F34,nRotorRev,4,FALSE),"")</f>
        <v>P</v>
      </c>
      <c r="G35" s="15" t="str">
        <f t="shared" si="45"/>
        <v>X</v>
      </c>
      <c r="H35" s="15" t="str">
        <f t="shared" si="45"/>
        <v>Q</v>
      </c>
      <c r="I35" s="15" t="str">
        <f t="shared" si="45"/>
        <v>C</v>
      </c>
      <c r="J35" s="15" t="str">
        <f t="shared" si="45"/>
        <v>E</v>
      </c>
      <c r="K35" s="15" t="str">
        <f t="shared" si="45"/>
        <v>J</v>
      </c>
      <c r="L35" s="15" t="str">
        <f t="shared" si="45"/>
        <v>M</v>
      </c>
      <c r="M35" s="15" t="str">
        <f t="shared" si="45"/>
        <v>B</v>
      </c>
      <c r="N35" s="15" t="str">
        <f t="shared" si="45"/>
        <v>S</v>
      </c>
      <c r="O35" s="15" t="str">
        <f t="shared" si="45"/>
        <v>K</v>
      </c>
      <c r="P35" s="15" t="str">
        <f t="shared" si="45"/>
        <v>D</v>
      </c>
      <c r="Q35" s="15" t="str">
        <f t="shared" si="45"/>
        <v>Y</v>
      </c>
      <c r="R35" s="15" t="str">
        <f t="shared" si="45"/>
        <v>O</v>
      </c>
      <c r="S35" s="15" t="str">
        <f t="shared" si="45"/>
        <v>I</v>
      </c>
      <c r="T35" s="15" t="str">
        <f t="shared" si="45"/>
        <v>F</v>
      </c>
      <c r="U35" s="15" t="str">
        <f t="shared" si="45"/>
        <v>H</v>
      </c>
      <c r="V35" s="15" t="str">
        <f t="shared" si="45"/>
        <v>Z</v>
      </c>
      <c r="W35" s="15" t="str">
        <f t="shared" si="45"/>
        <v>W</v>
      </c>
      <c r="X35" s="15" t="str">
        <f t="shared" si="45"/>
        <v>V</v>
      </c>
      <c r="Y35" s="15" t="str">
        <f t="shared" si="45"/>
        <v>A</v>
      </c>
      <c r="Z35" s="15" t="str">
        <f t="shared" si="45"/>
        <v>R</v>
      </c>
      <c r="AA35" s="15" t="str">
        <f t="shared" si="45"/>
        <v>T</v>
      </c>
      <c r="AB35" s="15" t="str">
        <f t="shared" si="45"/>
        <v>N</v>
      </c>
      <c r="AC35" s="15" t="str">
        <f t="shared" si="45"/>
        <v>L</v>
      </c>
      <c r="AD35" s="15" t="str">
        <f t="shared" si="45"/>
        <v>G</v>
      </c>
      <c r="AE35" s="15" t="str">
        <f t="shared" si="45"/>
        <v>U</v>
      </c>
      <c r="AF35" s="10"/>
      <c r="AH35" s="28" t="str">
        <f t="shared" ref="AH35:BG35" si="46">IF(LEN(AH36)=2,RIGHT(AH36,1),"")</f>
        <v>E</v>
      </c>
      <c r="AI35" s="28" t="str">
        <f t="shared" si="46"/>
        <v>M</v>
      </c>
      <c r="AJ35" s="28" t="str">
        <f t="shared" si="46"/>
        <v>F</v>
      </c>
      <c r="AK35" s="28" t="str">
        <f t="shared" si="46"/>
        <v>R</v>
      </c>
      <c r="AL35" s="28" t="str">
        <f t="shared" si="46"/>
        <v>T</v>
      </c>
      <c r="AM35" s="28" t="str">
        <f t="shared" si="46"/>
        <v>Y</v>
      </c>
      <c r="AN35" s="28" t="str">
        <f t="shared" si="46"/>
        <v>B</v>
      </c>
      <c r="AO35" s="28" t="str">
        <f t="shared" si="46"/>
        <v>Q</v>
      </c>
      <c r="AP35" s="28" t="str">
        <f t="shared" si="46"/>
        <v>H</v>
      </c>
      <c r="AQ35" s="28" t="str">
        <f t="shared" si="46"/>
        <v>Z</v>
      </c>
      <c r="AR35" s="28" t="str">
        <f t="shared" si="46"/>
        <v>S</v>
      </c>
      <c r="AS35" s="28" t="str">
        <f t="shared" si="46"/>
        <v>N</v>
      </c>
      <c r="AT35" s="28" t="str">
        <f t="shared" si="46"/>
        <v>D</v>
      </c>
      <c r="AU35" s="28" t="str">
        <f t="shared" si="46"/>
        <v>X</v>
      </c>
      <c r="AV35" s="28" t="str">
        <f t="shared" si="46"/>
        <v>U</v>
      </c>
      <c r="AW35" s="28" t="str">
        <f t="shared" si="46"/>
        <v>W</v>
      </c>
      <c r="AX35" s="28" t="str">
        <f t="shared" si="46"/>
        <v>O</v>
      </c>
      <c r="AY35" s="28" t="str">
        <f t="shared" si="46"/>
        <v>L</v>
      </c>
      <c r="AZ35" s="28" t="str">
        <f t="shared" si="46"/>
        <v>K</v>
      </c>
      <c r="BA35" s="28" t="str">
        <f t="shared" si="46"/>
        <v>P</v>
      </c>
      <c r="BB35" s="28" t="str">
        <f t="shared" si="46"/>
        <v>G</v>
      </c>
      <c r="BC35" s="28" t="str">
        <f t="shared" si="46"/>
        <v>I</v>
      </c>
      <c r="BD35" s="28" t="str">
        <f t="shared" si="46"/>
        <v>C</v>
      </c>
      <c r="BE35" s="28" t="str">
        <f t="shared" si="46"/>
        <v>A</v>
      </c>
      <c r="BF35" s="28" t="str">
        <f t="shared" si="46"/>
        <v>V</v>
      </c>
      <c r="BG35" s="28" t="str">
        <f t="shared" si="46"/>
        <v>J</v>
      </c>
    </row>
    <row r="36" spans="2:59" ht="15" thickBot="1" x14ac:dyDescent="0.4">
      <c r="B36" s="23"/>
      <c r="C36" s="16"/>
      <c r="D36" s="17"/>
      <c r="E36" s="17" t="s">
        <v>388</v>
      </c>
      <c r="F36" s="18" t="str">
        <f t="shared" ref="F36:AE36" si="47">IF(F32=1,IF(CODE(F35)-CODE(F34)&lt;0,VLOOKUP((CODE(F35)-CODE(F34)+26)+(CODE(F31)-nCharOffset),nNum2Let,2,FALSE),VLOOKUP((CODE(F35)-CODE(F34))+(CODE(F31)-nCharOffset),nNum2Let,2,FALSE)),"")</f>
        <v>E</v>
      </c>
      <c r="G36" s="18" t="str">
        <f t="shared" si="47"/>
        <v>M</v>
      </c>
      <c r="H36" s="18" t="str">
        <f t="shared" si="47"/>
        <v>F</v>
      </c>
      <c r="I36" s="18" t="str">
        <f t="shared" si="47"/>
        <v>R</v>
      </c>
      <c r="J36" s="18" t="str">
        <f t="shared" si="47"/>
        <v>T</v>
      </c>
      <c r="K36" s="18" t="str">
        <f t="shared" si="47"/>
        <v>Y</v>
      </c>
      <c r="L36" s="18" t="str">
        <f t="shared" si="47"/>
        <v>B</v>
      </c>
      <c r="M36" s="18" t="str">
        <f t="shared" si="47"/>
        <v>Q</v>
      </c>
      <c r="N36" s="18" t="str">
        <f t="shared" si="47"/>
        <v>H</v>
      </c>
      <c r="O36" s="18" t="str">
        <f t="shared" si="47"/>
        <v>Z</v>
      </c>
      <c r="P36" s="18" t="str">
        <f t="shared" si="47"/>
        <v>S</v>
      </c>
      <c r="Q36" s="18" t="str">
        <f t="shared" si="47"/>
        <v>N</v>
      </c>
      <c r="R36" s="18" t="str">
        <f t="shared" si="47"/>
        <v>D</v>
      </c>
      <c r="S36" s="18" t="str">
        <f t="shared" si="47"/>
        <v>X</v>
      </c>
      <c r="T36" s="18" t="str">
        <f t="shared" si="47"/>
        <v>U</v>
      </c>
      <c r="U36" s="18" t="str">
        <f t="shared" si="47"/>
        <v>W</v>
      </c>
      <c r="V36" s="18" t="str">
        <f t="shared" si="47"/>
        <v>O</v>
      </c>
      <c r="W36" s="18" t="str">
        <f t="shared" si="47"/>
        <v>L</v>
      </c>
      <c r="X36" s="18" t="str">
        <f t="shared" si="47"/>
        <v>K</v>
      </c>
      <c r="Y36" s="18" t="str">
        <f t="shared" si="47"/>
        <v>P</v>
      </c>
      <c r="Z36" s="18" t="str">
        <f t="shared" si="47"/>
        <v>G</v>
      </c>
      <c r="AA36" s="18" t="str">
        <f t="shared" si="47"/>
        <v>I</v>
      </c>
      <c r="AB36" s="18" t="str">
        <f t="shared" si="47"/>
        <v>C</v>
      </c>
      <c r="AC36" s="18" t="str">
        <f t="shared" si="47"/>
        <v>A</v>
      </c>
      <c r="AD36" s="18" t="str">
        <f t="shared" si="47"/>
        <v>V</v>
      </c>
      <c r="AE36" s="18" t="str">
        <f t="shared" si="47"/>
        <v>J</v>
      </c>
      <c r="AF36" s="19" t="str">
        <f>CONCATENATE(F36,G36,H36,I36,J36,K36,L36,M36,N36,O36,P36,Q36,R36,S36,T36&amp;U36,V36,W36,X36,Y36,Z36,AA36,AB36,AC36,AD36,AE36)</f>
        <v>EMFRTYBQHZSNDXUWOLKPGICAVJ</v>
      </c>
      <c r="AH36" s="12" t="str">
        <f>F31&amp;F36</f>
        <v>AE</v>
      </c>
      <c r="AI36" s="12" t="str">
        <f t="shared" ref="AI36:BG36" si="48">G31&amp;G36</f>
        <v>BM</v>
      </c>
      <c r="AJ36" s="12" t="str">
        <f t="shared" si="48"/>
        <v>CF</v>
      </c>
      <c r="AK36" s="12" t="str">
        <f t="shared" si="48"/>
        <v>DR</v>
      </c>
      <c r="AL36" s="12" t="str">
        <f t="shared" si="48"/>
        <v>ET</v>
      </c>
      <c r="AM36" s="12" t="str">
        <f t="shared" si="48"/>
        <v>FY</v>
      </c>
      <c r="AN36" s="12" t="str">
        <f t="shared" si="48"/>
        <v>GB</v>
      </c>
      <c r="AO36" s="12" t="str">
        <f t="shared" si="48"/>
        <v>HQ</v>
      </c>
      <c r="AP36" s="12" t="str">
        <f t="shared" si="48"/>
        <v>IH</v>
      </c>
      <c r="AQ36" s="12" t="str">
        <f t="shared" si="48"/>
        <v>JZ</v>
      </c>
      <c r="AR36" s="12" t="str">
        <f t="shared" si="48"/>
        <v>KS</v>
      </c>
      <c r="AS36" s="12" t="str">
        <f t="shared" si="48"/>
        <v>LN</v>
      </c>
      <c r="AT36" s="12" t="str">
        <f t="shared" si="48"/>
        <v>MD</v>
      </c>
      <c r="AU36" s="12" t="str">
        <f t="shared" si="48"/>
        <v>NX</v>
      </c>
      <c r="AV36" s="12" t="str">
        <f t="shared" si="48"/>
        <v>OU</v>
      </c>
      <c r="AW36" s="12" t="str">
        <f t="shared" si="48"/>
        <v>PW</v>
      </c>
      <c r="AX36" s="12" t="str">
        <f t="shared" si="48"/>
        <v>QO</v>
      </c>
      <c r="AY36" s="12" t="str">
        <f t="shared" si="48"/>
        <v>RL</v>
      </c>
      <c r="AZ36" s="12" t="str">
        <f t="shared" si="48"/>
        <v>SK</v>
      </c>
      <c r="BA36" s="12" t="str">
        <f t="shared" si="48"/>
        <v>TP</v>
      </c>
      <c r="BB36" s="12" t="str">
        <f t="shared" si="48"/>
        <v>UG</v>
      </c>
      <c r="BC36" s="12" t="str">
        <f t="shared" si="48"/>
        <v>VI</v>
      </c>
      <c r="BD36" s="12" t="str">
        <f t="shared" si="48"/>
        <v>WC</v>
      </c>
      <c r="BE36" s="12" t="str">
        <f t="shared" si="48"/>
        <v>XA</v>
      </c>
      <c r="BF36" s="12" t="str">
        <f t="shared" si="48"/>
        <v>YV</v>
      </c>
      <c r="BG36" s="12" t="str">
        <f t="shared" si="48"/>
        <v>ZJ</v>
      </c>
    </row>
    <row r="37" spans="2:59" x14ac:dyDescent="0.35">
      <c r="B37" s="21"/>
      <c r="C37" s="4"/>
      <c r="D37" s="5"/>
      <c r="E37" s="5" t="s">
        <v>385</v>
      </c>
      <c r="F37" s="6" t="s">
        <v>0</v>
      </c>
      <c r="G37" s="6" t="s">
        <v>1</v>
      </c>
      <c r="H37" s="6" t="s">
        <v>2</v>
      </c>
      <c r="I37" s="6" t="s">
        <v>3</v>
      </c>
      <c r="J37" s="6" t="s">
        <v>4</v>
      </c>
      <c r="K37" s="6" t="s">
        <v>5</v>
      </c>
      <c r="L37" s="6" t="s">
        <v>6</v>
      </c>
      <c r="M37" s="6" t="s">
        <v>7</v>
      </c>
      <c r="N37" s="6" t="s">
        <v>8</v>
      </c>
      <c r="O37" s="6" t="s">
        <v>9</v>
      </c>
      <c r="P37" s="6" t="s">
        <v>10</v>
      </c>
      <c r="Q37" s="6" t="s">
        <v>11</v>
      </c>
      <c r="R37" s="6" t="s">
        <v>12</v>
      </c>
      <c r="S37" s="6" t="s">
        <v>13</v>
      </c>
      <c r="T37" s="6" t="s">
        <v>14</v>
      </c>
      <c r="U37" s="6" t="s">
        <v>15</v>
      </c>
      <c r="V37" s="6" t="s">
        <v>16</v>
      </c>
      <c r="W37" s="6" t="s">
        <v>17</v>
      </c>
      <c r="X37" s="6" t="s">
        <v>18</v>
      </c>
      <c r="Y37" s="6" t="s">
        <v>19</v>
      </c>
      <c r="Z37" s="6" t="s">
        <v>20</v>
      </c>
      <c r="AA37" s="6" t="s">
        <v>21</v>
      </c>
      <c r="AB37" s="6" t="s">
        <v>22</v>
      </c>
      <c r="AC37" s="6" t="s">
        <v>23</v>
      </c>
      <c r="AD37" s="6" t="s">
        <v>24</v>
      </c>
      <c r="AE37" s="6" t="s">
        <v>25</v>
      </c>
      <c r="AF37" s="20"/>
      <c r="AH37" s="28" t="str">
        <f>HLOOKUP(AH31,$AH34:$BG35,2,FALSE)</f>
        <v>Q</v>
      </c>
      <c r="AI37" s="28" t="str">
        <f>HLOOKUP(AI31,$AH34:$BG35,2,FALSE)</f>
        <v>N</v>
      </c>
      <c r="AJ37" s="28" t="str">
        <f>HLOOKUP(AJ31,$AH34:$BG35,2,FALSE)</f>
        <v>X</v>
      </c>
      <c r="AK37" s="28" t="str">
        <f t="shared" ref="AK37:BG37" si="49">HLOOKUP(AK31,$AH34:$BG35,2,FALSE)</f>
        <v>K</v>
      </c>
      <c r="AL37" s="28" t="str">
        <f t="shared" si="49"/>
        <v>R</v>
      </c>
      <c r="AM37" s="28" t="str">
        <f t="shared" si="49"/>
        <v>B</v>
      </c>
      <c r="AN37" s="28" t="str">
        <f t="shared" si="49"/>
        <v>C</v>
      </c>
      <c r="AO37" s="28" t="str">
        <f t="shared" si="49"/>
        <v>H</v>
      </c>
      <c r="AP37" s="28" t="str">
        <f t="shared" si="49"/>
        <v>T</v>
      </c>
      <c r="AQ37" s="28" t="str">
        <f t="shared" si="49"/>
        <v>V</v>
      </c>
      <c r="AR37" s="28" t="str">
        <f t="shared" si="49"/>
        <v>O</v>
      </c>
      <c r="AS37" s="28" t="str">
        <f t="shared" si="49"/>
        <v>Y</v>
      </c>
      <c r="AT37" s="28" t="str">
        <f t="shared" si="49"/>
        <v>L</v>
      </c>
      <c r="AU37" s="28" t="str">
        <f t="shared" si="49"/>
        <v>W</v>
      </c>
      <c r="AV37" s="28" t="str">
        <f t="shared" si="49"/>
        <v>F</v>
      </c>
      <c r="AW37" s="28" t="str">
        <f t="shared" si="49"/>
        <v>P</v>
      </c>
      <c r="AX37" s="28" t="str">
        <f t="shared" si="49"/>
        <v>U</v>
      </c>
      <c r="AY37" s="28" t="str">
        <f t="shared" si="49"/>
        <v>E</v>
      </c>
      <c r="AZ37" s="28" t="str">
        <f t="shared" si="49"/>
        <v>G</v>
      </c>
      <c r="BA37" s="28" t="str">
        <f t="shared" si="49"/>
        <v>I</v>
      </c>
      <c r="BB37" s="28" t="str">
        <f t="shared" si="49"/>
        <v>M</v>
      </c>
      <c r="BC37" s="28" t="str">
        <f t="shared" si="49"/>
        <v>Z</v>
      </c>
      <c r="BD37" s="28" t="str">
        <f t="shared" si="49"/>
        <v>A</v>
      </c>
      <c r="BE37" s="28" t="str">
        <f t="shared" si="49"/>
        <v>S</v>
      </c>
      <c r="BF37" s="28" t="str">
        <f t="shared" si="49"/>
        <v>D</v>
      </c>
      <c r="BG37" s="28" t="str">
        <f t="shared" si="49"/>
        <v>J</v>
      </c>
    </row>
    <row r="38" spans="2:59" x14ac:dyDescent="0.35">
      <c r="B38" s="22"/>
      <c r="C38" s="8"/>
      <c r="F38" s="1">
        <f t="shared" ref="F38:AE38" si="50">IF(ISERROR(FIND(F37,$AF36)),0,1)</f>
        <v>1</v>
      </c>
      <c r="G38" s="1">
        <f t="shared" si="50"/>
        <v>1</v>
      </c>
      <c r="H38" s="1">
        <f t="shared" si="50"/>
        <v>1</v>
      </c>
      <c r="I38" s="1">
        <f t="shared" si="50"/>
        <v>1</v>
      </c>
      <c r="J38" s="1">
        <f t="shared" si="50"/>
        <v>1</v>
      </c>
      <c r="K38" s="1">
        <f t="shared" si="50"/>
        <v>1</v>
      </c>
      <c r="L38" s="1">
        <f t="shared" si="50"/>
        <v>1</v>
      </c>
      <c r="M38" s="1">
        <f t="shared" si="50"/>
        <v>1</v>
      </c>
      <c r="N38" s="1">
        <f t="shared" si="50"/>
        <v>1</v>
      </c>
      <c r="O38" s="1">
        <f t="shared" si="50"/>
        <v>1</v>
      </c>
      <c r="P38" s="1">
        <f t="shared" si="50"/>
        <v>1</v>
      </c>
      <c r="Q38" s="1">
        <f t="shared" si="50"/>
        <v>1</v>
      </c>
      <c r="R38" s="1">
        <f t="shared" si="50"/>
        <v>1</v>
      </c>
      <c r="S38" s="1">
        <f t="shared" si="50"/>
        <v>1</v>
      </c>
      <c r="T38" s="1">
        <f t="shared" si="50"/>
        <v>1</v>
      </c>
      <c r="U38" s="1">
        <f t="shared" si="50"/>
        <v>1</v>
      </c>
      <c r="V38" s="1">
        <f t="shared" si="50"/>
        <v>1</v>
      </c>
      <c r="W38" s="1">
        <f t="shared" si="50"/>
        <v>1</v>
      </c>
      <c r="X38" s="1">
        <f t="shared" si="50"/>
        <v>1</v>
      </c>
      <c r="Y38" s="1">
        <f t="shared" si="50"/>
        <v>1</v>
      </c>
      <c r="Z38" s="1">
        <f t="shared" si="50"/>
        <v>1</v>
      </c>
      <c r="AA38" s="1">
        <f t="shared" si="50"/>
        <v>1</v>
      </c>
      <c r="AB38" s="1">
        <f t="shared" si="50"/>
        <v>1</v>
      </c>
      <c r="AC38" s="1">
        <f t="shared" si="50"/>
        <v>1</v>
      </c>
      <c r="AD38" s="1">
        <f t="shared" si="50"/>
        <v>1</v>
      </c>
      <c r="AE38" s="1">
        <f t="shared" si="50"/>
        <v>1</v>
      </c>
      <c r="AF38" s="10"/>
    </row>
    <row r="39" spans="2:59" x14ac:dyDescent="0.35">
      <c r="B39" s="22" t="s">
        <v>384</v>
      </c>
      <c r="C39" s="26" t="str">
        <f>"R"&amp;C6</f>
        <v>R2</v>
      </c>
      <c r="D39" s="11">
        <f>D6</f>
        <v>3713</v>
      </c>
      <c r="E39" s="11">
        <f>E6</f>
        <v>21</v>
      </c>
      <c r="F39" s="12" t="str">
        <f>F6</f>
        <v>U</v>
      </c>
      <c r="G39" s="13" t="str">
        <f t="shared" ref="G39:AE39" si="51">VLOOKUP(F39,nNextLetter,2,FALSE)</f>
        <v>V</v>
      </c>
      <c r="H39" s="13" t="str">
        <f t="shared" si="51"/>
        <v>W</v>
      </c>
      <c r="I39" s="13" t="str">
        <f t="shared" si="51"/>
        <v>X</v>
      </c>
      <c r="J39" s="13" t="str">
        <f t="shared" si="51"/>
        <v>Y</v>
      </c>
      <c r="K39" s="13" t="str">
        <f t="shared" si="51"/>
        <v>Z</v>
      </c>
      <c r="L39" s="13" t="str">
        <f t="shared" si="51"/>
        <v>A</v>
      </c>
      <c r="M39" s="13" t="str">
        <f t="shared" si="51"/>
        <v>B</v>
      </c>
      <c r="N39" s="13" t="str">
        <f t="shared" si="51"/>
        <v>C</v>
      </c>
      <c r="O39" s="13" t="str">
        <f t="shared" si="51"/>
        <v>D</v>
      </c>
      <c r="P39" s="13" t="str">
        <f t="shared" si="51"/>
        <v>E</v>
      </c>
      <c r="Q39" s="13" t="str">
        <f t="shared" si="51"/>
        <v>F</v>
      </c>
      <c r="R39" s="13" t="str">
        <f t="shared" si="51"/>
        <v>G</v>
      </c>
      <c r="S39" s="13" t="str">
        <f t="shared" si="51"/>
        <v>H</v>
      </c>
      <c r="T39" s="13" t="str">
        <f t="shared" si="51"/>
        <v>I</v>
      </c>
      <c r="U39" s="13" t="str">
        <f t="shared" si="51"/>
        <v>J</v>
      </c>
      <c r="V39" s="13" t="str">
        <f t="shared" si="51"/>
        <v>K</v>
      </c>
      <c r="W39" s="13" t="str">
        <f t="shared" si="51"/>
        <v>L</v>
      </c>
      <c r="X39" s="13" t="str">
        <f t="shared" si="51"/>
        <v>M</v>
      </c>
      <c r="Y39" s="13" t="str">
        <f t="shared" si="51"/>
        <v>N</v>
      </c>
      <c r="Z39" s="13" t="str">
        <f t="shared" si="51"/>
        <v>O</v>
      </c>
      <c r="AA39" s="13" t="str">
        <f t="shared" si="51"/>
        <v>P</v>
      </c>
      <c r="AB39" s="13" t="str">
        <f t="shared" si="51"/>
        <v>Q</v>
      </c>
      <c r="AC39" s="13" t="str">
        <f t="shared" si="51"/>
        <v>R</v>
      </c>
      <c r="AD39" s="13" t="str">
        <f t="shared" si="51"/>
        <v>S</v>
      </c>
      <c r="AE39" s="13" t="str">
        <f t="shared" si="51"/>
        <v>T</v>
      </c>
      <c r="AF39" s="10"/>
    </row>
    <row r="40" spans="2:59" x14ac:dyDescent="0.35">
      <c r="B40" s="22"/>
      <c r="C40" s="8"/>
      <c r="E40" t="s">
        <v>386</v>
      </c>
      <c r="F40" s="14" t="str">
        <f t="shared" ref="F40:AE40" si="52">IF(F38=1,VLOOKUP(nCurPosR+nRingOffsetR+(CODE(F37)-nCharOffset)-1,nNum2Let,2,FALSE),"")</f>
        <v>U</v>
      </c>
      <c r="G40" s="14" t="str">
        <f t="shared" si="52"/>
        <v>V</v>
      </c>
      <c r="H40" s="14" t="str">
        <f t="shared" si="52"/>
        <v>W</v>
      </c>
      <c r="I40" s="14" t="str">
        <f t="shared" si="52"/>
        <v>X</v>
      </c>
      <c r="J40" s="14" t="str">
        <f t="shared" si="52"/>
        <v>Y</v>
      </c>
      <c r="K40" s="14" t="str">
        <f t="shared" si="52"/>
        <v>Z</v>
      </c>
      <c r="L40" s="14" t="str">
        <f t="shared" si="52"/>
        <v>A</v>
      </c>
      <c r="M40" s="14" t="str">
        <f t="shared" si="52"/>
        <v>B</v>
      </c>
      <c r="N40" s="14" t="str">
        <f t="shared" si="52"/>
        <v>C</v>
      </c>
      <c r="O40" s="14" t="str">
        <f t="shared" si="52"/>
        <v>D</v>
      </c>
      <c r="P40" s="14" t="str">
        <f t="shared" si="52"/>
        <v>E</v>
      </c>
      <c r="Q40" s="14" t="str">
        <f t="shared" si="52"/>
        <v>F</v>
      </c>
      <c r="R40" s="14" t="str">
        <f t="shared" si="52"/>
        <v>G</v>
      </c>
      <c r="S40" s="14" t="str">
        <f t="shared" si="52"/>
        <v>H</v>
      </c>
      <c r="T40" s="14" t="str">
        <f t="shared" si="52"/>
        <v>I</v>
      </c>
      <c r="U40" s="14" t="str">
        <f t="shared" si="52"/>
        <v>J</v>
      </c>
      <c r="V40" s="14" t="str">
        <f t="shared" si="52"/>
        <v>K</v>
      </c>
      <c r="W40" s="14" t="str">
        <f t="shared" si="52"/>
        <v>L</v>
      </c>
      <c r="X40" s="14" t="str">
        <f t="shared" si="52"/>
        <v>M</v>
      </c>
      <c r="Y40" s="14" t="str">
        <f t="shared" si="52"/>
        <v>N</v>
      </c>
      <c r="Z40" s="14" t="str">
        <f t="shared" si="52"/>
        <v>O</v>
      </c>
      <c r="AA40" s="14" t="str">
        <f t="shared" si="52"/>
        <v>P</v>
      </c>
      <c r="AB40" s="14" t="str">
        <f t="shared" si="52"/>
        <v>Q</v>
      </c>
      <c r="AC40" s="14" t="str">
        <f t="shared" si="52"/>
        <v>R</v>
      </c>
      <c r="AD40" s="14" t="str">
        <f t="shared" si="52"/>
        <v>S</v>
      </c>
      <c r="AE40" s="14" t="str">
        <f t="shared" si="52"/>
        <v>T</v>
      </c>
      <c r="AF40" s="10"/>
      <c r="AH40" s="28" t="str">
        <f t="shared" ref="AH40:BG40" si="53">IF(LEN(AH42)=2,LEFT(AH42,1),"")</f>
        <v>A</v>
      </c>
      <c r="AI40" s="28" t="str">
        <f t="shared" si="53"/>
        <v>B</v>
      </c>
      <c r="AJ40" s="28" t="str">
        <f t="shared" si="53"/>
        <v>C</v>
      </c>
      <c r="AK40" s="28" t="str">
        <f t="shared" si="53"/>
        <v>D</v>
      </c>
      <c r="AL40" s="28" t="str">
        <f t="shared" si="53"/>
        <v>E</v>
      </c>
      <c r="AM40" s="28" t="str">
        <f t="shared" si="53"/>
        <v>F</v>
      </c>
      <c r="AN40" s="28" t="str">
        <f t="shared" si="53"/>
        <v>G</v>
      </c>
      <c r="AO40" s="28" t="str">
        <f t="shared" si="53"/>
        <v>H</v>
      </c>
      <c r="AP40" s="28" t="str">
        <f t="shared" si="53"/>
        <v>I</v>
      </c>
      <c r="AQ40" s="28" t="str">
        <f t="shared" si="53"/>
        <v>J</v>
      </c>
      <c r="AR40" s="28" t="str">
        <f t="shared" si="53"/>
        <v>K</v>
      </c>
      <c r="AS40" s="28" t="str">
        <f t="shared" si="53"/>
        <v>L</v>
      </c>
      <c r="AT40" s="28" t="str">
        <f t="shared" si="53"/>
        <v>M</v>
      </c>
      <c r="AU40" s="28" t="str">
        <f t="shared" si="53"/>
        <v>N</v>
      </c>
      <c r="AV40" s="28" t="str">
        <f t="shared" si="53"/>
        <v>O</v>
      </c>
      <c r="AW40" s="28" t="str">
        <f t="shared" si="53"/>
        <v>P</v>
      </c>
      <c r="AX40" s="28" t="str">
        <f t="shared" si="53"/>
        <v>Q</v>
      </c>
      <c r="AY40" s="28" t="str">
        <f t="shared" si="53"/>
        <v>R</v>
      </c>
      <c r="AZ40" s="28" t="str">
        <f t="shared" si="53"/>
        <v>S</v>
      </c>
      <c r="BA40" s="28" t="str">
        <f t="shared" si="53"/>
        <v>T</v>
      </c>
      <c r="BB40" s="28" t="str">
        <f t="shared" si="53"/>
        <v>U</v>
      </c>
      <c r="BC40" s="28" t="str">
        <f t="shared" si="53"/>
        <v>V</v>
      </c>
      <c r="BD40" s="28" t="str">
        <f t="shared" si="53"/>
        <v>W</v>
      </c>
      <c r="BE40" s="28" t="str">
        <f t="shared" si="53"/>
        <v>X</v>
      </c>
      <c r="BF40" s="28" t="str">
        <f t="shared" si="53"/>
        <v>Y</v>
      </c>
      <c r="BG40" s="28" t="str">
        <f t="shared" si="53"/>
        <v>Z</v>
      </c>
    </row>
    <row r="41" spans="2:59" x14ac:dyDescent="0.35">
      <c r="B41" s="22"/>
      <c r="C41" s="8"/>
      <c r="E41" t="s">
        <v>387</v>
      </c>
      <c r="F41" s="15" t="str">
        <f t="shared" ref="F41:AE41" si="54">IF(F38=1,VLOOKUP(nRotorR_Rev&amp;F40,nRotorRev,4,FALSE),"")</f>
        <v>H</v>
      </c>
      <c r="G41" s="15" t="str">
        <f t="shared" si="54"/>
        <v>X</v>
      </c>
      <c r="H41" s="15" t="str">
        <f t="shared" si="54"/>
        <v>M</v>
      </c>
      <c r="I41" s="15" t="str">
        <f t="shared" si="54"/>
        <v>I</v>
      </c>
      <c r="J41" s="15" t="str">
        <f t="shared" si="54"/>
        <v>V</v>
      </c>
      <c r="K41" s="15" t="str">
        <f t="shared" si="54"/>
        <v>S</v>
      </c>
      <c r="L41" s="15" t="str">
        <f t="shared" si="54"/>
        <v>A</v>
      </c>
      <c r="M41" s="15" t="str">
        <f t="shared" si="54"/>
        <v>J</v>
      </c>
      <c r="N41" s="15" t="str">
        <f t="shared" si="54"/>
        <v>P</v>
      </c>
      <c r="O41" s="15" t="str">
        <f t="shared" si="54"/>
        <v>C</v>
      </c>
      <c r="P41" s="15" t="str">
        <f t="shared" si="54"/>
        <v>Z</v>
      </c>
      <c r="Q41" s="15" t="str">
        <f t="shared" si="54"/>
        <v>W</v>
      </c>
      <c r="R41" s="15" t="str">
        <f t="shared" si="54"/>
        <v>R</v>
      </c>
      <c r="S41" s="15" t="str">
        <f t="shared" si="54"/>
        <v>L</v>
      </c>
      <c r="T41" s="15" t="str">
        <f t="shared" si="54"/>
        <v>F</v>
      </c>
      <c r="U41" s="15" t="str">
        <f t="shared" si="54"/>
        <v>B</v>
      </c>
      <c r="V41" s="15" t="str">
        <f t="shared" si="54"/>
        <v>D</v>
      </c>
      <c r="W41" s="15" t="str">
        <f t="shared" si="54"/>
        <v>K</v>
      </c>
      <c r="X41" s="15" t="str">
        <f t="shared" si="54"/>
        <v>O</v>
      </c>
      <c r="Y41" s="15" t="str">
        <f t="shared" si="54"/>
        <v>T</v>
      </c>
      <c r="Z41" s="15" t="str">
        <f t="shared" si="54"/>
        <v>Y</v>
      </c>
      <c r="AA41" s="15" t="str">
        <f t="shared" si="54"/>
        <v>U</v>
      </c>
      <c r="AB41" s="15" t="str">
        <f t="shared" si="54"/>
        <v>Q</v>
      </c>
      <c r="AC41" s="15" t="str">
        <f t="shared" si="54"/>
        <v>G</v>
      </c>
      <c r="AD41" s="15" t="str">
        <f t="shared" si="54"/>
        <v>E</v>
      </c>
      <c r="AE41" s="15" t="str">
        <f t="shared" si="54"/>
        <v>N</v>
      </c>
      <c r="AF41" s="10"/>
      <c r="AH41" s="28" t="str">
        <f t="shared" ref="AH41:BG41" si="55">IF(LEN(AH42)=2,RIGHT(AH42,1),"")</f>
        <v>N</v>
      </c>
      <c r="AI41" s="28" t="str">
        <f t="shared" si="55"/>
        <v>D</v>
      </c>
      <c r="AJ41" s="28" t="str">
        <f t="shared" si="55"/>
        <v>S</v>
      </c>
      <c r="AK41" s="28" t="str">
        <f t="shared" si="55"/>
        <v>O</v>
      </c>
      <c r="AL41" s="28" t="str">
        <f t="shared" si="55"/>
        <v>B</v>
      </c>
      <c r="AM41" s="28" t="str">
        <f t="shared" si="55"/>
        <v>Y</v>
      </c>
      <c r="AN41" s="28" t="str">
        <f t="shared" si="55"/>
        <v>G</v>
      </c>
      <c r="AO41" s="28" t="str">
        <f t="shared" si="55"/>
        <v>P</v>
      </c>
      <c r="AP41" s="28" t="str">
        <f t="shared" si="55"/>
        <v>V</v>
      </c>
      <c r="AQ41" s="28" t="str">
        <f t="shared" si="55"/>
        <v>I</v>
      </c>
      <c r="AR41" s="28" t="str">
        <f t="shared" si="55"/>
        <v>F</v>
      </c>
      <c r="AS41" s="28" t="str">
        <f t="shared" si="55"/>
        <v>C</v>
      </c>
      <c r="AT41" s="28" t="str">
        <f t="shared" si="55"/>
        <v>X</v>
      </c>
      <c r="AU41" s="28" t="str">
        <f t="shared" si="55"/>
        <v>R</v>
      </c>
      <c r="AV41" s="28" t="str">
        <f t="shared" si="55"/>
        <v>L</v>
      </c>
      <c r="AW41" s="28" t="str">
        <f t="shared" si="55"/>
        <v>H</v>
      </c>
      <c r="AX41" s="28" t="str">
        <f t="shared" si="55"/>
        <v>J</v>
      </c>
      <c r="AY41" s="28" t="str">
        <f t="shared" si="55"/>
        <v>Q</v>
      </c>
      <c r="AZ41" s="28" t="str">
        <f t="shared" si="55"/>
        <v>U</v>
      </c>
      <c r="BA41" s="28" t="str">
        <f t="shared" si="55"/>
        <v>Z</v>
      </c>
      <c r="BB41" s="28" t="str">
        <f t="shared" si="55"/>
        <v>E</v>
      </c>
      <c r="BC41" s="28" t="str">
        <f t="shared" si="55"/>
        <v>A</v>
      </c>
      <c r="BD41" s="28" t="str">
        <f t="shared" si="55"/>
        <v>W</v>
      </c>
      <c r="BE41" s="28" t="str">
        <f t="shared" si="55"/>
        <v>M</v>
      </c>
      <c r="BF41" s="28" t="str">
        <f t="shared" si="55"/>
        <v>K</v>
      </c>
      <c r="BG41" s="28" t="str">
        <f t="shared" si="55"/>
        <v>T</v>
      </c>
    </row>
    <row r="42" spans="2:59" ht="15" thickBot="1" x14ac:dyDescent="0.4">
      <c r="B42" s="23"/>
      <c r="C42" s="16"/>
      <c r="D42" s="17"/>
      <c r="E42" s="17" t="s">
        <v>388</v>
      </c>
      <c r="F42" s="18" t="str">
        <f t="shared" ref="F42:AE42" si="56">IF(F38=1,IF(CODE(F41)-CODE(F40)&lt;0,VLOOKUP((CODE(F41)-CODE(F40)+26)+(CODE(F37)-nCharOffset),nNum2Let,2,FALSE),VLOOKUP((CODE(F41)-CODE(F40))+(CODE(F37)-nCharOffset),nNum2Let,2,FALSE)),"")</f>
        <v>N</v>
      </c>
      <c r="G42" s="18" t="str">
        <f t="shared" si="56"/>
        <v>D</v>
      </c>
      <c r="H42" s="18" t="str">
        <f t="shared" si="56"/>
        <v>S</v>
      </c>
      <c r="I42" s="18" t="str">
        <f t="shared" si="56"/>
        <v>O</v>
      </c>
      <c r="J42" s="18" t="str">
        <f t="shared" si="56"/>
        <v>B</v>
      </c>
      <c r="K42" s="18" t="str">
        <f t="shared" si="56"/>
        <v>Y</v>
      </c>
      <c r="L42" s="18" t="str">
        <f t="shared" si="56"/>
        <v>G</v>
      </c>
      <c r="M42" s="18" t="str">
        <f t="shared" si="56"/>
        <v>P</v>
      </c>
      <c r="N42" s="18" t="str">
        <f t="shared" si="56"/>
        <v>V</v>
      </c>
      <c r="O42" s="18" t="str">
        <f t="shared" si="56"/>
        <v>I</v>
      </c>
      <c r="P42" s="18" t="str">
        <f t="shared" si="56"/>
        <v>F</v>
      </c>
      <c r="Q42" s="18" t="str">
        <f t="shared" si="56"/>
        <v>C</v>
      </c>
      <c r="R42" s="18" t="str">
        <f t="shared" si="56"/>
        <v>X</v>
      </c>
      <c r="S42" s="18" t="str">
        <f t="shared" si="56"/>
        <v>R</v>
      </c>
      <c r="T42" s="18" t="str">
        <f t="shared" si="56"/>
        <v>L</v>
      </c>
      <c r="U42" s="18" t="str">
        <f t="shared" si="56"/>
        <v>H</v>
      </c>
      <c r="V42" s="18" t="str">
        <f t="shared" si="56"/>
        <v>J</v>
      </c>
      <c r="W42" s="18" t="str">
        <f t="shared" si="56"/>
        <v>Q</v>
      </c>
      <c r="X42" s="18" t="str">
        <f t="shared" si="56"/>
        <v>U</v>
      </c>
      <c r="Y42" s="18" t="str">
        <f t="shared" si="56"/>
        <v>Z</v>
      </c>
      <c r="Z42" s="18" t="str">
        <f t="shared" si="56"/>
        <v>E</v>
      </c>
      <c r="AA42" s="18" t="str">
        <f t="shared" si="56"/>
        <v>A</v>
      </c>
      <c r="AB42" s="18" t="str">
        <f t="shared" si="56"/>
        <v>W</v>
      </c>
      <c r="AC42" s="18" t="str">
        <f t="shared" si="56"/>
        <v>M</v>
      </c>
      <c r="AD42" s="18" t="str">
        <f t="shared" si="56"/>
        <v>K</v>
      </c>
      <c r="AE42" s="18" t="str">
        <f t="shared" si="56"/>
        <v>T</v>
      </c>
      <c r="AF42" s="19" t="str">
        <f>CONCATENATE(F42,G42,H42,I42,J42,K42,L42,M42,N42,O42,P42,Q42,R42,S42,T42&amp;U42,V42,W42,X42,Y42,Z42,AA42,AB42,AC42,AD42,AE42)</f>
        <v>NDSOBYGPVIFCXRLHJQUZEAWMKT</v>
      </c>
      <c r="AH42" s="12" t="str">
        <f>F37&amp;F42</f>
        <v>AN</v>
      </c>
      <c r="AI42" s="12" t="str">
        <f t="shared" ref="AI42:BG42" si="57">G37&amp;G42</f>
        <v>BD</v>
      </c>
      <c r="AJ42" s="12" t="str">
        <f t="shared" si="57"/>
        <v>CS</v>
      </c>
      <c r="AK42" s="12" t="str">
        <f t="shared" si="57"/>
        <v>DO</v>
      </c>
      <c r="AL42" s="12" t="str">
        <f t="shared" si="57"/>
        <v>EB</v>
      </c>
      <c r="AM42" s="12" t="str">
        <f t="shared" si="57"/>
        <v>FY</v>
      </c>
      <c r="AN42" s="12" t="str">
        <f t="shared" si="57"/>
        <v>GG</v>
      </c>
      <c r="AO42" s="12" t="str">
        <f t="shared" si="57"/>
        <v>HP</v>
      </c>
      <c r="AP42" s="12" t="str">
        <f t="shared" si="57"/>
        <v>IV</v>
      </c>
      <c r="AQ42" s="12" t="str">
        <f t="shared" si="57"/>
        <v>JI</v>
      </c>
      <c r="AR42" s="12" t="str">
        <f t="shared" si="57"/>
        <v>KF</v>
      </c>
      <c r="AS42" s="12" t="str">
        <f t="shared" si="57"/>
        <v>LC</v>
      </c>
      <c r="AT42" s="12" t="str">
        <f t="shared" si="57"/>
        <v>MX</v>
      </c>
      <c r="AU42" s="12" t="str">
        <f t="shared" si="57"/>
        <v>NR</v>
      </c>
      <c r="AV42" s="12" t="str">
        <f t="shared" si="57"/>
        <v>OL</v>
      </c>
      <c r="AW42" s="12" t="str">
        <f t="shared" si="57"/>
        <v>PH</v>
      </c>
      <c r="AX42" s="12" t="str">
        <f t="shared" si="57"/>
        <v>QJ</v>
      </c>
      <c r="AY42" s="12" t="str">
        <f t="shared" si="57"/>
        <v>RQ</v>
      </c>
      <c r="AZ42" s="12" t="str">
        <f t="shared" si="57"/>
        <v>SU</v>
      </c>
      <c r="BA42" s="12" t="str">
        <f t="shared" si="57"/>
        <v>TZ</v>
      </c>
      <c r="BB42" s="12" t="str">
        <f t="shared" si="57"/>
        <v>UE</v>
      </c>
      <c r="BC42" s="12" t="str">
        <f t="shared" si="57"/>
        <v>VA</v>
      </c>
      <c r="BD42" s="12" t="str">
        <f t="shared" si="57"/>
        <v>WW</v>
      </c>
      <c r="BE42" s="12" t="str">
        <f t="shared" si="57"/>
        <v>XM</v>
      </c>
      <c r="BF42" s="12" t="str">
        <f t="shared" si="57"/>
        <v>YK</v>
      </c>
      <c r="BG42" s="12" t="str">
        <f t="shared" si="57"/>
        <v>ZT</v>
      </c>
    </row>
    <row r="43" spans="2:59" x14ac:dyDescent="0.35">
      <c r="F43" s="3" t="s">
        <v>0</v>
      </c>
      <c r="G43" s="3" t="s">
        <v>1</v>
      </c>
      <c r="H43" s="3" t="s">
        <v>2</v>
      </c>
      <c r="I43" s="3" t="s">
        <v>3</v>
      </c>
      <c r="J43" s="3" t="s">
        <v>4</v>
      </c>
      <c r="K43" s="3" t="s">
        <v>5</v>
      </c>
      <c r="L43" s="3" t="s">
        <v>6</v>
      </c>
      <c r="M43" s="3" t="s">
        <v>7</v>
      </c>
      <c r="N43" s="3" t="s">
        <v>8</v>
      </c>
      <c r="O43" s="3" t="s">
        <v>9</v>
      </c>
      <c r="P43" s="3" t="s">
        <v>10</v>
      </c>
      <c r="Q43" s="3" t="s">
        <v>11</v>
      </c>
      <c r="R43" s="3" t="s">
        <v>12</v>
      </c>
      <c r="S43" s="3" t="s">
        <v>13</v>
      </c>
      <c r="T43" s="3" t="s">
        <v>14</v>
      </c>
      <c r="U43" s="3" t="s">
        <v>15</v>
      </c>
      <c r="V43" s="3" t="s">
        <v>16</v>
      </c>
      <c r="W43" s="3" t="s">
        <v>17</v>
      </c>
      <c r="X43" s="3" t="s">
        <v>18</v>
      </c>
      <c r="Y43" s="3" t="s">
        <v>19</v>
      </c>
      <c r="Z43" s="3" t="s">
        <v>20</v>
      </c>
      <c r="AA43" s="3" t="s">
        <v>21</v>
      </c>
      <c r="AB43" s="3" t="s">
        <v>22</v>
      </c>
      <c r="AC43" s="3" t="s">
        <v>23</v>
      </c>
      <c r="AD43" s="3" t="s">
        <v>24</v>
      </c>
      <c r="AE43" s="3" t="s">
        <v>25</v>
      </c>
      <c r="AH43" s="42" t="str">
        <f>HLOOKUP(AH37,$AH40:$BG41,2,FALSE)</f>
        <v>J</v>
      </c>
      <c r="AI43" s="42" t="str">
        <f>HLOOKUP(AI37,$AH40:$BG41,2,FALSE)</f>
        <v>R</v>
      </c>
      <c r="AJ43" s="42" t="str">
        <f t="shared" ref="AJ43:BG43" si="58">HLOOKUP(AJ37,$AH40:$BG41,2,FALSE)</f>
        <v>M</v>
      </c>
      <c r="AK43" s="42" t="str">
        <f t="shared" si="58"/>
        <v>F</v>
      </c>
      <c r="AL43" s="42" t="str">
        <f t="shared" si="58"/>
        <v>Q</v>
      </c>
      <c r="AM43" s="42" t="str">
        <f t="shared" si="58"/>
        <v>D</v>
      </c>
      <c r="AN43" s="42" t="str">
        <f t="shared" si="58"/>
        <v>S</v>
      </c>
      <c r="AO43" s="42" t="str">
        <f t="shared" si="58"/>
        <v>P</v>
      </c>
      <c r="AP43" s="42" t="str">
        <f t="shared" si="58"/>
        <v>Z</v>
      </c>
      <c r="AQ43" s="42" t="str">
        <f t="shared" si="58"/>
        <v>A</v>
      </c>
      <c r="AR43" s="42" t="str">
        <f t="shared" si="58"/>
        <v>L</v>
      </c>
      <c r="AS43" s="42" t="str">
        <f t="shared" si="58"/>
        <v>K</v>
      </c>
      <c r="AT43" s="42" t="str">
        <f t="shared" si="58"/>
        <v>C</v>
      </c>
      <c r="AU43" s="42" t="str">
        <f t="shared" si="58"/>
        <v>W</v>
      </c>
      <c r="AV43" s="42" t="str">
        <f t="shared" si="58"/>
        <v>Y</v>
      </c>
      <c r="AW43" s="42" t="str">
        <f t="shared" si="58"/>
        <v>H</v>
      </c>
      <c r="AX43" s="42" t="str">
        <f t="shared" si="58"/>
        <v>E</v>
      </c>
      <c r="AY43" s="42" t="str">
        <f t="shared" si="58"/>
        <v>B</v>
      </c>
      <c r="AZ43" s="42" t="str">
        <f t="shared" si="58"/>
        <v>G</v>
      </c>
      <c r="BA43" s="42" t="str">
        <f t="shared" si="58"/>
        <v>V</v>
      </c>
      <c r="BB43" s="42" t="str">
        <f t="shared" si="58"/>
        <v>X</v>
      </c>
      <c r="BC43" s="42" t="str">
        <f t="shared" si="58"/>
        <v>T</v>
      </c>
      <c r="BD43" s="42" t="str">
        <f t="shared" si="58"/>
        <v>N</v>
      </c>
      <c r="BE43" s="42" t="str">
        <f t="shared" si="58"/>
        <v>U</v>
      </c>
      <c r="BF43" s="42" t="str">
        <f t="shared" si="58"/>
        <v>O</v>
      </c>
      <c r="BG43" s="42" t="str">
        <f t="shared" si="58"/>
        <v>I</v>
      </c>
    </row>
    <row r="44" spans="2:59" x14ac:dyDescent="0.35"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H44" s="95" t="s">
        <v>608</v>
      </c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U44" s="96"/>
      <c r="AV44" s="96"/>
      <c r="AW44" s="96"/>
      <c r="AX44" s="96"/>
      <c r="AY44" s="96"/>
      <c r="AZ44" s="96"/>
      <c r="BA44" s="96"/>
      <c r="BB44" s="96"/>
      <c r="BC44" s="96"/>
      <c r="BD44" s="96"/>
      <c r="BE44" s="96"/>
      <c r="BF44" s="96"/>
      <c r="BG44" s="97"/>
    </row>
  </sheetData>
  <sheetProtection sheet="1" objects="1" scenarios="1"/>
  <mergeCells count="2">
    <mergeCell ref="AH6:BG6"/>
    <mergeCell ref="AH44:BG44"/>
  </mergeCells>
  <pageMargins left="0.70866141732283472" right="0.70866141732283472" top="0.74803149606299213" bottom="0.74803149606299213" header="0.31496062992125984" footer="0.31496062992125984"/>
  <pageSetup paperSize="8" scale="6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pageSetUpPr fitToPage="1"/>
  </sheetPr>
  <dimension ref="A1:BG44"/>
  <sheetViews>
    <sheetView showGridLines="0" showRowColHeaders="0" zoomScale="80" zoomScaleNormal="80" workbookViewId="0"/>
  </sheetViews>
  <sheetFormatPr defaultRowHeight="14.5" x14ac:dyDescent="0.35"/>
  <cols>
    <col min="2" max="2" width="20.54296875" bestFit="1" customWidth="1"/>
    <col min="3" max="3" width="4.54296875" customWidth="1"/>
    <col min="4" max="4" width="8.1796875" bestFit="1" customWidth="1"/>
    <col min="5" max="5" width="15.54296875" bestFit="1" customWidth="1"/>
    <col min="6" max="6" width="3.453125" customWidth="1"/>
    <col min="7" max="7" width="4" customWidth="1"/>
    <col min="8" max="8" width="3.26953125" customWidth="1"/>
    <col min="9" max="9" width="4.1796875" customWidth="1"/>
    <col min="10" max="10" width="3.453125" customWidth="1"/>
    <col min="11" max="31" width="3.26953125" customWidth="1"/>
    <col min="32" max="32" width="32.26953125" bestFit="1" customWidth="1"/>
    <col min="34" max="59" width="3.453125" customWidth="1"/>
  </cols>
  <sheetData>
    <row r="1" spans="1:59" x14ac:dyDescent="0.35">
      <c r="B1" s="29" t="s">
        <v>378</v>
      </c>
      <c r="C1" s="75">
        <v>64</v>
      </c>
      <c r="D1" s="76" t="str">
        <f>nRotorL&amp;nRotorM&amp;nRotorR</f>
        <v>142</v>
      </c>
      <c r="E1" s="76" t="str">
        <f>F18&amp;F12&amp;F6</f>
        <v>ELV</v>
      </c>
      <c r="J1" s="44" t="s">
        <v>4</v>
      </c>
      <c r="K1" s="44" t="s">
        <v>13</v>
      </c>
      <c r="L1" s="44" t="s">
        <v>8</v>
      </c>
      <c r="M1" s="44" t="s">
        <v>6</v>
      </c>
      <c r="N1" s="44" t="s">
        <v>12</v>
      </c>
      <c r="O1" s="44" t="s">
        <v>0</v>
      </c>
      <c r="P1" s="44" t="s">
        <v>18</v>
      </c>
      <c r="Q1" s="44" t="s">
        <v>2</v>
      </c>
      <c r="R1" s="44" t="s">
        <v>17</v>
      </c>
      <c r="S1" s="44" t="s">
        <v>0</v>
      </c>
      <c r="T1" s="44" t="s">
        <v>12</v>
      </c>
      <c r="U1" s="44" t="s">
        <v>1</v>
      </c>
      <c r="V1" s="44" t="s">
        <v>11</v>
      </c>
      <c r="W1" s="44" t="s">
        <v>4</v>
      </c>
      <c r="X1" s="44" t="s">
        <v>17</v>
      </c>
      <c r="Y1" s="44">
        <v>0</v>
      </c>
      <c r="Z1" s="44">
        <v>7</v>
      </c>
    </row>
    <row r="2" spans="1:59" x14ac:dyDescent="0.35">
      <c r="D2" s="77">
        <f>nCounter</f>
        <v>3707</v>
      </c>
    </row>
    <row r="3" spans="1:59" ht="15" thickBot="1" x14ac:dyDescent="0.4">
      <c r="D3" s="78">
        <f>n_RO07</f>
        <v>7</v>
      </c>
      <c r="F3" s="1"/>
      <c r="AF3" s="79" t="s">
        <v>423</v>
      </c>
    </row>
    <row r="4" spans="1:59" x14ac:dyDescent="0.35">
      <c r="B4" s="21"/>
      <c r="C4" s="4"/>
      <c r="E4" s="5" t="s">
        <v>385</v>
      </c>
      <c r="F4" s="6" t="s">
        <v>0</v>
      </c>
      <c r="G4" s="6" t="s">
        <v>1</v>
      </c>
      <c r="H4" s="6" t="s">
        <v>2</v>
      </c>
      <c r="I4" s="6" t="s">
        <v>3</v>
      </c>
      <c r="J4" s="6" t="s">
        <v>4</v>
      </c>
      <c r="K4" s="6" t="s">
        <v>5</v>
      </c>
      <c r="L4" s="6" t="s">
        <v>6</v>
      </c>
      <c r="M4" s="6" t="s">
        <v>7</v>
      </c>
      <c r="N4" s="6" t="s">
        <v>8</v>
      </c>
      <c r="O4" s="6" t="s">
        <v>9</v>
      </c>
      <c r="P4" s="6" t="s">
        <v>10</v>
      </c>
      <c r="Q4" s="6" t="s">
        <v>11</v>
      </c>
      <c r="R4" s="6" t="s">
        <v>12</v>
      </c>
      <c r="S4" s="6" t="s">
        <v>13</v>
      </c>
      <c r="T4" s="6" t="s">
        <v>14</v>
      </c>
      <c r="U4" s="6" t="s">
        <v>15</v>
      </c>
      <c r="V4" s="6" t="s">
        <v>16</v>
      </c>
      <c r="W4" s="6" t="s">
        <v>17</v>
      </c>
      <c r="X4" s="6" t="s">
        <v>18</v>
      </c>
      <c r="Y4" s="6" t="s">
        <v>19</v>
      </c>
      <c r="Z4" s="6" t="s">
        <v>20</v>
      </c>
      <c r="AA4" s="6" t="s">
        <v>21</v>
      </c>
      <c r="AB4" s="6" t="s">
        <v>22</v>
      </c>
      <c r="AC4" s="6" t="s">
        <v>23</v>
      </c>
      <c r="AD4" s="6" t="s">
        <v>24</v>
      </c>
      <c r="AE4" s="6" t="s">
        <v>25</v>
      </c>
      <c r="AF4" s="10"/>
    </row>
    <row r="5" spans="1:59" x14ac:dyDescent="0.35">
      <c r="B5" s="22"/>
      <c r="C5" s="8"/>
      <c r="D5" s="9" t="s">
        <v>28</v>
      </c>
      <c r="E5" s="9" t="s">
        <v>27</v>
      </c>
      <c r="F5" s="1">
        <f t="shared" ref="F5:AE5" si="0">IF(ISERROR(FIND(F4,$AF3)),0,1)</f>
        <v>1</v>
      </c>
      <c r="G5" s="1">
        <f t="shared" si="0"/>
        <v>1</v>
      </c>
      <c r="H5" s="1">
        <f t="shared" si="0"/>
        <v>1</v>
      </c>
      <c r="I5" s="1">
        <f t="shared" si="0"/>
        <v>1</v>
      </c>
      <c r="J5" s="1">
        <f t="shared" si="0"/>
        <v>1</v>
      </c>
      <c r="K5" s="1">
        <f t="shared" si="0"/>
        <v>1</v>
      </c>
      <c r="L5" s="1">
        <f t="shared" si="0"/>
        <v>1</v>
      </c>
      <c r="M5" s="1">
        <f t="shared" si="0"/>
        <v>1</v>
      </c>
      <c r="N5" s="1">
        <f t="shared" si="0"/>
        <v>1</v>
      </c>
      <c r="O5" s="1">
        <f t="shared" si="0"/>
        <v>1</v>
      </c>
      <c r="P5" s="1">
        <f t="shared" si="0"/>
        <v>1</v>
      </c>
      <c r="Q5" s="1">
        <f t="shared" si="0"/>
        <v>1</v>
      </c>
      <c r="R5" s="1">
        <f t="shared" si="0"/>
        <v>1</v>
      </c>
      <c r="S5" s="1">
        <f t="shared" si="0"/>
        <v>1</v>
      </c>
      <c r="T5" s="1">
        <f t="shared" si="0"/>
        <v>1</v>
      </c>
      <c r="U5" s="1">
        <f t="shared" si="0"/>
        <v>1</v>
      </c>
      <c r="V5" s="1">
        <f t="shared" si="0"/>
        <v>1</v>
      </c>
      <c r="W5" s="1">
        <f t="shared" si="0"/>
        <v>1</v>
      </c>
      <c r="X5" s="1">
        <f t="shared" si="0"/>
        <v>1</v>
      </c>
      <c r="Y5" s="1">
        <f t="shared" si="0"/>
        <v>1</v>
      </c>
      <c r="Z5" s="1">
        <f t="shared" si="0"/>
        <v>1</v>
      </c>
      <c r="AA5" s="1">
        <f t="shared" si="0"/>
        <v>1</v>
      </c>
      <c r="AB5" s="1">
        <f t="shared" si="0"/>
        <v>1</v>
      </c>
      <c r="AC5" s="1">
        <f t="shared" si="0"/>
        <v>1</v>
      </c>
      <c r="AD5" s="1">
        <f t="shared" si="0"/>
        <v>1</v>
      </c>
      <c r="AE5" s="1">
        <f t="shared" si="0"/>
        <v>1</v>
      </c>
      <c r="AF5" s="10"/>
    </row>
    <row r="6" spans="1:59" x14ac:dyDescent="0.35">
      <c r="B6" s="22" t="s">
        <v>379</v>
      </c>
      <c r="C6" s="41">
        <f>n_RotorR</f>
        <v>2</v>
      </c>
      <c r="D6" s="11">
        <f>D3+D2</f>
        <v>3714</v>
      </c>
      <c r="E6" s="11">
        <f>IF(MOD(D6,26)=0,26,MOD(D6,26))</f>
        <v>22</v>
      </c>
      <c r="F6" s="12" t="str">
        <f>CHAR(E6+nCharOffset)</f>
        <v>V</v>
      </c>
      <c r="G6" s="13" t="str">
        <f t="shared" ref="G6:AE6" si="1">VLOOKUP(F6,nNextLetter,2,FALSE)</f>
        <v>W</v>
      </c>
      <c r="H6" s="13" t="str">
        <f t="shared" si="1"/>
        <v>X</v>
      </c>
      <c r="I6" s="13" t="str">
        <f t="shared" si="1"/>
        <v>Y</v>
      </c>
      <c r="J6" s="13" t="str">
        <f t="shared" si="1"/>
        <v>Z</v>
      </c>
      <c r="K6" s="13" t="str">
        <f t="shared" si="1"/>
        <v>A</v>
      </c>
      <c r="L6" s="13" t="str">
        <f t="shared" si="1"/>
        <v>B</v>
      </c>
      <c r="M6" s="13" t="str">
        <f t="shared" si="1"/>
        <v>C</v>
      </c>
      <c r="N6" s="13" t="str">
        <f t="shared" si="1"/>
        <v>D</v>
      </c>
      <c r="O6" s="13" t="str">
        <f t="shared" si="1"/>
        <v>E</v>
      </c>
      <c r="P6" s="13" t="str">
        <f t="shared" si="1"/>
        <v>F</v>
      </c>
      <c r="Q6" s="13" t="str">
        <f t="shared" si="1"/>
        <v>G</v>
      </c>
      <c r="R6" s="13" t="str">
        <f t="shared" si="1"/>
        <v>H</v>
      </c>
      <c r="S6" s="13" t="str">
        <f t="shared" si="1"/>
        <v>I</v>
      </c>
      <c r="T6" s="13" t="str">
        <f t="shared" si="1"/>
        <v>J</v>
      </c>
      <c r="U6" s="13" t="str">
        <f t="shared" si="1"/>
        <v>K</v>
      </c>
      <c r="V6" s="13" t="str">
        <f t="shared" si="1"/>
        <v>L</v>
      </c>
      <c r="W6" s="13" t="str">
        <f t="shared" si="1"/>
        <v>M</v>
      </c>
      <c r="X6" s="13" t="str">
        <f t="shared" si="1"/>
        <v>N</v>
      </c>
      <c r="Y6" s="13" t="str">
        <f t="shared" si="1"/>
        <v>O</v>
      </c>
      <c r="Z6" s="13" t="str">
        <f t="shared" si="1"/>
        <v>P</v>
      </c>
      <c r="AA6" s="13" t="str">
        <f t="shared" si="1"/>
        <v>Q</v>
      </c>
      <c r="AB6" s="13" t="str">
        <f t="shared" si="1"/>
        <v>R</v>
      </c>
      <c r="AC6" s="13" t="str">
        <f t="shared" si="1"/>
        <v>S</v>
      </c>
      <c r="AD6" s="13" t="str">
        <f t="shared" si="1"/>
        <v>T</v>
      </c>
      <c r="AE6" s="13" t="str">
        <f t="shared" si="1"/>
        <v>U</v>
      </c>
      <c r="AF6" s="10"/>
      <c r="AH6" s="95" t="s">
        <v>607</v>
      </c>
      <c r="AI6" s="96"/>
      <c r="AJ6" s="96"/>
      <c r="AK6" s="96"/>
      <c r="AL6" s="96"/>
      <c r="AM6" s="96"/>
      <c r="AN6" s="96"/>
      <c r="AO6" s="96"/>
      <c r="AP6" s="96"/>
      <c r="AQ6" s="96"/>
      <c r="AR6" s="96"/>
      <c r="AS6" s="96"/>
      <c r="AT6" s="96"/>
      <c r="AU6" s="96"/>
      <c r="AV6" s="96"/>
      <c r="AW6" s="96"/>
      <c r="AX6" s="96"/>
      <c r="AY6" s="96"/>
      <c r="AZ6" s="96"/>
      <c r="BA6" s="96"/>
      <c r="BB6" s="96"/>
      <c r="BC6" s="96"/>
      <c r="BD6" s="96"/>
      <c r="BE6" s="96"/>
      <c r="BF6" s="96"/>
      <c r="BG6" s="97"/>
    </row>
    <row r="7" spans="1:59" x14ac:dyDescent="0.35">
      <c r="B7" s="22" t="s">
        <v>389</v>
      </c>
      <c r="C7" s="41" t="str">
        <f>n_RingPosR</f>
        <v>A</v>
      </c>
      <c r="D7" s="11">
        <f>VLOOKUP(C7,nRingOffset,2,FALSE)</f>
        <v>0</v>
      </c>
      <c r="E7" t="s">
        <v>386</v>
      </c>
      <c r="F7" s="14" t="str">
        <f t="shared" ref="F7:AE7" si="2">IF(F5=1,VLOOKUP(nCurPosR+nRingOffsetR+(CODE(F4)-nCharOffset)-1,nNum2Let,2,FALSE),"")</f>
        <v>V</v>
      </c>
      <c r="G7" s="14" t="str">
        <f t="shared" si="2"/>
        <v>W</v>
      </c>
      <c r="H7" s="14" t="str">
        <f t="shared" si="2"/>
        <v>X</v>
      </c>
      <c r="I7" s="14" t="str">
        <f t="shared" si="2"/>
        <v>Y</v>
      </c>
      <c r="J7" s="14" t="str">
        <f t="shared" si="2"/>
        <v>Z</v>
      </c>
      <c r="K7" s="14" t="str">
        <f t="shared" si="2"/>
        <v>A</v>
      </c>
      <c r="L7" s="14" t="str">
        <f t="shared" si="2"/>
        <v>B</v>
      </c>
      <c r="M7" s="14" t="str">
        <f t="shared" si="2"/>
        <v>C</v>
      </c>
      <c r="N7" s="14" t="str">
        <f t="shared" si="2"/>
        <v>D</v>
      </c>
      <c r="O7" s="14" t="str">
        <f t="shared" si="2"/>
        <v>E</v>
      </c>
      <c r="P7" s="14" t="str">
        <f t="shared" si="2"/>
        <v>F</v>
      </c>
      <c r="Q7" s="14" t="str">
        <f t="shared" si="2"/>
        <v>G</v>
      </c>
      <c r="R7" s="14" t="str">
        <f t="shared" si="2"/>
        <v>H</v>
      </c>
      <c r="S7" s="14" t="str">
        <f t="shared" si="2"/>
        <v>I</v>
      </c>
      <c r="T7" s="14" t="str">
        <f t="shared" si="2"/>
        <v>J</v>
      </c>
      <c r="U7" s="14" t="str">
        <f t="shared" si="2"/>
        <v>K</v>
      </c>
      <c r="V7" s="14" t="str">
        <f t="shared" si="2"/>
        <v>L</v>
      </c>
      <c r="W7" s="14" t="str">
        <f t="shared" si="2"/>
        <v>M</v>
      </c>
      <c r="X7" s="14" t="str">
        <f t="shared" si="2"/>
        <v>N</v>
      </c>
      <c r="Y7" s="14" t="str">
        <f t="shared" si="2"/>
        <v>O</v>
      </c>
      <c r="Z7" s="14" t="str">
        <f t="shared" si="2"/>
        <v>P</v>
      </c>
      <c r="AA7" s="14" t="str">
        <f t="shared" si="2"/>
        <v>Q</v>
      </c>
      <c r="AB7" s="14" t="str">
        <f t="shared" si="2"/>
        <v>R</v>
      </c>
      <c r="AC7" s="14" t="str">
        <f t="shared" si="2"/>
        <v>S</v>
      </c>
      <c r="AD7" s="14" t="str">
        <f t="shared" si="2"/>
        <v>T</v>
      </c>
      <c r="AE7" s="14" t="str">
        <f t="shared" si="2"/>
        <v>U</v>
      </c>
      <c r="AF7" s="10"/>
      <c r="AH7" s="42" t="str">
        <f t="shared" ref="AH7:BG7" si="3">IF(LEN(AH9)=2,LEFT(AH9,1),"")</f>
        <v>A</v>
      </c>
      <c r="AI7" s="42" t="str">
        <f t="shared" si="3"/>
        <v>B</v>
      </c>
      <c r="AJ7" s="42" t="str">
        <f t="shared" si="3"/>
        <v>C</v>
      </c>
      <c r="AK7" s="42" t="str">
        <f t="shared" si="3"/>
        <v>D</v>
      </c>
      <c r="AL7" s="42" t="str">
        <f t="shared" si="3"/>
        <v>E</v>
      </c>
      <c r="AM7" s="42" t="str">
        <f t="shared" si="3"/>
        <v>F</v>
      </c>
      <c r="AN7" s="42" t="str">
        <f t="shared" si="3"/>
        <v>G</v>
      </c>
      <c r="AO7" s="42" t="str">
        <f t="shared" si="3"/>
        <v>H</v>
      </c>
      <c r="AP7" s="42" t="str">
        <f t="shared" si="3"/>
        <v>I</v>
      </c>
      <c r="AQ7" s="42" t="str">
        <f t="shared" si="3"/>
        <v>J</v>
      </c>
      <c r="AR7" s="42" t="str">
        <f t="shared" si="3"/>
        <v>K</v>
      </c>
      <c r="AS7" s="42" t="str">
        <f t="shared" si="3"/>
        <v>L</v>
      </c>
      <c r="AT7" s="42" t="str">
        <f t="shared" si="3"/>
        <v>M</v>
      </c>
      <c r="AU7" s="42" t="str">
        <f t="shared" si="3"/>
        <v>N</v>
      </c>
      <c r="AV7" s="42" t="str">
        <f t="shared" si="3"/>
        <v>O</v>
      </c>
      <c r="AW7" s="42" t="str">
        <f t="shared" si="3"/>
        <v>P</v>
      </c>
      <c r="AX7" s="42" t="str">
        <f t="shared" si="3"/>
        <v>Q</v>
      </c>
      <c r="AY7" s="42" t="str">
        <f t="shared" si="3"/>
        <v>R</v>
      </c>
      <c r="AZ7" s="42" t="str">
        <f t="shared" si="3"/>
        <v>S</v>
      </c>
      <c r="BA7" s="42" t="str">
        <f t="shared" si="3"/>
        <v>T</v>
      </c>
      <c r="BB7" s="42" t="str">
        <f t="shared" si="3"/>
        <v>U</v>
      </c>
      <c r="BC7" s="42" t="str">
        <f t="shared" si="3"/>
        <v>V</v>
      </c>
      <c r="BD7" s="42" t="str">
        <f t="shared" si="3"/>
        <v>W</v>
      </c>
      <c r="BE7" s="42" t="str">
        <f t="shared" si="3"/>
        <v>X</v>
      </c>
      <c r="BF7" s="42" t="str">
        <f t="shared" si="3"/>
        <v>Y</v>
      </c>
      <c r="BG7" s="42" t="str">
        <f t="shared" si="3"/>
        <v>Z</v>
      </c>
    </row>
    <row r="8" spans="1:59" x14ac:dyDescent="0.35">
      <c r="B8" s="22"/>
      <c r="C8" s="8"/>
      <c r="E8" t="s">
        <v>387</v>
      </c>
      <c r="F8" s="15" t="str">
        <f t="shared" ref="F8:AE8" si="4">IF(F5=1,VLOOKUP(nRotorR&amp;F7,nRotor,4,FALSE),"")</f>
        <v>Y</v>
      </c>
      <c r="G8" s="15" t="str">
        <f t="shared" si="4"/>
        <v>F</v>
      </c>
      <c r="H8" s="15" t="str">
        <f t="shared" si="4"/>
        <v>V</v>
      </c>
      <c r="I8" s="15" t="str">
        <f t="shared" si="4"/>
        <v>O</v>
      </c>
      <c r="J8" s="15" t="str">
        <f t="shared" si="4"/>
        <v>E</v>
      </c>
      <c r="K8" s="15" t="str">
        <f t="shared" si="4"/>
        <v>A</v>
      </c>
      <c r="L8" s="15" t="str">
        <f t="shared" si="4"/>
        <v>J</v>
      </c>
      <c r="M8" s="15" t="str">
        <f t="shared" si="4"/>
        <v>D</v>
      </c>
      <c r="N8" s="15" t="str">
        <f t="shared" si="4"/>
        <v>K</v>
      </c>
      <c r="O8" s="15" t="str">
        <f t="shared" si="4"/>
        <v>S</v>
      </c>
      <c r="P8" s="15" t="str">
        <f t="shared" si="4"/>
        <v>I</v>
      </c>
      <c r="Q8" s="15" t="str">
        <f t="shared" si="4"/>
        <v>R</v>
      </c>
      <c r="R8" s="15" t="str">
        <f t="shared" si="4"/>
        <v>U</v>
      </c>
      <c r="S8" s="15" t="str">
        <f t="shared" si="4"/>
        <v>X</v>
      </c>
      <c r="T8" s="15" t="str">
        <f t="shared" si="4"/>
        <v>B</v>
      </c>
      <c r="U8" s="15" t="str">
        <f t="shared" si="4"/>
        <v>L</v>
      </c>
      <c r="V8" s="15" t="str">
        <f t="shared" si="4"/>
        <v>H</v>
      </c>
      <c r="W8" s="15" t="str">
        <f t="shared" si="4"/>
        <v>W</v>
      </c>
      <c r="X8" s="15" t="str">
        <f t="shared" si="4"/>
        <v>T</v>
      </c>
      <c r="Y8" s="15" t="str">
        <f t="shared" si="4"/>
        <v>M</v>
      </c>
      <c r="Z8" s="15" t="str">
        <f t="shared" si="4"/>
        <v>C</v>
      </c>
      <c r="AA8" s="15" t="str">
        <f t="shared" si="4"/>
        <v>Q</v>
      </c>
      <c r="AB8" s="15" t="str">
        <f t="shared" si="4"/>
        <v>G</v>
      </c>
      <c r="AC8" s="15" t="str">
        <f t="shared" si="4"/>
        <v>Z</v>
      </c>
      <c r="AD8" s="15" t="str">
        <f t="shared" si="4"/>
        <v>N</v>
      </c>
      <c r="AE8" s="15" t="str">
        <f t="shared" si="4"/>
        <v>P</v>
      </c>
      <c r="AF8" s="10"/>
      <c r="AH8" s="28" t="str">
        <f t="shared" ref="AH8:BG8" si="5">IF(LEN(AH9)=2,RIGHT(AH9,1),"")</f>
        <v>D</v>
      </c>
      <c r="AI8" s="28" t="str">
        <f t="shared" si="5"/>
        <v>K</v>
      </c>
      <c r="AJ8" s="28" t="str">
        <f t="shared" si="5"/>
        <v>A</v>
      </c>
      <c r="AK8" s="28" t="str">
        <f t="shared" si="5"/>
        <v>T</v>
      </c>
      <c r="AL8" s="28" t="str">
        <f t="shared" si="5"/>
        <v>J</v>
      </c>
      <c r="AM8" s="28" t="str">
        <f t="shared" si="5"/>
        <v>F</v>
      </c>
      <c r="AN8" s="28" t="str">
        <f t="shared" si="5"/>
        <v>O</v>
      </c>
      <c r="AO8" s="28" t="str">
        <f t="shared" si="5"/>
        <v>I</v>
      </c>
      <c r="AP8" s="28" t="str">
        <f t="shared" si="5"/>
        <v>P</v>
      </c>
      <c r="AQ8" s="28" t="str">
        <f t="shared" si="5"/>
        <v>X</v>
      </c>
      <c r="AR8" s="28" t="str">
        <f t="shared" si="5"/>
        <v>N</v>
      </c>
      <c r="AS8" s="28" t="str">
        <f t="shared" si="5"/>
        <v>W</v>
      </c>
      <c r="AT8" s="28" t="str">
        <f t="shared" si="5"/>
        <v>Z</v>
      </c>
      <c r="AU8" s="28" t="str">
        <f t="shared" si="5"/>
        <v>C</v>
      </c>
      <c r="AV8" s="28" t="str">
        <f t="shared" si="5"/>
        <v>G</v>
      </c>
      <c r="AW8" s="28" t="str">
        <f t="shared" si="5"/>
        <v>Q</v>
      </c>
      <c r="AX8" s="28" t="str">
        <f t="shared" si="5"/>
        <v>M</v>
      </c>
      <c r="AY8" s="28" t="str">
        <f t="shared" si="5"/>
        <v>B</v>
      </c>
      <c r="AZ8" s="28" t="str">
        <f t="shared" si="5"/>
        <v>Y</v>
      </c>
      <c r="BA8" s="28" t="str">
        <f t="shared" si="5"/>
        <v>R</v>
      </c>
      <c r="BB8" s="28" t="str">
        <f t="shared" si="5"/>
        <v>H</v>
      </c>
      <c r="BC8" s="28" t="str">
        <f t="shared" si="5"/>
        <v>V</v>
      </c>
      <c r="BD8" s="28" t="str">
        <f t="shared" si="5"/>
        <v>L</v>
      </c>
      <c r="BE8" s="28" t="str">
        <f t="shared" si="5"/>
        <v>E</v>
      </c>
      <c r="BF8" s="28" t="str">
        <f t="shared" si="5"/>
        <v>S</v>
      </c>
      <c r="BG8" s="28" t="str">
        <f t="shared" si="5"/>
        <v>U</v>
      </c>
    </row>
    <row r="9" spans="1:59" ht="15" thickBot="1" x14ac:dyDescent="0.4">
      <c r="B9" s="23"/>
      <c r="C9" s="16"/>
      <c r="D9" s="17"/>
      <c r="E9" s="17" t="s">
        <v>388</v>
      </c>
      <c r="F9" s="18" t="str">
        <f t="shared" ref="F9:AE9" si="6">IF(F5=1,IF(CODE(F8)-CODE(F7)&lt;0,VLOOKUP((CODE(F8)-CODE(F7)+26)+(CODE(F4)-nCharOffset),nNum2Let,2,FALSE),VLOOKUP((CODE(F8)-CODE(F7))+(CODE(F4)-nCharOffset),nNum2Let,2,FALSE)),"")</f>
        <v>D</v>
      </c>
      <c r="G9" s="18" t="str">
        <f t="shared" si="6"/>
        <v>K</v>
      </c>
      <c r="H9" s="18" t="str">
        <f t="shared" si="6"/>
        <v>A</v>
      </c>
      <c r="I9" s="18" t="str">
        <f t="shared" si="6"/>
        <v>T</v>
      </c>
      <c r="J9" s="18" t="str">
        <f t="shared" si="6"/>
        <v>J</v>
      </c>
      <c r="K9" s="18" t="str">
        <f t="shared" si="6"/>
        <v>F</v>
      </c>
      <c r="L9" s="18" t="str">
        <f t="shared" si="6"/>
        <v>O</v>
      </c>
      <c r="M9" s="18" t="str">
        <f t="shared" si="6"/>
        <v>I</v>
      </c>
      <c r="N9" s="18" t="str">
        <f t="shared" si="6"/>
        <v>P</v>
      </c>
      <c r="O9" s="18" t="str">
        <f t="shared" si="6"/>
        <v>X</v>
      </c>
      <c r="P9" s="18" t="str">
        <f t="shared" si="6"/>
        <v>N</v>
      </c>
      <c r="Q9" s="18" t="str">
        <f t="shared" si="6"/>
        <v>W</v>
      </c>
      <c r="R9" s="18" t="str">
        <f t="shared" si="6"/>
        <v>Z</v>
      </c>
      <c r="S9" s="18" t="str">
        <f t="shared" si="6"/>
        <v>C</v>
      </c>
      <c r="T9" s="18" t="str">
        <f t="shared" si="6"/>
        <v>G</v>
      </c>
      <c r="U9" s="18" t="str">
        <f t="shared" si="6"/>
        <v>Q</v>
      </c>
      <c r="V9" s="18" t="str">
        <f t="shared" si="6"/>
        <v>M</v>
      </c>
      <c r="W9" s="18" t="str">
        <f t="shared" si="6"/>
        <v>B</v>
      </c>
      <c r="X9" s="18" t="str">
        <f t="shared" si="6"/>
        <v>Y</v>
      </c>
      <c r="Y9" s="18" t="str">
        <f t="shared" si="6"/>
        <v>R</v>
      </c>
      <c r="Z9" s="18" t="str">
        <f t="shared" si="6"/>
        <v>H</v>
      </c>
      <c r="AA9" s="18" t="str">
        <f t="shared" si="6"/>
        <v>V</v>
      </c>
      <c r="AB9" s="18" t="str">
        <f t="shared" si="6"/>
        <v>L</v>
      </c>
      <c r="AC9" s="18" t="str">
        <f t="shared" si="6"/>
        <v>E</v>
      </c>
      <c r="AD9" s="18" t="str">
        <f t="shared" si="6"/>
        <v>S</v>
      </c>
      <c r="AE9" s="18" t="str">
        <f t="shared" si="6"/>
        <v>U</v>
      </c>
      <c r="AF9" s="19" t="str">
        <f>CONCATENATE(F9,G9,H9,I9,J9,K9,L9,M9,N9,O9,P9,Q9,R9,S9,T9&amp;U9,V9,W9,X9,Y9,Z9,AA9,AB9,AC9,AD9,AE9)</f>
        <v>DKATJFOIPXNWZCGQMBYRHVLESU</v>
      </c>
      <c r="AH9" s="12" t="str">
        <f>F4&amp;F9</f>
        <v>AD</v>
      </c>
      <c r="AI9" s="12" t="str">
        <f t="shared" ref="AI9:BG9" si="7">G4&amp;G9</f>
        <v>BK</v>
      </c>
      <c r="AJ9" s="12" t="str">
        <f t="shared" si="7"/>
        <v>CA</v>
      </c>
      <c r="AK9" s="12" t="str">
        <f t="shared" si="7"/>
        <v>DT</v>
      </c>
      <c r="AL9" s="12" t="str">
        <f t="shared" si="7"/>
        <v>EJ</v>
      </c>
      <c r="AM9" s="12" t="str">
        <f t="shared" si="7"/>
        <v>FF</v>
      </c>
      <c r="AN9" s="12" t="str">
        <f t="shared" si="7"/>
        <v>GO</v>
      </c>
      <c r="AO9" s="12" t="str">
        <f t="shared" si="7"/>
        <v>HI</v>
      </c>
      <c r="AP9" s="12" t="str">
        <f t="shared" si="7"/>
        <v>IP</v>
      </c>
      <c r="AQ9" s="12" t="str">
        <f t="shared" si="7"/>
        <v>JX</v>
      </c>
      <c r="AR9" s="12" t="str">
        <f t="shared" si="7"/>
        <v>KN</v>
      </c>
      <c r="AS9" s="12" t="str">
        <f t="shared" si="7"/>
        <v>LW</v>
      </c>
      <c r="AT9" s="12" t="str">
        <f t="shared" si="7"/>
        <v>MZ</v>
      </c>
      <c r="AU9" s="12" t="str">
        <f t="shared" si="7"/>
        <v>NC</v>
      </c>
      <c r="AV9" s="12" t="str">
        <f t="shared" si="7"/>
        <v>OG</v>
      </c>
      <c r="AW9" s="12" t="str">
        <f t="shared" si="7"/>
        <v>PQ</v>
      </c>
      <c r="AX9" s="12" t="str">
        <f t="shared" si="7"/>
        <v>QM</v>
      </c>
      <c r="AY9" s="12" t="str">
        <f t="shared" si="7"/>
        <v>RB</v>
      </c>
      <c r="AZ9" s="12" t="str">
        <f t="shared" si="7"/>
        <v>SY</v>
      </c>
      <c r="BA9" s="12" t="str">
        <f t="shared" si="7"/>
        <v>TR</v>
      </c>
      <c r="BB9" s="12" t="str">
        <f t="shared" si="7"/>
        <v>UH</v>
      </c>
      <c r="BC9" s="12" t="str">
        <f t="shared" si="7"/>
        <v>VV</v>
      </c>
      <c r="BD9" s="12" t="str">
        <f t="shared" si="7"/>
        <v>WL</v>
      </c>
      <c r="BE9" s="12" t="str">
        <f t="shared" si="7"/>
        <v>XE</v>
      </c>
      <c r="BF9" s="12" t="str">
        <f t="shared" si="7"/>
        <v>YS</v>
      </c>
      <c r="BG9" s="12" t="str">
        <f t="shared" si="7"/>
        <v>ZU</v>
      </c>
    </row>
    <row r="10" spans="1:59" x14ac:dyDescent="0.35">
      <c r="B10" s="21"/>
      <c r="C10" s="4"/>
      <c r="D10" s="5"/>
      <c r="E10" s="5" t="s">
        <v>385</v>
      </c>
      <c r="F10" s="6" t="s">
        <v>0</v>
      </c>
      <c r="G10" s="6" t="s">
        <v>1</v>
      </c>
      <c r="H10" s="6" t="s">
        <v>2</v>
      </c>
      <c r="I10" s="6" t="s">
        <v>3</v>
      </c>
      <c r="J10" s="6" t="s">
        <v>4</v>
      </c>
      <c r="K10" s="6" t="s">
        <v>5</v>
      </c>
      <c r="L10" s="6" t="s">
        <v>6</v>
      </c>
      <c r="M10" s="6" t="s">
        <v>7</v>
      </c>
      <c r="N10" s="6" t="s">
        <v>8</v>
      </c>
      <c r="O10" s="6" t="s">
        <v>9</v>
      </c>
      <c r="P10" s="6" t="s">
        <v>10</v>
      </c>
      <c r="Q10" s="6" t="s">
        <v>11</v>
      </c>
      <c r="R10" s="6" t="s">
        <v>12</v>
      </c>
      <c r="S10" s="6" t="s">
        <v>13</v>
      </c>
      <c r="T10" s="6" t="s">
        <v>14</v>
      </c>
      <c r="U10" s="6" t="s">
        <v>15</v>
      </c>
      <c r="V10" s="6" t="s">
        <v>16</v>
      </c>
      <c r="W10" s="6" t="s">
        <v>17</v>
      </c>
      <c r="X10" s="6" t="s">
        <v>18</v>
      </c>
      <c r="Y10" s="6" t="s">
        <v>19</v>
      </c>
      <c r="Z10" s="6" t="s">
        <v>20</v>
      </c>
      <c r="AA10" s="6" t="s">
        <v>21</v>
      </c>
      <c r="AB10" s="6" t="s">
        <v>22</v>
      </c>
      <c r="AC10" s="6" t="s">
        <v>23</v>
      </c>
      <c r="AD10" s="6" t="s">
        <v>24</v>
      </c>
      <c r="AE10" s="6" t="s">
        <v>25</v>
      </c>
      <c r="AF10" s="20"/>
    </row>
    <row r="11" spans="1:59" x14ac:dyDescent="0.35">
      <c r="A11" s="43">
        <f>INT(D2/26)</f>
        <v>142</v>
      </c>
      <c r="B11" s="10"/>
      <c r="C11" s="8"/>
      <c r="F11" s="1">
        <f>IF(ISERROR(FIND(F10,$AF9)),0,1)</f>
        <v>1</v>
      </c>
      <c r="G11" s="1">
        <f t="shared" ref="G11:AE11" si="8">IF(ISERROR(FIND(G10,$AF9)),0,1)</f>
        <v>1</v>
      </c>
      <c r="H11" s="1">
        <f t="shared" si="8"/>
        <v>1</v>
      </c>
      <c r="I11" s="1">
        <f t="shared" si="8"/>
        <v>1</v>
      </c>
      <c r="J11" s="1">
        <f t="shared" si="8"/>
        <v>1</v>
      </c>
      <c r="K11" s="1">
        <f t="shared" si="8"/>
        <v>1</v>
      </c>
      <c r="L11" s="1">
        <f t="shared" si="8"/>
        <v>1</v>
      </c>
      <c r="M11" s="1">
        <f t="shared" si="8"/>
        <v>1</v>
      </c>
      <c r="N11" s="1">
        <f t="shared" si="8"/>
        <v>1</v>
      </c>
      <c r="O11" s="1">
        <f t="shared" si="8"/>
        <v>1</v>
      </c>
      <c r="P11" s="1">
        <f t="shared" si="8"/>
        <v>1</v>
      </c>
      <c r="Q11" s="1">
        <f t="shared" si="8"/>
        <v>1</v>
      </c>
      <c r="R11" s="1">
        <f t="shared" si="8"/>
        <v>1</v>
      </c>
      <c r="S11" s="1">
        <f t="shared" si="8"/>
        <v>1</v>
      </c>
      <c r="T11" s="1">
        <f t="shared" si="8"/>
        <v>1</v>
      </c>
      <c r="U11" s="1">
        <f t="shared" si="8"/>
        <v>1</v>
      </c>
      <c r="V11" s="1">
        <f t="shared" si="8"/>
        <v>1</v>
      </c>
      <c r="W11" s="1">
        <f t="shared" si="8"/>
        <v>1</v>
      </c>
      <c r="X11" s="1">
        <f t="shared" si="8"/>
        <v>1</v>
      </c>
      <c r="Y11" s="1">
        <f t="shared" si="8"/>
        <v>1</v>
      </c>
      <c r="Z11" s="1">
        <f t="shared" si="8"/>
        <v>1</v>
      </c>
      <c r="AA11" s="1">
        <f t="shared" si="8"/>
        <v>1</v>
      </c>
      <c r="AB11" s="1">
        <f t="shared" si="8"/>
        <v>1</v>
      </c>
      <c r="AC11" s="1">
        <f t="shared" si="8"/>
        <v>1</v>
      </c>
      <c r="AD11" s="1">
        <f t="shared" si="8"/>
        <v>1</v>
      </c>
      <c r="AE11" s="1">
        <f t="shared" si="8"/>
        <v>1</v>
      </c>
      <c r="AF11" s="10"/>
    </row>
    <row r="12" spans="1:59" x14ac:dyDescent="0.35">
      <c r="A12" s="43">
        <f>IF(A11=0,26,A11)</f>
        <v>142</v>
      </c>
      <c r="B12" s="10" t="s">
        <v>380</v>
      </c>
      <c r="C12" s="41">
        <f>n_RotorM</f>
        <v>4</v>
      </c>
      <c r="D12" s="11">
        <f>A12</f>
        <v>142</v>
      </c>
      <c r="E12" s="11">
        <f>IF(MOD(D12,26)=0,26,MOD(D12,26))</f>
        <v>12</v>
      </c>
      <c r="F12" s="12" t="str">
        <f>CHAR(E12+nCharOffset)</f>
        <v>L</v>
      </c>
      <c r="G12" s="13" t="str">
        <f t="shared" ref="G12:AE12" si="9">VLOOKUP(F12,nNextLetter,2,FALSE)</f>
        <v>M</v>
      </c>
      <c r="H12" s="13" t="str">
        <f t="shared" si="9"/>
        <v>N</v>
      </c>
      <c r="I12" s="13" t="str">
        <f t="shared" si="9"/>
        <v>O</v>
      </c>
      <c r="J12" s="13" t="str">
        <f t="shared" si="9"/>
        <v>P</v>
      </c>
      <c r="K12" s="13" t="str">
        <f t="shared" si="9"/>
        <v>Q</v>
      </c>
      <c r="L12" s="13" t="str">
        <f t="shared" si="9"/>
        <v>R</v>
      </c>
      <c r="M12" s="13" t="str">
        <f t="shared" si="9"/>
        <v>S</v>
      </c>
      <c r="N12" s="13" t="str">
        <f t="shared" si="9"/>
        <v>T</v>
      </c>
      <c r="O12" s="13" t="str">
        <f t="shared" si="9"/>
        <v>U</v>
      </c>
      <c r="P12" s="13" t="str">
        <f t="shared" si="9"/>
        <v>V</v>
      </c>
      <c r="Q12" s="13" t="str">
        <f t="shared" si="9"/>
        <v>W</v>
      </c>
      <c r="R12" s="13" t="str">
        <f t="shared" si="9"/>
        <v>X</v>
      </c>
      <c r="S12" s="13" t="str">
        <f t="shared" si="9"/>
        <v>Y</v>
      </c>
      <c r="T12" s="13" t="str">
        <f t="shared" si="9"/>
        <v>Z</v>
      </c>
      <c r="U12" s="13" t="str">
        <f t="shared" si="9"/>
        <v>A</v>
      </c>
      <c r="V12" s="13" t="str">
        <f t="shared" si="9"/>
        <v>B</v>
      </c>
      <c r="W12" s="13" t="str">
        <f t="shared" si="9"/>
        <v>C</v>
      </c>
      <c r="X12" s="13" t="str">
        <f t="shared" si="9"/>
        <v>D</v>
      </c>
      <c r="Y12" s="13" t="str">
        <f t="shared" si="9"/>
        <v>E</v>
      </c>
      <c r="Z12" s="13" t="str">
        <f t="shared" si="9"/>
        <v>F</v>
      </c>
      <c r="AA12" s="13" t="str">
        <f t="shared" si="9"/>
        <v>G</v>
      </c>
      <c r="AB12" s="13" t="str">
        <f t="shared" si="9"/>
        <v>H</v>
      </c>
      <c r="AC12" s="13" t="str">
        <f t="shared" si="9"/>
        <v>I</v>
      </c>
      <c r="AD12" s="13" t="str">
        <f t="shared" si="9"/>
        <v>J</v>
      </c>
      <c r="AE12" s="13" t="str">
        <f t="shared" si="9"/>
        <v>K</v>
      </c>
      <c r="AF12" s="10"/>
    </row>
    <row r="13" spans="1:59" x14ac:dyDescent="0.35">
      <c r="B13" s="22" t="s">
        <v>390</v>
      </c>
      <c r="C13" s="41" t="str">
        <f>n_RingPosM</f>
        <v>A</v>
      </c>
      <c r="D13" s="11">
        <f>VLOOKUP(C13,nRingOffset,2,FALSE)</f>
        <v>0</v>
      </c>
      <c r="E13" t="s">
        <v>386</v>
      </c>
      <c r="F13" s="14" t="str">
        <f t="shared" ref="F13:AE13" si="10">IF(F11=1,VLOOKUP(nCurPosM+nRingOffsetM+(CODE(F10)-nCharOffset)-1,nNum2Let,2,FALSE),"")</f>
        <v>L</v>
      </c>
      <c r="G13" s="14" t="str">
        <f t="shared" si="10"/>
        <v>M</v>
      </c>
      <c r="H13" s="14" t="str">
        <f t="shared" si="10"/>
        <v>N</v>
      </c>
      <c r="I13" s="14" t="str">
        <f t="shared" si="10"/>
        <v>O</v>
      </c>
      <c r="J13" s="14" t="str">
        <f t="shared" si="10"/>
        <v>P</v>
      </c>
      <c r="K13" s="14" t="str">
        <f t="shared" si="10"/>
        <v>Q</v>
      </c>
      <c r="L13" s="14" t="str">
        <f t="shared" si="10"/>
        <v>R</v>
      </c>
      <c r="M13" s="14" t="str">
        <f t="shared" si="10"/>
        <v>S</v>
      </c>
      <c r="N13" s="14" t="str">
        <f t="shared" si="10"/>
        <v>T</v>
      </c>
      <c r="O13" s="14" t="str">
        <f t="shared" si="10"/>
        <v>U</v>
      </c>
      <c r="P13" s="14" t="str">
        <f t="shared" si="10"/>
        <v>V</v>
      </c>
      <c r="Q13" s="14" t="str">
        <f t="shared" si="10"/>
        <v>W</v>
      </c>
      <c r="R13" s="14" t="str">
        <f t="shared" si="10"/>
        <v>X</v>
      </c>
      <c r="S13" s="14" t="str">
        <f t="shared" si="10"/>
        <v>Y</v>
      </c>
      <c r="T13" s="14" t="str">
        <f t="shared" si="10"/>
        <v>Z</v>
      </c>
      <c r="U13" s="14" t="str">
        <f t="shared" si="10"/>
        <v>A</v>
      </c>
      <c r="V13" s="14" t="str">
        <f t="shared" si="10"/>
        <v>B</v>
      </c>
      <c r="W13" s="14" t="str">
        <f t="shared" si="10"/>
        <v>C</v>
      </c>
      <c r="X13" s="14" t="str">
        <f t="shared" si="10"/>
        <v>D</v>
      </c>
      <c r="Y13" s="14" t="str">
        <f t="shared" si="10"/>
        <v>E</v>
      </c>
      <c r="Z13" s="14" t="str">
        <f t="shared" si="10"/>
        <v>F</v>
      </c>
      <c r="AA13" s="14" t="str">
        <f t="shared" si="10"/>
        <v>G</v>
      </c>
      <c r="AB13" s="14" t="str">
        <f t="shared" si="10"/>
        <v>H</v>
      </c>
      <c r="AC13" s="14" t="str">
        <f t="shared" si="10"/>
        <v>I</v>
      </c>
      <c r="AD13" s="14" t="str">
        <f t="shared" si="10"/>
        <v>J</v>
      </c>
      <c r="AE13" s="14" t="str">
        <f t="shared" si="10"/>
        <v>K</v>
      </c>
      <c r="AF13" s="10"/>
      <c r="AH13" s="28" t="str">
        <f t="shared" ref="AH13:BG13" si="11">IF(LEN(AH15)=2,LEFT(AH15,1),"")</f>
        <v>A</v>
      </c>
      <c r="AI13" s="28" t="str">
        <f t="shared" si="11"/>
        <v>B</v>
      </c>
      <c r="AJ13" s="28" t="str">
        <f t="shared" si="11"/>
        <v>C</v>
      </c>
      <c r="AK13" s="28" t="str">
        <f t="shared" si="11"/>
        <v>D</v>
      </c>
      <c r="AL13" s="28" t="str">
        <f t="shared" si="11"/>
        <v>E</v>
      </c>
      <c r="AM13" s="28" t="str">
        <f t="shared" si="11"/>
        <v>F</v>
      </c>
      <c r="AN13" s="28" t="str">
        <f t="shared" si="11"/>
        <v>G</v>
      </c>
      <c r="AO13" s="28" t="str">
        <f t="shared" si="11"/>
        <v>H</v>
      </c>
      <c r="AP13" s="28" t="str">
        <f t="shared" si="11"/>
        <v>I</v>
      </c>
      <c r="AQ13" s="28" t="str">
        <f t="shared" si="11"/>
        <v>J</v>
      </c>
      <c r="AR13" s="28" t="str">
        <f t="shared" si="11"/>
        <v>K</v>
      </c>
      <c r="AS13" s="28" t="str">
        <f t="shared" si="11"/>
        <v>L</v>
      </c>
      <c r="AT13" s="28" t="str">
        <f t="shared" si="11"/>
        <v>M</v>
      </c>
      <c r="AU13" s="28" t="str">
        <f t="shared" si="11"/>
        <v>N</v>
      </c>
      <c r="AV13" s="28" t="str">
        <f t="shared" si="11"/>
        <v>O</v>
      </c>
      <c r="AW13" s="28" t="str">
        <f t="shared" si="11"/>
        <v>P</v>
      </c>
      <c r="AX13" s="28" t="str">
        <f t="shared" si="11"/>
        <v>Q</v>
      </c>
      <c r="AY13" s="28" t="str">
        <f t="shared" si="11"/>
        <v>R</v>
      </c>
      <c r="AZ13" s="28" t="str">
        <f t="shared" si="11"/>
        <v>S</v>
      </c>
      <c r="BA13" s="28" t="str">
        <f t="shared" si="11"/>
        <v>T</v>
      </c>
      <c r="BB13" s="28" t="str">
        <f t="shared" si="11"/>
        <v>U</v>
      </c>
      <c r="BC13" s="28" t="str">
        <f t="shared" si="11"/>
        <v>V</v>
      </c>
      <c r="BD13" s="28" t="str">
        <f t="shared" si="11"/>
        <v>W</v>
      </c>
      <c r="BE13" s="28" t="str">
        <f t="shared" si="11"/>
        <v>X</v>
      </c>
      <c r="BF13" s="28" t="str">
        <f t="shared" si="11"/>
        <v>Y</v>
      </c>
      <c r="BG13" s="28" t="str">
        <f t="shared" si="11"/>
        <v>Z</v>
      </c>
    </row>
    <row r="14" spans="1:59" x14ac:dyDescent="0.35">
      <c r="B14" s="22"/>
      <c r="C14" s="8"/>
      <c r="E14" t="s">
        <v>387</v>
      </c>
      <c r="F14" s="15" t="str">
        <f t="shared" ref="F14:AE14" si="12">IF(F11=1,VLOOKUP(nRotorM&amp;F13,nRotor,4,FALSE),"")</f>
        <v>I</v>
      </c>
      <c r="G14" s="15" t="str">
        <f t="shared" si="12"/>
        <v>R</v>
      </c>
      <c r="H14" s="15" t="str">
        <f t="shared" si="12"/>
        <v>H</v>
      </c>
      <c r="I14" s="15" t="str">
        <f t="shared" si="12"/>
        <v>X</v>
      </c>
      <c r="J14" s="15" t="str">
        <f t="shared" si="12"/>
        <v>L</v>
      </c>
      <c r="K14" s="15" t="str">
        <f t="shared" si="12"/>
        <v>N</v>
      </c>
      <c r="L14" s="15" t="str">
        <f t="shared" si="12"/>
        <v>F</v>
      </c>
      <c r="M14" s="15" t="str">
        <f t="shared" si="12"/>
        <v>T</v>
      </c>
      <c r="N14" s="15" t="str">
        <f t="shared" si="12"/>
        <v>G</v>
      </c>
      <c r="O14" s="15" t="str">
        <f t="shared" si="12"/>
        <v>K</v>
      </c>
      <c r="P14" s="15" t="str">
        <f t="shared" si="12"/>
        <v>D</v>
      </c>
      <c r="Q14" s="15" t="str">
        <f t="shared" si="12"/>
        <v>C</v>
      </c>
      <c r="R14" s="15" t="str">
        <f t="shared" si="12"/>
        <v>M</v>
      </c>
      <c r="S14" s="15" t="str">
        <f t="shared" si="12"/>
        <v>W</v>
      </c>
      <c r="T14" s="15" t="str">
        <f t="shared" si="12"/>
        <v>B</v>
      </c>
      <c r="U14" s="15" t="str">
        <f t="shared" si="12"/>
        <v>E</v>
      </c>
      <c r="V14" s="15" t="str">
        <f t="shared" si="12"/>
        <v>S</v>
      </c>
      <c r="W14" s="15" t="str">
        <f t="shared" si="12"/>
        <v>O</v>
      </c>
      <c r="X14" s="15" t="str">
        <f t="shared" si="12"/>
        <v>V</v>
      </c>
      <c r="Y14" s="15" t="str">
        <f t="shared" si="12"/>
        <v>P</v>
      </c>
      <c r="Z14" s="15" t="str">
        <f t="shared" si="12"/>
        <v>Z</v>
      </c>
      <c r="AA14" s="15" t="str">
        <f t="shared" si="12"/>
        <v>J</v>
      </c>
      <c r="AB14" s="15" t="str">
        <f t="shared" si="12"/>
        <v>A</v>
      </c>
      <c r="AC14" s="15" t="str">
        <f t="shared" si="12"/>
        <v>Y</v>
      </c>
      <c r="AD14" s="15" t="str">
        <f t="shared" si="12"/>
        <v>Q</v>
      </c>
      <c r="AE14" s="15" t="str">
        <f t="shared" si="12"/>
        <v>U</v>
      </c>
      <c r="AF14" s="10"/>
      <c r="AH14" s="28" t="str">
        <f t="shared" ref="AH14:BG14" si="13">IF(LEN(AH15)=2,RIGHT(AH15,1),"")</f>
        <v>X</v>
      </c>
      <c r="AI14" s="28" t="str">
        <f t="shared" si="13"/>
        <v>G</v>
      </c>
      <c r="AJ14" s="28" t="str">
        <f t="shared" si="13"/>
        <v>W</v>
      </c>
      <c r="AK14" s="28" t="str">
        <f t="shared" si="13"/>
        <v>M</v>
      </c>
      <c r="AL14" s="28" t="str">
        <f t="shared" si="13"/>
        <v>A</v>
      </c>
      <c r="AM14" s="28" t="str">
        <f t="shared" si="13"/>
        <v>C</v>
      </c>
      <c r="AN14" s="28" t="str">
        <f t="shared" si="13"/>
        <v>U</v>
      </c>
      <c r="AO14" s="28" t="str">
        <f t="shared" si="13"/>
        <v>I</v>
      </c>
      <c r="AP14" s="28" t="str">
        <f t="shared" si="13"/>
        <v>V</v>
      </c>
      <c r="AQ14" s="28" t="str">
        <f t="shared" si="13"/>
        <v>Z</v>
      </c>
      <c r="AR14" s="28" t="str">
        <f t="shared" si="13"/>
        <v>S</v>
      </c>
      <c r="AS14" s="28" t="str">
        <f t="shared" si="13"/>
        <v>R</v>
      </c>
      <c r="AT14" s="28" t="str">
        <f t="shared" si="13"/>
        <v>B</v>
      </c>
      <c r="AU14" s="28" t="str">
        <f t="shared" si="13"/>
        <v>L</v>
      </c>
      <c r="AV14" s="28" t="str">
        <f t="shared" si="13"/>
        <v>Q</v>
      </c>
      <c r="AW14" s="28" t="str">
        <f t="shared" si="13"/>
        <v>T</v>
      </c>
      <c r="AX14" s="28" t="str">
        <f t="shared" si="13"/>
        <v>H</v>
      </c>
      <c r="AY14" s="28" t="str">
        <f t="shared" si="13"/>
        <v>D</v>
      </c>
      <c r="AZ14" s="28" t="str">
        <f t="shared" si="13"/>
        <v>K</v>
      </c>
      <c r="BA14" s="28" t="str">
        <f t="shared" si="13"/>
        <v>E</v>
      </c>
      <c r="BB14" s="28" t="str">
        <f t="shared" si="13"/>
        <v>O</v>
      </c>
      <c r="BC14" s="28" t="str">
        <f t="shared" si="13"/>
        <v>Y</v>
      </c>
      <c r="BD14" s="28" t="str">
        <f t="shared" si="13"/>
        <v>P</v>
      </c>
      <c r="BE14" s="28" t="str">
        <f t="shared" si="13"/>
        <v>N</v>
      </c>
      <c r="BF14" s="28" t="str">
        <f t="shared" si="13"/>
        <v>F</v>
      </c>
      <c r="BG14" s="28" t="str">
        <f t="shared" si="13"/>
        <v>J</v>
      </c>
    </row>
    <row r="15" spans="1:59" ht="15" thickBot="1" x14ac:dyDescent="0.4">
      <c r="B15" s="23"/>
      <c r="C15" s="16"/>
      <c r="D15" s="17"/>
      <c r="E15" s="17" t="s">
        <v>388</v>
      </c>
      <c r="F15" s="18" t="str">
        <f t="shared" ref="F15:AE15" si="14">IF(F11=1,IF(CODE(F14)-CODE(F13)&lt;0,VLOOKUP((CODE(F14)-CODE(F13)+26)+(CODE(F10)-nCharOffset),nNum2Let,2,FALSE),VLOOKUP((CODE(F14)-CODE(F13))+(CODE(F10)-nCharOffset),nNum2Let,2,FALSE)),"")</f>
        <v>X</v>
      </c>
      <c r="G15" s="18" t="str">
        <f t="shared" si="14"/>
        <v>G</v>
      </c>
      <c r="H15" s="18" t="str">
        <f t="shared" si="14"/>
        <v>W</v>
      </c>
      <c r="I15" s="18" t="str">
        <f t="shared" si="14"/>
        <v>M</v>
      </c>
      <c r="J15" s="18" t="str">
        <f t="shared" si="14"/>
        <v>A</v>
      </c>
      <c r="K15" s="18" t="str">
        <f t="shared" si="14"/>
        <v>C</v>
      </c>
      <c r="L15" s="18" t="str">
        <f t="shared" si="14"/>
        <v>U</v>
      </c>
      <c r="M15" s="18" t="str">
        <f t="shared" si="14"/>
        <v>I</v>
      </c>
      <c r="N15" s="18" t="str">
        <f t="shared" si="14"/>
        <v>V</v>
      </c>
      <c r="O15" s="18" t="str">
        <f t="shared" si="14"/>
        <v>Z</v>
      </c>
      <c r="P15" s="18" t="str">
        <f t="shared" si="14"/>
        <v>S</v>
      </c>
      <c r="Q15" s="18" t="str">
        <f t="shared" si="14"/>
        <v>R</v>
      </c>
      <c r="R15" s="18" t="str">
        <f t="shared" si="14"/>
        <v>B</v>
      </c>
      <c r="S15" s="18" t="str">
        <f t="shared" si="14"/>
        <v>L</v>
      </c>
      <c r="T15" s="18" t="str">
        <f t="shared" si="14"/>
        <v>Q</v>
      </c>
      <c r="U15" s="18" t="str">
        <f t="shared" si="14"/>
        <v>T</v>
      </c>
      <c r="V15" s="18" t="str">
        <f t="shared" si="14"/>
        <v>H</v>
      </c>
      <c r="W15" s="18" t="str">
        <f t="shared" si="14"/>
        <v>D</v>
      </c>
      <c r="X15" s="18" t="str">
        <f t="shared" si="14"/>
        <v>K</v>
      </c>
      <c r="Y15" s="18" t="str">
        <f t="shared" si="14"/>
        <v>E</v>
      </c>
      <c r="Z15" s="18" t="str">
        <f t="shared" si="14"/>
        <v>O</v>
      </c>
      <c r="AA15" s="18" t="str">
        <f t="shared" si="14"/>
        <v>Y</v>
      </c>
      <c r="AB15" s="18" t="str">
        <f t="shared" si="14"/>
        <v>P</v>
      </c>
      <c r="AC15" s="18" t="str">
        <f t="shared" si="14"/>
        <v>N</v>
      </c>
      <c r="AD15" s="18" t="str">
        <f t="shared" si="14"/>
        <v>F</v>
      </c>
      <c r="AE15" s="18" t="str">
        <f t="shared" si="14"/>
        <v>J</v>
      </c>
      <c r="AF15" s="19" t="str">
        <f>CONCATENATE(F15,G15,H15,I15,J15,K15,L15,M15,N15,O15,P15,Q15,R15,S15,T15&amp;U15,V15,W15,X15,Y15,Z15,AA15,AB15,AC15,AD15,AE15)</f>
        <v>XGWMACUIVZSRBLQTHDKEOYPNFJ</v>
      </c>
      <c r="AH15" s="12" t="str">
        <f>F10&amp;F15</f>
        <v>AX</v>
      </c>
      <c r="AI15" s="12" t="str">
        <f t="shared" ref="AI15:BG15" si="15">G10&amp;G15</f>
        <v>BG</v>
      </c>
      <c r="AJ15" s="12" t="str">
        <f t="shared" si="15"/>
        <v>CW</v>
      </c>
      <c r="AK15" s="12" t="str">
        <f t="shared" si="15"/>
        <v>DM</v>
      </c>
      <c r="AL15" s="12" t="str">
        <f t="shared" si="15"/>
        <v>EA</v>
      </c>
      <c r="AM15" s="12" t="str">
        <f t="shared" si="15"/>
        <v>FC</v>
      </c>
      <c r="AN15" s="12" t="str">
        <f t="shared" si="15"/>
        <v>GU</v>
      </c>
      <c r="AO15" s="12" t="str">
        <f t="shared" si="15"/>
        <v>HI</v>
      </c>
      <c r="AP15" s="12" t="str">
        <f t="shared" si="15"/>
        <v>IV</v>
      </c>
      <c r="AQ15" s="12" t="str">
        <f t="shared" si="15"/>
        <v>JZ</v>
      </c>
      <c r="AR15" s="12" t="str">
        <f t="shared" si="15"/>
        <v>KS</v>
      </c>
      <c r="AS15" s="12" t="str">
        <f t="shared" si="15"/>
        <v>LR</v>
      </c>
      <c r="AT15" s="12" t="str">
        <f t="shared" si="15"/>
        <v>MB</v>
      </c>
      <c r="AU15" s="12" t="str">
        <f t="shared" si="15"/>
        <v>NL</v>
      </c>
      <c r="AV15" s="12" t="str">
        <f t="shared" si="15"/>
        <v>OQ</v>
      </c>
      <c r="AW15" s="12" t="str">
        <f t="shared" si="15"/>
        <v>PT</v>
      </c>
      <c r="AX15" s="12" t="str">
        <f t="shared" si="15"/>
        <v>QH</v>
      </c>
      <c r="AY15" s="12" t="str">
        <f t="shared" si="15"/>
        <v>RD</v>
      </c>
      <c r="AZ15" s="12" t="str">
        <f t="shared" si="15"/>
        <v>SK</v>
      </c>
      <c r="BA15" s="12" t="str">
        <f t="shared" si="15"/>
        <v>TE</v>
      </c>
      <c r="BB15" s="12" t="str">
        <f t="shared" si="15"/>
        <v>UO</v>
      </c>
      <c r="BC15" s="12" t="str">
        <f t="shared" si="15"/>
        <v>VY</v>
      </c>
      <c r="BD15" s="12" t="str">
        <f t="shared" si="15"/>
        <v>WP</v>
      </c>
      <c r="BE15" s="12" t="str">
        <f t="shared" si="15"/>
        <v>XN</v>
      </c>
      <c r="BF15" s="12" t="str">
        <f t="shared" si="15"/>
        <v>YF</v>
      </c>
      <c r="BG15" s="12" t="str">
        <f t="shared" si="15"/>
        <v>ZJ</v>
      </c>
    </row>
    <row r="16" spans="1:59" x14ac:dyDescent="0.35">
      <c r="B16" s="21"/>
      <c r="C16" s="4"/>
      <c r="D16" s="5"/>
      <c r="E16" s="5" t="s">
        <v>385</v>
      </c>
      <c r="F16" s="6" t="s">
        <v>0</v>
      </c>
      <c r="G16" s="6" t="s">
        <v>1</v>
      </c>
      <c r="H16" s="6" t="s">
        <v>2</v>
      </c>
      <c r="I16" s="6" t="s">
        <v>3</v>
      </c>
      <c r="J16" s="6" t="s">
        <v>4</v>
      </c>
      <c r="K16" s="6" t="s">
        <v>5</v>
      </c>
      <c r="L16" s="6" t="s">
        <v>6</v>
      </c>
      <c r="M16" s="6" t="s">
        <v>7</v>
      </c>
      <c r="N16" s="6" t="s">
        <v>8</v>
      </c>
      <c r="O16" s="6" t="s">
        <v>9</v>
      </c>
      <c r="P16" s="6" t="s">
        <v>10</v>
      </c>
      <c r="Q16" s="6" t="s">
        <v>11</v>
      </c>
      <c r="R16" s="6" t="s">
        <v>12</v>
      </c>
      <c r="S16" s="6" t="s">
        <v>13</v>
      </c>
      <c r="T16" s="6" t="s">
        <v>14</v>
      </c>
      <c r="U16" s="6" t="s">
        <v>15</v>
      </c>
      <c r="V16" s="6" t="s">
        <v>16</v>
      </c>
      <c r="W16" s="6" t="s">
        <v>17</v>
      </c>
      <c r="X16" s="6" t="s">
        <v>18</v>
      </c>
      <c r="Y16" s="6" t="s">
        <v>19</v>
      </c>
      <c r="Z16" s="6" t="s">
        <v>20</v>
      </c>
      <c r="AA16" s="6" t="s">
        <v>21</v>
      </c>
      <c r="AB16" s="6" t="s">
        <v>22</v>
      </c>
      <c r="AC16" s="6" t="s">
        <v>23</v>
      </c>
      <c r="AD16" s="6" t="s">
        <v>24</v>
      </c>
      <c r="AE16" s="6" t="s">
        <v>25</v>
      </c>
      <c r="AF16" s="7"/>
      <c r="AH16" s="28" t="str">
        <f>HLOOKUP(AH8,$AH13:$BG14,2,FALSE)</f>
        <v>M</v>
      </c>
      <c r="AI16" s="28" t="str">
        <f>HLOOKUP(AI8,$AH13:$BG14,2,FALSE)</f>
        <v>S</v>
      </c>
      <c r="AJ16" s="28" t="str">
        <f>HLOOKUP(AJ8,$AH13:$BG14,2,FALSE)</f>
        <v>X</v>
      </c>
      <c r="AK16" s="28" t="str">
        <f t="shared" ref="AK16:BG16" si="16">HLOOKUP(AK8,$AH13:$BG14,2,FALSE)</f>
        <v>E</v>
      </c>
      <c r="AL16" s="28" t="str">
        <f t="shared" si="16"/>
        <v>Z</v>
      </c>
      <c r="AM16" s="28" t="str">
        <f t="shared" si="16"/>
        <v>C</v>
      </c>
      <c r="AN16" s="28" t="str">
        <f t="shared" si="16"/>
        <v>Q</v>
      </c>
      <c r="AO16" s="28" t="str">
        <f t="shared" si="16"/>
        <v>V</v>
      </c>
      <c r="AP16" s="28" t="str">
        <f t="shared" si="16"/>
        <v>T</v>
      </c>
      <c r="AQ16" s="28" t="str">
        <f t="shared" si="16"/>
        <v>N</v>
      </c>
      <c r="AR16" s="28" t="str">
        <f t="shared" si="16"/>
        <v>L</v>
      </c>
      <c r="AS16" s="28" t="str">
        <f t="shared" si="16"/>
        <v>P</v>
      </c>
      <c r="AT16" s="28" t="str">
        <f t="shared" si="16"/>
        <v>J</v>
      </c>
      <c r="AU16" s="28" t="str">
        <f t="shared" si="16"/>
        <v>W</v>
      </c>
      <c r="AV16" s="28" t="str">
        <f t="shared" si="16"/>
        <v>U</v>
      </c>
      <c r="AW16" s="28" t="str">
        <f t="shared" si="16"/>
        <v>H</v>
      </c>
      <c r="AX16" s="28" t="str">
        <f t="shared" si="16"/>
        <v>B</v>
      </c>
      <c r="AY16" s="28" t="str">
        <f t="shared" si="16"/>
        <v>G</v>
      </c>
      <c r="AZ16" s="28" t="str">
        <f t="shared" si="16"/>
        <v>F</v>
      </c>
      <c r="BA16" s="28" t="str">
        <f t="shared" si="16"/>
        <v>D</v>
      </c>
      <c r="BB16" s="28" t="str">
        <f t="shared" si="16"/>
        <v>I</v>
      </c>
      <c r="BC16" s="28" t="str">
        <f t="shared" si="16"/>
        <v>Y</v>
      </c>
      <c r="BD16" s="28" t="str">
        <f t="shared" si="16"/>
        <v>R</v>
      </c>
      <c r="BE16" s="28" t="str">
        <f t="shared" si="16"/>
        <v>A</v>
      </c>
      <c r="BF16" s="28" t="str">
        <f t="shared" si="16"/>
        <v>K</v>
      </c>
      <c r="BG16" s="28" t="str">
        <f t="shared" si="16"/>
        <v>O</v>
      </c>
    </row>
    <row r="17" spans="1:59" x14ac:dyDescent="0.35">
      <c r="A17" s="43">
        <f>INT(D2/676)</f>
        <v>5</v>
      </c>
      <c r="B17" s="10"/>
      <c r="C17" s="8"/>
      <c r="F17" s="1">
        <f>IF(ISERROR(FIND(F16,$AF15)),0,1)</f>
        <v>1</v>
      </c>
      <c r="G17" s="1">
        <f t="shared" ref="G17:AE17" si="17">IF(ISERROR(FIND(G16,$AF15)),0,1)</f>
        <v>1</v>
      </c>
      <c r="H17" s="1">
        <f t="shared" si="17"/>
        <v>1</v>
      </c>
      <c r="I17" s="1">
        <f t="shared" si="17"/>
        <v>1</v>
      </c>
      <c r="J17" s="1">
        <f t="shared" si="17"/>
        <v>1</v>
      </c>
      <c r="K17" s="1">
        <f t="shared" si="17"/>
        <v>1</v>
      </c>
      <c r="L17" s="1">
        <f t="shared" si="17"/>
        <v>1</v>
      </c>
      <c r="M17" s="1">
        <f t="shared" si="17"/>
        <v>1</v>
      </c>
      <c r="N17" s="1">
        <f t="shared" si="17"/>
        <v>1</v>
      </c>
      <c r="O17" s="1">
        <f t="shared" si="17"/>
        <v>1</v>
      </c>
      <c r="P17" s="1">
        <f t="shared" si="17"/>
        <v>1</v>
      </c>
      <c r="Q17" s="1">
        <f t="shared" si="17"/>
        <v>1</v>
      </c>
      <c r="R17" s="1">
        <f t="shared" si="17"/>
        <v>1</v>
      </c>
      <c r="S17" s="1">
        <f t="shared" si="17"/>
        <v>1</v>
      </c>
      <c r="T17" s="1">
        <f t="shared" si="17"/>
        <v>1</v>
      </c>
      <c r="U17" s="1">
        <f t="shared" si="17"/>
        <v>1</v>
      </c>
      <c r="V17" s="1">
        <f t="shared" si="17"/>
        <v>1</v>
      </c>
      <c r="W17" s="1">
        <f t="shared" si="17"/>
        <v>1</v>
      </c>
      <c r="X17" s="1">
        <f t="shared" si="17"/>
        <v>1</v>
      </c>
      <c r="Y17" s="1">
        <f t="shared" si="17"/>
        <v>1</v>
      </c>
      <c r="Z17" s="1">
        <f t="shared" si="17"/>
        <v>1</v>
      </c>
      <c r="AA17" s="1">
        <f t="shared" si="17"/>
        <v>1</v>
      </c>
      <c r="AB17" s="1">
        <f t="shared" si="17"/>
        <v>1</v>
      </c>
      <c r="AC17" s="1">
        <f t="shared" si="17"/>
        <v>1</v>
      </c>
      <c r="AD17" s="1">
        <f t="shared" si="17"/>
        <v>1</v>
      </c>
      <c r="AE17" s="1">
        <f t="shared" si="17"/>
        <v>1</v>
      </c>
      <c r="AF17" s="10"/>
    </row>
    <row r="18" spans="1:59" x14ac:dyDescent="0.35">
      <c r="A18" s="43">
        <f>IF(A17=0,26,A17)</f>
        <v>5</v>
      </c>
      <c r="B18" s="10" t="s">
        <v>381</v>
      </c>
      <c r="C18" s="41">
        <f>n_RotorL</f>
        <v>1</v>
      </c>
      <c r="D18" s="11">
        <f>A18</f>
        <v>5</v>
      </c>
      <c r="E18" s="11">
        <f>IF(MOD(D18,26)=0,26,MOD(D18,26))</f>
        <v>5</v>
      </c>
      <c r="F18" s="12" t="str">
        <f>CHAR(E18+nCharOffset)</f>
        <v>E</v>
      </c>
      <c r="G18" s="13" t="str">
        <f t="shared" ref="G18:AE18" si="18">VLOOKUP(F18,nNextLetter,2,FALSE)</f>
        <v>F</v>
      </c>
      <c r="H18" s="13" t="str">
        <f t="shared" si="18"/>
        <v>G</v>
      </c>
      <c r="I18" s="13" t="str">
        <f t="shared" si="18"/>
        <v>H</v>
      </c>
      <c r="J18" s="13" t="str">
        <f t="shared" si="18"/>
        <v>I</v>
      </c>
      <c r="K18" s="13" t="str">
        <f t="shared" si="18"/>
        <v>J</v>
      </c>
      <c r="L18" s="13" t="str">
        <f t="shared" si="18"/>
        <v>K</v>
      </c>
      <c r="M18" s="13" t="str">
        <f t="shared" si="18"/>
        <v>L</v>
      </c>
      <c r="N18" s="13" t="str">
        <f t="shared" si="18"/>
        <v>M</v>
      </c>
      <c r="O18" s="13" t="str">
        <f t="shared" si="18"/>
        <v>N</v>
      </c>
      <c r="P18" s="13" t="str">
        <f t="shared" si="18"/>
        <v>O</v>
      </c>
      <c r="Q18" s="13" t="str">
        <f t="shared" si="18"/>
        <v>P</v>
      </c>
      <c r="R18" s="13" t="str">
        <f t="shared" si="18"/>
        <v>Q</v>
      </c>
      <c r="S18" s="13" t="str">
        <f t="shared" si="18"/>
        <v>R</v>
      </c>
      <c r="T18" s="13" t="str">
        <f t="shared" si="18"/>
        <v>S</v>
      </c>
      <c r="U18" s="13" t="str">
        <f t="shared" si="18"/>
        <v>T</v>
      </c>
      <c r="V18" s="13" t="str">
        <f t="shared" si="18"/>
        <v>U</v>
      </c>
      <c r="W18" s="13" t="str">
        <f t="shared" si="18"/>
        <v>V</v>
      </c>
      <c r="X18" s="13" t="str">
        <f t="shared" si="18"/>
        <v>W</v>
      </c>
      <c r="Y18" s="13" t="str">
        <f t="shared" si="18"/>
        <v>X</v>
      </c>
      <c r="Z18" s="13" t="str">
        <f t="shared" si="18"/>
        <v>Y</v>
      </c>
      <c r="AA18" s="13" t="str">
        <f t="shared" si="18"/>
        <v>Z</v>
      </c>
      <c r="AB18" s="13" t="str">
        <f t="shared" si="18"/>
        <v>A</v>
      </c>
      <c r="AC18" s="13" t="str">
        <f t="shared" si="18"/>
        <v>B</v>
      </c>
      <c r="AD18" s="13" t="str">
        <f t="shared" si="18"/>
        <v>C</v>
      </c>
      <c r="AE18" s="13" t="str">
        <f t="shared" si="18"/>
        <v>D</v>
      </c>
      <c r="AF18" s="10"/>
    </row>
    <row r="19" spans="1:59" x14ac:dyDescent="0.35">
      <c r="B19" s="22" t="s">
        <v>391</v>
      </c>
      <c r="C19" s="41" t="str">
        <f>n_RingPosL</f>
        <v>A</v>
      </c>
      <c r="D19" s="11">
        <f>VLOOKUP(C19,nRingOffset,2,FALSE)</f>
        <v>0</v>
      </c>
      <c r="E19" t="s">
        <v>386</v>
      </c>
      <c r="F19" s="14" t="str">
        <f t="shared" ref="F19:AE19" si="19">IF(F17=1,VLOOKUP(nCurPosL+nRingOffsetL+(CODE(F16)-nCharOffset)-1,nNum2Let,2,FALSE),"")</f>
        <v>E</v>
      </c>
      <c r="G19" s="14" t="str">
        <f t="shared" si="19"/>
        <v>F</v>
      </c>
      <c r="H19" s="14" t="str">
        <f t="shared" si="19"/>
        <v>G</v>
      </c>
      <c r="I19" s="14" t="str">
        <f t="shared" si="19"/>
        <v>H</v>
      </c>
      <c r="J19" s="14" t="str">
        <f t="shared" si="19"/>
        <v>I</v>
      </c>
      <c r="K19" s="14" t="str">
        <f t="shared" si="19"/>
        <v>J</v>
      </c>
      <c r="L19" s="14" t="str">
        <f t="shared" si="19"/>
        <v>K</v>
      </c>
      <c r="M19" s="14" t="str">
        <f t="shared" si="19"/>
        <v>L</v>
      </c>
      <c r="N19" s="14" t="str">
        <f t="shared" si="19"/>
        <v>M</v>
      </c>
      <c r="O19" s="14" t="str">
        <f t="shared" si="19"/>
        <v>N</v>
      </c>
      <c r="P19" s="14" t="str">
        <f t="shared" si="19"/>
        <v>O</v>
      </c>
      <c r="Q19" s="14" t="str">
        <f t="shared" si="19"/>
        <v>P</v>
      </c>
      <c r="R19" s="14" t="str">
        <f t="shared" si="19"/>
        <v>Q</v>
      </c>
      <c r="S19" s="14" t="str">
        <f t="shared" si="19"/>
        <v>R</v>
      </c>
      <c r="T19" s="14" t="str">
        <f t="shared" si="19"/>
        <v>S</v>
      </c>
      <c r="U19" s="14" t="str">
        <f t="shared" si="19"/>
        <v>T</v>
      </c>
      <c r="V19" s="14" t="str">
        <f t="shared" si="19"/>
        <v>U</v>
      </c>
      <c r="W19" s="14" t="str">
        <f t="shared" si="19"/>
        <v>V</v>
      </c>
      <c r="X19" s="14" t="str">
        <f t="shared" si="19"/>
        <v>W</v>
      </c>
      <c r="Y19" s="14" t="str">
        <f t="shared" si="19"/>
        <v>X</v>
      </c>
      <c r="Z19" s="14" t="str">
        <f t="shared" si="19"/>
        <v>Y</v>
      </c>
      <c r="AA19" s="14" t="str">
        <f t="shared" si="19"/>
        <v>Z</v>
      </c>
      <c r="AB19" s="14" t="str">
        <f t="shared" si="19"/>
        <v>A</v>
      </c>
      <c r="AC19" s="14" t="str">
        <f t="shared" si="19"/>
        <v>B</v>
      </c>
      <c r="AD19" s="14" t="str">
        <f t="shared" si="19"/>
        <v>C</v>
      </c>
      <c r="AE19" s="14" t="str">
        <f t="shared" si="19"/>
        <v>D</v>
      </c>
      <c r="AF19" s="10"/>
      <c r="AH19" s="28" t="str">
        <f t="shared" ref="AH19:BG19" si="20">IF(LEN(AH21)=2,LEFT(AH21,1),"")</f>
        <v>A</v>
      </c>
      <c r="AI19" s="28" t="str">
        <f t="shared" si="20"/>
        <v>B</v>
      </c>
      <c r="AJ19" s="28" t="str">
        <f t="shared" si="20"/>
        <v>C</v>
      </c>
      <c r="AK19" s="28" t="str">
        <f t="shared" si="20"/>
        <v>D</v>
      </c>
      <c r="AL19" s="28" t="str">
        <f t="shared" si="20"/>
        <v>E</v>
      </c>
      <c r="AM19" s="28" t="str">
        <f t="shared" si="20"/>
        <v>F</v>
      </c>
      <c r="AN19" s="28" t="str">
        <f t="shared" si="20"/>
        <v>G</v>
      </c>
      <c r="AO19" s="28" t="str">
        <f t="shared" si="20"/>
        <v>H</v>
      </c>
      <c r="AP19" s="28" t="str">
        <f t="shared" si="20"/>
        <v>I</v>
      </c>
      <c r="AQ19" s="28" t="str">
        <f t="shared" si="20"/>
        <v>J</v>
      </c>
      <c r="AR19" s="28" t="str">
        <f t="shared" si="20"/>
        <v>K</v>
      </c>
      <c r="AS19" s="28" t="str">
        <f t="shared" si="20"/>
        <v>L</v>
      </c>
      <c r="AT19" s="28" t="str">
        <f t="shared" si="20"/>
        <v>M</v>
      </c>
      <c r="AU19" s="28" t="str">
        <f t="shared" si="20"/>
        <v>N</v>
      </c>
      <c r="AV19" s="28" t="str">
        <f t="shared" si="20"/>
        <v>O</v>
      </c>
      <c r="AW19" s="28" t="str">
        <f t="shared" si="20"/>
        <v>P</v>
      </c>
      <c r="AX19" s="28" t="str">
        <f t="shared" si="20"/>
        <v>Q</v>
      </c>
      <c r="AY19" s="28" t="str">
        <f t="shared" si="20"/>
        <v>R</v>
      </c>
      <c r="AZ19" s="28" t="str">
        <f t="shared" si="20"/>
        <v>S</v>
      </c>
      <c r="BA19" s="28" t="str">
        <f t="shared" si="20"/>
        <v>T</v>
      </c>
      <c r="BB19" s="28" t="str">
        <f t="shared" si="20"/>
        <v>U</v>
      </c>
      <c r="BC19" s="28" t="str">
        <f t="shared" si="20"/>
        <v>V</v>
      </c>
      <c r="BD19" s="28" t="str">
        <f t="shared" si="20"/>
        <v>W</v>
      </c>
      <c r="BE19" s="28" t="str">
        <f t="shared" si="20"/>
        <v>X</v>
      </c>
      <c r="BF19" s="28" t="str">
        <f t="shared" si="20"/>
        <v>Y</v>
      </c>
      <c r="BG19" s="28" t="str">
        <f t="shared" si="20"/>
        <v>Z</v>
      </c>
    </row>
    <row r="20" spans="1:59" x14ac:dyDescent="0.35">
      <c r="B20" s="22"/>
      <c r="C20" s="8"/>
      <c r="E20" t="s">
        <v>387</v>
      </c>
      <c r="F20" s="15" t="str">
        <f t="shared" ref="F20:AE20" si="21">IF(F17=1,VLOOKUP(nRotorL&amp;F19,nRotor,4,FALSE),"")</f>
        <v>L</v>
      </c>
      <c r="G20" s="15" t="str">
        <f t="shared" si="21"/>
        <v>G</v>
      </c>
      <c r="H20" s="15" t="str">
        <f t="shared" si="21"/>
        <v>D</v>
      </c>
      <c r="I20" s="15" t="str">
        <f t="shared" si="21"/>
        <v>Q</v>
      </c>
      <c r="J20" s="15" t="str">
        <f t="shared" si="21"/>
        <v>V</v>
      </c>
      <c r="K20" s="15" t="str">
        <f t="shared" si="21"/>
        <v>Z</v>
      </c>
      <c r="L20" s="15" t="str">
        <f t="shared" si="21"/>
        <v>N</v>
      </c>
      <c r="M20" s="15" t="str">
        <f t="shared" si="21"/>
        <v>T</v>
      </c>
      <c r="N20" s="15" t="str">
        <f t="shared" si="21"/>
        <v>O</v>
      </c>
      <c r="O20" s="15" t="str">
        <f t="shared" si="21"/>
        <v>W</v>
      </c>
      <c r="P20" s="15" t="str">
        <f t="shared" si="21"/>
        <v>Y</v>
      </c>
      <c r="Q20" s="15" t="str">
        <f t="shared" si="21"/>
        <v>H</v>
      </c>
      <c r="R20" s="15" t="str">
        <f t="shared" si="21"/>
        <v>X</v>
      </c>
      <c r="S20" s="15" t="str">
        <f t="shared" si="21"/>
        <v>U</v>
      </c>
      <c r="T20" s="15" t="str">
        <f t="shared" si="21"/>
        <v>S</v>
      </c>
      <c r="U20" s="15" t="str">
        <f t="shared" si="21"/>
        <v>P</v>
      </c>
      <c r="V20" s="15" t="str">
        <f t="shared" si="21"/>
        <v>A</v>
      </c>
      <c r="W20" s="15" t="str">
        <f t="shared" si="21"/>
        <v>I</v>
      </c>
      <c r="X20" s="15" t="str">
        <f t="shared" si="21"/>
        <v>B</v>
      </c>
      <c r="Y20" s="15" t="str">
        <f t="shared" si="21"/>
        <v>R</v>
      </c>
      <c r="Z20" s="15" t="str">
        <f t="shared" si="21"/>
        <v>C</v>
      </c>
      <c r="AA20" s="15" t="str">
        <f t="shared" si="21"/>
        <v>J</v>
      </c>
      <c r="AB20" s="15" t="str">
        <f t="shared" si="21"/>
        <v>E</v>
      </c>
      <c r="AC20" s="15" t="str">
        <f t="shared" si="21"/>
        <v>K</v>
      </c>
      <c r="AD20" s="15" t="str">
        <f t="shared" si="21"/>
        <v>M</v>
      </c>
      <c r="AE20" s="15" t="str">
        <f t="shared" si="21"/>
        <v>F</v>
      </c>
      <c r="AF20" s="10"/>
      <c r="AH20" s="28" t="str">
        <f t="shared" ref="AH20:BG20" si="22">IF(LEN(AH21)=2,RIGHT(AH21,1),"")</f>
        <v>H</v>
      </c>
      <c r="AI20" s="28" t="str">
        <f t="shared" si="22"/>
        <v>C</v>
      </c>
      <c r="AJ20" s="28" t="str">
        <f t="shared" si="22"/>
        <v>Z</v>
      </c>
      <c r="AK20" s="28" t="str">
        <f t="shared" si="22"/>
        <v>M</v>
      </c>
      <c r="AL20" s="28" t="str">
        <f t="shared" si="22"/>
        <v>R</v>
      </c>
      <c r="AM20" s="28" t="str">
        <f t="shared" si="22"/>
        <v>V</v>
      </c>
      <c r="AN20" s="28" t="str">
        <f t="shared" si="22"/>
        <v>J</v>
      </c>
      <c r="AO20" s="28" t="str">
        <f t="shared" si="22"/>
        <v>P</v>
      </c>
      <c r="AP20" s="28" t="str">
        <f t="shared" si="22"/>
        <v>K</v>
      </c>
      <c r="AQ20" s="28" t="str">
        <f t="shared" si="22"/>
        <v>S</v>
      </c>
      <c r="AR20" s="28" t="str">
        <f t="shared" si="22"/>
        <v>U</v>
      </c>
      <c r="AS20" s="28" t="str">
        <f t="shared" si="22"/>
        <v>D</v>
      </c>
      <c r="AT20" s="28" t="str">
        <f t="shared" si="22"/>
        <v>T</v>
      </c>
      <c r="AU20" s="28" t="str">
        <f t="shared" si="22"/>
        <v>Q</v>
      </c>
      <c r="AV20" s="28" t="str">
        <f t="shared" si="22"/>
        <v>O</v>
      </c>
      <c r="AW20" s="28" t="str">
        <f t="shared" si="22"/>
        <v>L</v>
      </c>
      <c r="AX20" s="28" t="str">
        <f t="shared" si="22"/>
        <v>W</v>
      </c>
      <c r="AY20" s="28" t="str">
        <f t="shared" si="22"/>
        <v>E</v>
      </c>
      <c r="AZ20" s="28" t="str">
        <f t="shared" si="22"/>
        <v>X</v>
      </c>
      <c r="BA20" s="28" t="str">
        <f t="shared" si="22"/>
        <v>N</v>
      </c>
      <c r="BB20" s="28" t="str">
        <f t="shared" si="22"/>
        <v>Y</v>
      </c>
      <c r="BC20" s="28" t="str">
        <f t="shared" si="22"/>
        <v>F</v>
      </c>
      <c r="BD20" s="28" t="str">
        <f t="shared" si="22"/>
        <v>A</v>
      </c>
      <c r="BE20" s="28" t="str">
        <f t="shared" si="22"/>
        <v>G</v>
      </c>
      <c r="BF20" s="28" t="str">
        <f t="shared" si="22"/>
        <v>I</v>
      </c>
      <c r="BG20" s="28" t="str">
        <f t="shared" si="22"/>
        <v>B</v>
      </c>
    </row>
    <row r="21" spans="1:59" ht="15" thickBot="1" x14ac:dyDescent="0.4">
      <c r="B21" s="23"/>
      <c r="C21" s="16"/>
      <c r="D21" s="17"/>
      <c r="E21" s="17" t="s">
        <v>388</v>
      </c>
      <c r="F21" s="18" t="str">
        <f t="shared" ref="F21:AE21" si="23">IF(F17=1,IF(CODE(F20)-CODE(F19)&lt;0,VLOOKUP((CODE(F20)-CODE(F19)+26)+(CODE(F16)-nCharOffset),nNum2Let,2,FALSE),VLOOKUP((CODE(F20)-CODE(F19))+(CODE(F16)-nCharOffset),nNum2Let,2,FALSE)),"")</f>
        <v>H</v>
      </c>
      <c r="G21" s="18" t="str">
        <f t="shared" si="23"/>
        <v>C</v>
      </c>
      <c r="H21" s="18" t="str">
        <f t="shared" si="23"/>
        <v>Z</v>
      </c>
      <c r="I21" s="18" t="str">
        <f t="shared" si="23"/>
        <v>M</v>
      </c>
      <c r="J21" s="18" t="str">
        <f t="shared" si="23"/>
        <v>R</v>
      </c>
      <c r="K21" s="18" t="str">
        <f t="shared" si="23"/>
        <v>V</v>
      </c>
      <c r="L21" s="18" t="str">
        <f t="shared" si="23"/>
        <v>J</v>
      </c>
      <c r="M21" s="18" t="str">
        <f t="shared" si="23"/>
        <v>P</v>
      </c>
      <c r="N21" s="18" t="str">
        <f t="shared" si="23"/>
        <v>K</v>
      </c>
      <c r="O21" s="18" t="str">
        <f t="shared" si="23"/>
        <v>S</v>
      </c>
      <c r="P21" s="18" t="str">
        <f t="shared" si="23"/>
        <v>U</v>
      </c>
      <c r="Q21" s="18" t="str">
        <f t="shared" si="23"/>
        <v>D</v>
      </c>
      <c r="R21" s="18" t="str">
        <f t="shared" si="23"/>
        <v>T</v>
      </c>
      <c r="S21" s="18" t="str">
        <f t="shared" si="23"/>
        <v>Q</v>
      </c>
      <c r="T21" s="18" t="str">
        <f t="shared" si="23"/>
        <v>O</v>
      </c>
      <c r="U21" s="18" t="str">
        <f t="shared" si="23"/>
        <v>L</v>
      </c>
      <c r="V21" s="18" t="str">
        <f t="shared" si="23"/>
        <v>W</v>
      </c>
      <c r="W21" s="18" t="str">
        <f t="shared" si="23"/>
        <v>E</v>
      </c>
      <c r="X21" s="18" t="str">
        <f t="shared" si="23"/>
        <v>X</v>
      </c>
      <c r="Y21" s="18" t="str">
        <f t="shared" si="23"/>
        <v>N</v>
      </c>
      <c r="Z21" s="18" t="str">
        <f t="shared" si="23"/>
        <v>Y</v>
      </c>
      <c r="AA21" s="18" t="str">
        <f t="shared" si="23"/>
        <v>F</v>
      </c>
      <c r="AB21" s="18" t="str">
        <f t="shared" si="23"/>
        <v>A</v>
      </c>
      <c r="AC21" s="18" t="str">
        <f t="shared" si="23"/>
        <v>G</v>
      </c>
      <c r="AD21" s="18" t="str">
        <f t="shared" si="23"/>
        <v>I</v>
      </c>
      <c r="AE21" s="18" t="str">
        <f t="shared" si="23"/>
        <v>B</v>
      </c>
      <c r="AF21" s="19" t="str">
        <f>CONCATENATE(F21,G21,H21,I21,J21,K21,L21,M21,N21,O21,P21,Q21,R21,S21,T21&amp;U21,V21,W21,X21,Y21,Z21,AA21,AB21,AC21,AD21,AE21)</f>
        <v>HCZMRVJPKSUDTQOLWEXNYFAGIB</v>
      </c>
      <c r="AH21" s="12" t="str">
        <f>F16&amp;F21</f>
        <v>AH</v>
      </c>
      <c r="AI21" s="12" t="str">
        <f t="shared" ref="AI21:BG21" si="24">G16&amp;G21</f>
        <v>BC</v>
      </c>
      <c r="AJ21" s="12" t="str">
        <f t="shared" si="24"/>
        <v>CZ</v>
      </c>
      <c r="AK21" s="12" t="str">
        <f t="shared" si="24"/>
        <v>DM</v>
      </c>
      <c r="AL21" s="12" t="str">
        <f t="shared" si="24"/>
        <v>ER</v>
      </c>
      <c r="AM21" s="12" t="str">
        <f t="shared" si="24"/>
        <v>FV</v>
      </c>
      <c r="AN21" s="12" t="str">
        <f t="shared" si="24"/>
        <v>GJ</v>
      </c>
      <c r="AO21" s="12" t="str">
        <f t="shared" si="24"/>
        <v>HP</v>
      </c>
      <c r="AP21" s="12" t="str">
        <f t="shared" si="24"/>
        <v>IK</v>
      </c>
      <c r="AQ21" s="12" t="str">
        <f t="shared" si="24"/>
        <v>JS</v>
      </c>
      <c r="AR21" s="12" t="str">
        <f t="shared" si="24"/>
        <v>KU</v>
      </c>
      <c r="AS21" s="12" t="str">
        <f t="shared" si="24"/>
        <v>LD</v>
      </c>
      <c r="AT21" s="12" t="str">
        <f t="shared" si="24"/>
        <v>MT</v>
      </c>
      <c r="AU21" s="12" t="str">
        <f t="shared" si="24"/>
        <v>NQ</v>
      </c>
      <c r="AV21" s="12" t="str">
        <f t="shared" si="24"/>
        <v>OO</v>
      </c>
      <c r="AW21" s="12" t="str">
        <f t="shared" si="24"/>
        <v>PL</v>
      </c>
      <c r="AX21" s="12" t="str">
        <f t="shared" si="24"/>
        <v>QW</v>
      </c>
      <c r="AY21" s="12" t="str">
        <f t="shared" si="24"/>
        <v>RE</v>
      </c>
      <c r="AZ21" s="12" t="str">
        <f t="shared" si="24"/>
        <v>SX</v>
      </c>
      <c r="BA21" s="12" t="str">
        <f t="shared" si="24"/>
        <v>TN</v>
      </c>
      <c r="BB21" s="12" t="str">
        <f t="shared" si="24"/>
        <v>UY</v>
      </c>
      <c r="BC21" s="12" t="str">
        <f t="shared" si="24"/>
        <v>VF</v>
      </c>
      <c r="BD21" s="12" t="str">
        <f t="shared" si="24"/>
        <v>WA</v>
      </c>
      <c r="BE21" s="12" t="str">
        <f t="shared" si="24"/>
        <v>XG</v>
      </c>
      <c r="BF21" s="12" t="str">
        <f t="shared" si="24"/>
        <v>YI</v>
      </c>
      <c r="BG21" s="12" t="str">
        <f t="shared" si="24"/>
        <v>ZB</v>
      </c>
    </row>
    <row r="22" spans="1:59" x14ac:dyDescent="0.35">
      <c r="B22" s="21"/>
      <c r="C22" s="5"/>
      <c r="D22" s="5"/>
      <c r="E22" s="5" t="s">
        <v>385</v>
      </c>
      <c r="F22" s="6" t="s">
        <v>0</v>
      </c>
      <c r="G22" s="6" t="s">
        <v>1</v>
      </c>
      <c r="H22" s="6" t="s">
        <v>2</v>
      </c>
      <c r="I22" s="6" t="s">
        <v>3</v>
      </c>
      <c r="J22" s="6" t="s">
        <v>4</v>
      </c>
      <c r="K22" s="6" t="s">
        <v>5</v>
      </c>
      <c r="L22" s="6" t="s">
        <v>6</v>
      </c>
      <c r="M22" s="6" t="s">
        <v>7</v>
      </c>
      <c r="N22" s="6" t="s">
        <v>8</v>
      </c>
      <c r="O22" s="6" t="s">
        <v>9</v>
      </c>
      <c r="P22" s="6" t="s">
        <v>10</v>
      </c>
      <c r="Q22" s="6" t="s">
        <v>11</v>
      </c>
      <c r="R22" s="6" t="s">
        <v>12</v>
      </c>
      <c r="S22" s="6" t="s">
        <v>13</v>
      </c>
      <c r="T22" s="6" t="s">
        <v>14</v>
      </c>
      <c r="U22" s="6" t="s">
        <v>15</v>
      </c>
      <c r="V22" s="6" t="s">
        <v>16</v>
      </c>
      <c r="W22" s="6" t="s">
        <v>17</v>
      </c>
      <c r="X22" s="6" t="s">
        <v>18</v>
      </c>
      <c r="Y22" s="6" t="s">
        <v>19</v>
      </c>
      <c r="Z22" s="6" t="s">
        <v>20</v>
      </c>
      <c r="AA22" s="6" t="s">
        <v>21</v>
      </c>
      <c r="AB22" s="6" t="s">
        <v>22</v>
      </c>
      <c r="AC22" s="6" t="s">
        <v>23</v>
      </c>
      <c r="AD22" s="6" t="s">
        <v>24</v>
      </c>
      <c r="AE22" s="6" t="s">
        <v>25</v>
      </c>
      <c r="AF22" s="7"/>
      <c r="AH22" s="28" t="str">
        <f>HLOOKUP(AH16,$AH19:$BG20,2,FALSE)</f>
        <v>T</v>
      </c>
      <c r="AI22" s="28" t="str">
        <f>HLOOKUP(AI16,$AH19:$BG20,2,FALSE)</f>
        <v>X</v>
      </c>
      <c r="AJ22" s="28" t="str">
        <f t="shared" ref="AJ22:BG22" si="25">HLOOKUP(AJ16,$AH19:$BG20,2,FALSE)</f>
        <v>G</v>
      </c>
      <c r="AK22" s="28" t="str">
        <f t="shared" si="25"/>
        <v>R</v>
      </c>
      <c r="AL22" s="28" t="str">
        <f t="shared" si="25"/>
        <v>B</v>
      </c>
      <c r="AM22" s="28" t="str">
        <f t="shared" si="25"/>
        <v>Z</v>
      </c>
      <c r="AN22" s="28" t="str">
        <f t="shared" si="25"/>
        <v>W</v>
      </c>
      <c r="AO22" s="28" t="str">
        <f t="shared" si="25"/>
        <v>F</v>
      </c>
      <c r="AP22" s="28" t="str">
        <f t="shared" si="25"/>
        <v>N</v>
      </c>
      <c r="AQ22" s="28" t="str">
        <f t="shared" si="25"/>
        <v>Q</v>
      </c>
      <c r="AR22" s="28" t="str">
        <f t="shared" si="25"/>
        <v>D</v>
      </c>
      <c r="AS22" s="28" t="str">
        <f t="shared" si="25"/>
        <v>L</v>
      </c>
      <c r="AT22" s="28" t="str">
        <f t="shared" si="25"/>
        <v>S</v>
      </c>
      <c r="AU22" s="28" t="str">
        <f t="shared" si="25"/>
        <v>A</v>
      </c>
      <c r="AV22" s="28" t="str">
        <f t="shared" si="25"/>
        <v>Y</v>
      </c>
      <c r="AW22" s="28" t="str">
        <f t="shared" si="25"/>
        <v>P</v>
      </c>
      <c r="AX22" s="28" t="str">
        <f t="shared" si="25"/>
        <v>C</v>
      </c>
      <c r="AY22" s="28" t="str">
        <f t="shared" si="25"/>
        <v>J</v>
      </c>
      <c r="AZ22" s="28" t="str">
        <f t="shared" si="25"/>
        <v>V</v>
      </c>
      <c r="BA22" s="28" t="str">
        <f t="shared" si="25"/>
        <v>M</v>
      </c>
      <c r="BB22" s="28" t="str">
        <f t="shared" si="25"/>
        <v>K</v>
      </c>
      <c r="BC22" s="28" t="str">
        <f t="shared" si="25"/>
        <v>I</v>
      </c>
      <c r="BD22" s="28" t="str">
        <f t="shared" si="25"/>
        <v>E</v>
      </c>
      <c r="BE22" s="28" t="str">
        <f t="shared" si="25"/>
        <v>H</v>
      </c>
      <c r="BF22" s="28" t="str">
        <f t="shared" si="25"/>
        <v>U</v>
      </c>
      <c r="BG22" s="28" t="str">
        <f t="shared" si="25"/>
        <v>O</v>
      </c>
    </row>
    <row r="23" spans="1:59" x14ac:dyDescent="0.35">
      <c r="B23" s="22" t="s">
        <v>26</v>
      </c>
      <c r="C23" s="41" t="str">
        <f>n_Reflector</f>
        <v>B</v>
      </c>
      <c r="D23" s="11" t="str">
        <f>"Wide"&amp;C23</f>
        <v>WideB</v>
      </c>
      <c r="F23" s="1">
        <f>IF(ISERROR(FIND(F22,$AF21)),0,1)</f>
        <v>1</v>
      </c>
      <c r="G23" s="1">
        <f t="shared" ref="G23:AE23" si="26">IF(ISERROR(FIND(G22,$AF21)),0,1)</f>
        <v>1</v>
      </c>
      <c r="H23" s="1">
        <f t="shared" si="26"/>
        <v>1</v>
      </c>
      <c r="I23" s="1">
        <f t="shared" si="26"/>
        <v>1</v>
      </c>
      <c r="J23" s="1">
        <f t="shared" si="26"/>
        <v>1</v>
      </c>
      <c r="K23" s="1">
        <f t="shared" si="26"/>
        <v>1</v>
      </c>
      <c r="L23" s="1">
        <f t="shared" si="26"/>
        <v>1</v>
      </c>
      <c r="M23" s="1">
        <f t="shared" si="26"/>
        <v>1</v>
      </c>
      <c r="N23" s="1">
        <f t="shared" si="26"/>
        <v>1</v>
      </c>
      <c r="O23" s="1">
        <f t="shared" si="26"/>
        <v>1</v>
      </c>
      <c r="P23" s="1">
        <f t="shared" si="26"/>
        <v>1</v>
      </c>
      <c r="Q23" s="1">
        <f t="shared" si="26"/>
        <v>1</v>
      </c>
      <c r="R23" s="1">
        <f t="shared" si="26"/>
        <v>1</v>
      </c>
      <c r="S23" s="1">
        <f t="shared" si="26"/>
        <v>1</v>
      </c>
      <c r="T23" s="1">
        <f t="shared" si="26"/>
        <v>1</v>
      </c>
      <c r="U23" s="1">
        <f t="shared" si="26"/>
        <v>1</v>
      </c>
      <c r="V23" s="1">
        <f t="shared" si="26"/>
        <v>1</v>
      </c>
      <c r="W23" s="1">
        <f t="shared" si="26"/>
        <v>1</v>
      </c>
      <c r="X23" s="1">
        <f t="shared" si="26"/>
        <v>1</v>
      </c>
      <c r="Y23" s="1">
        <f t="shared" si="26"/>
        <v>1</v>
      </c>
      <c r="Z23" s="1">
        <f t="shared" si="26"/>
        <v>1</v>
      </c>
      <c r="AA23" s="1">
        <f t="shared" si="26"/>
        <v>1</v>
      </c>
      <c r="AB23" s="1">
        <f t="shared" si="26"/>
        <v>1</v>
      </c>
      <c r="AC23" s="1">
        <f t="shared" si="26"/>
        <v>1</v>
      </c>
      <c r="AD23" s="1">
        <f t="shared" si="26"/>
        <v>1</v>
      </c>
      <c r="AE23" s="1">
        <f t="shared" si="26"/>
        <v>1</v>
      </c>
      <c r="AF23" s="10"/>
      <c r="AH23" s="28" t="str">
        <f>HLOOKUP(AH22,$AH25:$BG26,2,FALSE)</f>
        <v>Z</v>
      </c>
      <c r="AI23" s="28" t="str">
        <f t="shared" ref="AI23:BG23" si="27">HLOOKUP(AI22,$AH25:$BG26,2,FALSE)</f>
        <v>J</v>
      </c>
      <c r="AJ23" s="28" t="str">
        <f t="shared" si="27"/>
        <v>L</v>
      </c>
      <c r="AK23" s="28" t="str">
        <f t="shared" si="27"/>
        <v>B</v>
      </c>
      <c r="AL23" s="28" t="str">
        <f t="shared" si="27"/>
        <v>R</v>
      </c>
      <c r="AM23" s="28" t="str">
        <f t="shared" si="27"/>
        <v>T</v>
      </c>
      <c r="AN23" s="28" t="str">
        <f t="shared" si="27"/>
        <v>V</v>
      </c>
      <c r="AO23" s="28" t="str">
        <f t="shared" si="27"/>
        <v>S</v>
      </c>
      <c r="AP23" s="28" t="str">
        <f t="shared" si="27"/>
        <v>K</v>
      </c>
      <c r="AQ23" s="28" t="str">
        <f t="shared" si="27"/>
        <v>E</v>
      </c>
      <c r="AR23" s="28" t="str">
        <f t="shared" si="27"/>
        <v>H</v>
      </c>
      <c r="AS23" s="28" t="str">
        <f t="shared" si="27"/>
        <v>G</v>
      </c>
      <c r="AT23" s="28" t="str">
        <f t="shared" si="27"/>
        <v>F</v>
      </c>
      <c r="AU23" s="28" t="str">
        <f t="shared" si="27"/>
        <v>Y</v>
      </c>
      <c r="AV23" s="28" t="str">
        <f t="shared" si="27"/>
        <v>A</v>
      </c>
      <c r="AW23" s="28" t="str">
        <f t="shared" si="27"/>
        <v>I</v>
      </c>
      <c r="AX23" s="28" t="str">
        <f t="shared" si="27"/>
        <v>U</v>
      </c>
      <c r="AY23" s="28" t="str">
        <f t="shared" si="27"/>
        <v>X</v>
      </c>
      <c r="AZ23" s="28" t="str">
        <f t="shared" si="27"/>
        <v>W</v>
      </c>
      <c r="BA23" s="28" t="str">
        <f t="shared" si="27"/>
        <v>O</v>
      </c>
      <c r="BB23" s="28" t="str">
        <f t="shared" si="27"/>
        <v>N</v>
      </c>
      <c r="BC23" s="28" t="str">
        <f t="shared" si="27"/>
        <v>P</v>
      </c>
      <c r="BD23" s="28" t="str">
        <f t="shared" si="27"/>
        <v>Q</v>
      </c>
      <c r="BE23" s="28" t="str">
        <f t="shared" si="27"/>
        <v>D</v>
      </c>
      <c r="BF23" s="28" t="str">
        <f t="shared" si="27"/>
        <v>C</v>
      </c>
      <c r="BG23" s="28" t="str">
        <f t="shared" si="27"/>
        <v>M</v>
      </c>
    </row>
    <row r="24" spans="1:59" ht="15" thickBot="1" x14ac:dyDescent="0.4">
      <c r="B24" s="23"/>
      <c r="C24" s="17"/>
      <c r="D24" s="17"/>
      <c r="E24" s="17"/>
      <c r="F24" s="24" t="str">
        <f t="shared" ref="F24:AE24" si="28">IF(F23=1,VLOOKUP(nReflector&amp;"_"&amp;F22,nReflectorWide,4,FALSE),"")</f>
        <v>Y</v>
      </c>
      <c r="G24" s="24" t="str">
        <f t="shared" si="28"/>
        <v>R</v>
      </c>
      <c r="H24" s="24" t="str">
        <f t="shared" si="28"/>
        <v>U</v>
      </c>
      <c r="I24" s="24" t="str">
        <f t="shared" si="28"/>
        <v>H</v>
      </c>
      <c r="J24" s="24" t="str">
        <f t="shared" si="28"/>
        <v>Q</v>
      </c>
      <c r="K24" s="24" t="str">
        <f t="shared" si="28"/>
        <v>S</v>
      </c>
      <c r="L24" s="24" t="str">
        <f t="shared" si="28"/>
        <v>L</v>
      </c>
      <c r="M24" s="24" t="str">
        <f t="shared" si="28"/>
        <v>D</v>
      </c>
      <c r="N24" s="24" t="str">
        <f t="shared" si="28"/>
        <v>P</v>
      </c>
      <c r="O24" s="24" t="str">
        <f t="shared" si="28"/>
        <v>X</v>
      </c>
      <c r="P24" s="24" t="str">
        <f t="shared" si="28"/>
        <v>N</v>
      </c>
      <c r="Q24" s="24" t="str">
        <f t="shared" si="28"/>
        <v>G</v>
      </c>
      <c r="R24" s="24" t="str">
        <f t="shared" si="28"/>
        <v>O</v>
      </c>
      <c r="S24" s="24" t="str">
        <f t="shared" si="28"/>
        <v>K</v>
      </c>
      <c r="T24" s="24" t="str">
        <f t="shared" si="28"/>
        <v>M</v>
      </c>
      <c r="U24" s="24" t="str">
        <f t="shared" si="28"/>
        <v>I</v>
      </c>
      <c r="V24" s="24" t="str">
        <f t="shared" si="28"/>
        <v>E</v>
      </c>
      <c r="W24" s="24" t="str">
        <f t="shared" si="28"/>
        <v>B</v>
      </c>
      <c r="X24" s="24" t="str">
        <f t="shared" si="28"/>
        <v>F</v>
      </c>
      <c r="Y24" s="24" t="str">
        <f t="shared" si="28"/>
        <v>Z</v>
      </c>
      <c r="Z24" s="24" t="str">
        <f t="shared" si="28"/>
        <v>C</v>
      </c>
      <c r="AA24" s="24" t="str">
        <f t="shared" si="28"/>
        <v>W</v>
      </c>
      <c r="AB24" s="24" t="str">
        <f t="shared" si="28"/>
        <v>V</v>
      </c>
      <c r="AC24" s="24" t="str">
        <f t="shared" si="28"/>
        <v>J</v>
      </c>
      <c r="AD24" s="24" t="str">
        <f t="shared" si="28"/>
        <v>A</v>
      </c>
      <c r="AE24" s="24" t="str">
        <f t="shared" si="28"/>
        <v>T</v>
      </c>
      <c r="AF24" s="25" t="str">
        <f>CONCATENATE(F24,G24,H24,I24,J24,K24,L24,M24,N24,O24,P24,Q24,R24,S24,T24&amp;U24,V24,W24,X24,Y24,Z24,AA24,AB24,AC24,AD24,AE24)</f>
        <v>YRUHQSLDPXNGOKMIEBFZCWVJAT</v>
      </c>
      <c r="AH24" s="27" t="str">
        <f>F22&amp;F24</f>
        <v>AY</v>
      </c>
      <c r="AI24" s="27" t="str">
        <f t="shared" ref="AI24:BG24" si="29">G22&amp;G24</f>
        <v>BR</v>
      </c>
      <c r="AJ24" s="27" t="str">
        <f t="shared" si="29"/>
        <v>CU</v>
      </c>
      <c r="AK24" s="27" t="str">
        <f t="shared" si="29"/>
        <v>DH</v>
      </c>
      <c r="AL24" s="27" t="str">
        <f t="shared" si="29"/>
        <v>EQ</v>
      </c>
      <c r="AM24" s="27" t="str">
        <f t="shared" si="29"/>
        <v>FS</v>
      </c>
      <c r="AN24" s="27" t="str">
        <f t="shared" si="29"/>
        <v>GL</v>
      </c>
      <c r="AO24" s="27" t="str">
        <f t="shared" si="29"/>
        <v>HD</v>
      </c>
      <c r="AP24" s="27" t="str">
        <f t="shared" si="29"/>
        <v>IP</v>
      </c>
      <c r="AQ24" s="27" t="str">
        <f t="shared" si="29"/>
        <v>JX</v>
      </c>
      <c r="AR24" s="27" t="str">
        <f t="shared" si="29"/>
        <v>KN</v>
      </c>
      <c r="AS24" s="27" t="str">
        <f t="shared" si="29"/>
        <v>LG</v>
      </c>
      <c r="AT24" s="27" t="str">
        <f t="shared" si="29"/>
        <v>MO</v>
      </c>
      <c r="AU24" s="27" t="str">
        <f t="shared" si="29"/>
        <v>NK</v>
      </c>
      <c r="AV24" s="27" t="str">
        <f t="shared" si="29"/>
        <v>OM</v>
      </c>
      <c r="AW24" s="27" t="str">
        <f t="shared" si="29"/>
        <v>PI</v>
      </c>
      <c r="AX24" s="27" t="str">
        <f t="shared" si="29"/>
        <v>QE</v>
      </c>
      <c r="AY24" s="27" t="str">
        <f t="shared" si="29"/>
        <v>RB</v>
      </c>
      <c r="AZ24" s="27" t="str">
        <f t="shared" si="29"/>
        <v>SF</v>
      </c>
      <c r="BA24" s="27" t="str">
        <f t="shared" si="29"/>
        <v>TZ</v>
      </c>
      <c r="BB24" s="27" t="str">
        <f t="shared" si="29"/>
        <v>UC</v>
      </c>
      <c r="BC24" s="27" t="str">
        <f t="shared" si="29"/>
        <v>VW</v>
      </c>
      <c r="BD24" s="27" t="str">
        <f t="shared" si="29"/>
        <v>WV</v>
      </c>
      <c r="BE24" s="27" t="str">
        <f t="shared" si="29"/>
        <v>XJ</v>
      </c>
      <c r="BF24" s="27" t="str">
        <f t="shared" si="29"/>
        <v>YA</v>
      </c>
      <c r="BG24" s="27" t="str">
        <f t="shared" si="29"/>
        <v>ZT</v>
      </c>
    </row>
    <row r="25" spans="1:59" x14ac:dyDescent="0.35">
      <c r="B25" s="21"/>
      <c r="C25" s="4"/>
      <c r="D25" s="5"/>
      <c r="E25" s="5" t="s">
        <v>385</v>
      </c>
      <c r="F25" s="6" t="s">
        <v>0</v>
      </c>
      <c r="G25" s="6" t="s">
        <v>1</v>
      </c>
      <c r="H25" s="6" t="s">
        <v>2</v>
      </c>
      <c r="I25" s="6" t="s">
        <v>3</v>
      </c>
      <c r="J25" s="6" t="s">
        <v>4</v>
      </c>
      <c r="K25" s="6" t="s">
        <v>5</v>
      </c>
      <c r="L25" s="6" t="s">
        <v>6</v>
      </c>
      <c r="M25" s="6" t="s">
        <v>7</v>
      </c>
      <c r="N25" s="6" t="s">
        <v>8</v>
      </c>
      <c r="O25" s="6" t="s">
        <v>9</v>
      </c>
      <c r="P25" s="6" t="s">
        <v>10</v>
      </c>
      <c r="Q25" s="6" t="s">
        <v>11</v>
      </c>
      <c r="R25" s="6" t="s">
        <v>12</v>
      </c>
      <c r="S25" s="6" t="s">
        <v>13</v>
      </c>
      <c r="T25" s="6" t="s">
        <v>14</v>
      </c>
      <c r="U25" s="6" t="s">
        <v>15</v>
      </c>
      <c r="V25" s="6" t="s">
        <v>16</v>
      </c>
      <c r="W25" s="6" t="s">
        <v>17</v>
      </c>
      <c r="X25" s="6" t="s">
        <v>18</v>
      </c>
      <c r="Y25" s="6" t="s">
        <v>19</v>
      </c>
      <c r="Z25" s="6" t="s">
        <v>20</v>
      </c>
      <c r="AA25" s="6" t="s">
        <v>21</v>
      </c>
      <c r="AB25" s="6" t="s">
        <v>22</v>
      </c>
      <c r="AC25" s="6" t="s">
        <v>23</v>
      </c>
      <c r="AD25" s="6" t="s">
        <v>24</v>
      </c>
      <c r="AE25" s="6" t="s">
        <v>25</v>
      </c>
      <c r="AF25" s="7"/>
      <c r="AH25" s="28" t="str">
        <f>IF(LEN(AH24)=2,LEFT(AH24,1),"")</f>
        <v>A</v>
      </c>
      <c r="AI25" s="28" t="str">
        <f t="shared" ref="AI25:BG25" si="30">IF(LEN(AI24)=2,LEFT(AI24,1),"")</f>
        <v>B</v>
      </c>
      <c r="AJ25" s="28" t="str">
        <f t="shared" si="30"/>
        <v>C</v>
      </c>
      <c r="AK25" s="28" t="str">
        <f t="shared" si="30"/>
        <v>D</v>
      </c>
      <c r="AL25" s="28" t="str">
        <f t="shared" si="30"/>
        <v>E</v>
      </c>
      <c r="AM25" s="28" t="str">
        <f t="shared" si="30"/>
        <v>F</v>
      </c>
      <c r="AN25" s="28" t="str">
        <f t="shared" si="30"/>
        <v>G</v>
      </c>
      <c r="AO25" s="28" t="str">
        <f t="shared" si="30"/>
        <v>H</v>
      </c>
      <c r="AP25" s="28" t="str">
        <f t="shared" si="30"/>
        <v>I</v>
      </c>
      <c r="AQ25" s="28" t="str">
        <f t="shared" si="30"/>
        <v>J</v>
      </c>
      <c r="AR25" s="28" t="str">
        <f t="shared" si="30"/>
        <v>K</v>
      </c>
      <c r="AS25" s="28" t="str">
        <f t="shared" si="30"/>
        <v>L</v>
      </c>
      <c r="AT25" s="28" t="str">
        <f t="shared" si="30"/>
        <v>M</v>
      </c>
      <c r="AU25" s="28" t="str">
        <f t="shared" si="30"/>
        <v>N</v>
      </c>
      <c r="AV25" s="28" t="str">
        <f t="shared" si="30"/>
        <v>O</v>
      </c>
      <c r="AW25" s="28" t="str">
        <f t="shared" si="30"/>
        <v>P</v>
      </c>
      <c r="AX25" s="28" t="str">
        <f t="shared" si="30"/>
        <v>Q</v>
      </c>
      <c r="AY25" s="28" t="str">
        <f t="shared" si="30"/>
        <v>R</v>
      </c>
      <c r="AZ25" s="28" t="str">
        <f t="shared" si="30"/>
        <v>S</v>
      </c>
      <c r="BA25" s="28" t="str">
        <f t="shared" si="30"/>
        <v>T</v>
      </c>
      <c r="BB25" s="28" t="str">
        <f t="shared" si="30"/>
        <v>U</v>
      </c>
      <c r="BC25" s="28" t="str">
        <f t="shared" si="30"/>
        <v>V</v>
      </c>
      <c r="BD25" s="28" t="str">
        <f t="shared" si="30"/>
        <v>W</v>
      </c>
      <c r="BE25" s="28" t="str">
        <f t="shared" si="30"/>
        <v>X</v>
      </c>
      <c r="BF25" s="28" t="str">
        <f t="shared" si="30"/>
        <v>Y</v>
      </c>
      <c r="BG25" s="28" t="str">
        <f t="shared" si="30"/>
        <v>Z</v>
      </c>
    </row>
    <row r="26" spans="1:59" x14ac:dyDescent="0.35">
      <c r="B26" s="22"/>
      <c r="C26" s="8"/>
      <c r="F26" s="1">
        <f t="shared" ref="F26:AE26" si="31">IF(ISERROR(FIND(F25,$AF24)),0,1)</f>
        <v>1</v>
      </c>
      <c r="G26" s="1">
        <f t="shared" si="31"/>
        <v>1</v>
      </c>
      <c r="H26" s="1">
        <f t="shared" si="31"/>
        <v>1</v>
      </c>
      <c r="I26" s="1">
        <f t="shared" si="31"/>
        <v>1</v>
      </c>
      <c r="J26" s="1">
        <f t="shared" si="31"/>
        <v>1</v>
      </c>
      <c r="K26" s="1">
        <f t="shared" si="31"/>
        <v>1</v>
      </c>
      <c r="L26" s="1">
        <f t="shared" si="31"/>
        <v>1</v>
      </c>
      <c r="M26" s="1">
        <f t="shared" si="31"/>
        <v>1</v>
      </c>
      <c r="N26" s="1">
        <f t="shared" si="31"/>
        <v>1</v>
      </c>
      <c r="O26" s="1">
        <f t="shared" si="31"/>
        <v>1</v>
      </c>
      <c r="P26" s="1">
        <f t="shared" si="31"/>
        <v>1</v>
      </c>
      <c r="Q26" s="1">
        <f t="shared" si="31"/>
        <v>1</v>
      </c>
      <c r="R26" s="1">
        <f t="shared" si="31"/>
        <v>1</v>
      </c>
      <c r="S26" s="1">
        <f t="shared" si="31"/>
        <v>1</v>
      </c>
      <c r="T26" s="1">
        <f t="shared" si="31"/>
        <v>1</v>
      </c>
      <c r="U26" s="1">
        <f t="shared" si="31"/>
        <v>1</v>
      </c>
      <c r="V26" s="1">
        <f t="shared" si="31"/>
        <v>1</v>
      </c>
      <c r="W26" s="1">
        <f t="shared" si="31"/>
        <v>1</v>
      </c>
      <c r="X26" s="1">
        <f t="shared" si="31"/>
        <v>1</v>
      </c>
      <c r="Y26" s="1">
        <f t="shared" si="31"/>
        <v>1</v>
      </c>
      <c r="Z26" s="1">
        <f t="shared" si="31"/>
        <v>1</v>
      </c>
      <c r="AA26" s="1">
        <f t="shared" si="31"/>
        <v>1</v>
      </c>
      <c r="AB26" s="1">
        <f t="shared" si="31"/>
        <v>1</v>
      </c>
      <c r="AC26" s="1">
        <f t="shared" si="31"/>
        <v>1</v>
      </c>
      <c r="AD26" s="1">
        <f t="shared" si="31"/>
        <v>1</v>
      </c>
      <c r="AE26" s="1">
        <f t="shared" si="31"/>
        <v>1</v>
      </c>
      <c r="AF26" s="10"/>
      <c r="AH26" s="28" t="str">
        <f>IF(LEN(AH24)=2,RIGHT(AH24,1),"")</f>
        <v>Y</v>
      </c>
      <c r="AI26" s="28" t="str">
        <f t="shared" ref="AI26:BG26" si="32">IF(LEN(AI24)=2,RIGHT(AI24,1),"")</f>
        <v>R</v>
      </c>
      <c r="AJ26" s="28" t="str">
        <f t="shared" si="32"/>
        <v>U</v>
      </c>
      <c r="AK26" s="28" t="str">
        <f t="shared" si="32"/>
        <v>H</v>
      </c>
      <c r="AL26" s="28" t="str">
        <f t="shared" si="32"/>
        <v>Q</v>
      </c>
      <c r="AM26" s="28" t="str">
        <f t="shared" si="32"/>
        <v>S</v>
      </c>
      <c r="AN26" s="28" t="str">
        <f t="shared" si="32"/>
        <v>L</v>
      </c>
      <c r="AO26" s="28" t="str">
        <f t="shared" si="32"/>
        <v>D</v>
      </c>
      <c r="AP26" s="28" t="str">
        <f t="shared" si="32"/>
        <v>P</v>
      </c>
      <c r="AQ26" s="28" t="str">
        <f t="shared" si="32"/>
        <v>X</v>
      </c>
      <c r="AR26" s="28" t="str">
        <f t="shared" si="32"/>
        <v>N</v>
      </c>
      <c r="AS26" s="28" t="str">
        <f t="shared" si="32"/>
        <v>G</v>
      </c>
      <c r="AT26" s="28" t="str">
        <f t="shared" si="32"/>
        <v>O</v>
      </c>
      <c r="AU26" s="28" t="str">
        <f t="shared" si="32"/>
        <v>K</v>
      </c>
      <c r="AV26" s="28" t="str">
        <f t="shared" si="32"/>
        <v>M</v>
      </c>
      <c r="AW26" s="28" t="str">
        <f t="shared" si="32"/>
        <v>I</v>
      </c>
      <c r="AX26" s="28" t="str">
        <f t="shared" si="32"/>
        <v>E</v>
      </c>
      <c r="AY26" s="28" t="str">
        <f t="shared" si="32"/>
        <v>B</v>
      </c>
      <c r="AZ26" s="28" t="str">
        <f t="shared" si="32"/>
        <v>F</v>
      </c>
      <c r="BA26" s="28" t="str">
        <f t="shared" si="32"/>
        <v>Z</v>
      </c>
      <c r="BB26" s="28" t="str">
        <f t="shared" si="32"/>
        <v>C</v>
      </c>
      <c r="BC26" s="28" t="str">
        <f t="shared" si="32"/>
        <v>W</v>
      </c>
      <c r="BD26" s="28" t="str">
        <f t="shared" si="32"/>
        <v>V</v>
      </c>
      <c r="BE26" s="28" t="str">
        <f t="shared" si="32"/>
        <v>J</v>
      </c>
      <c r="BF26" s="28" t="str">
        <f t="shared" si="32"/>
        <v>A</v>
      </c>
      <c r="BG26" s="28" t="str">
        <f t="shared" si="32"/>
        <v>T</v>
      </c>
    </row>
    <row r="27" spans="1:59" x14ac:dyDescent="0.35">
      <c r="B27" s="22" t="s">
        <v>382</v>
      </c>
      <c r="C27" s="26" t="str">
        <f>"R"&amp;C18</f>
        <v>R1</v>
      </c>
      <c r="D27" s="11">
        <f>D18</f>
        <v>5</v>
      </c>
      <c r="E27" s="11">
        <f>E18</f>
        <v>5</v>
      </c>
      <c r="F27" s="12" t="str">
        <f>F18</f>
        <v>E</v>
      </c>
      <c r="G27" s="13" t="str">
        <f t="shared" ref="G27:AE27" si="33">VLOOKUP(F27,nNextLetter,2,FALSE)</f>
        <v>F</v>
      </c>
      <c r="H27" s="13" t="str">
        <f t="shared" si="33"/>
        <v>G</v>
      </c>
      <c r="I27" s="13" t="str">
        <f t="shared" si="33"/>
        <v>H</v>
      </c>
      <c r="J27" s="13" t="str">
        <f t="shared" si="33"/>
        <v>I</v>
      </c>
      <c r="K27" s="13" t="str">
        <f t="shared" si="33"/>
        <v>J</v>
      </c>
      <c r="L27" s="13" t="str">
        <f t="shared" si="33"/>
        <v>K</v>
      </c>
      <c r="M27" s="13" t="str">
        <f t="shared" si="33"/>
        <v>L</v>
      </c>
      <c r="N27" s="13" t="str">
        <f t="shared" si="33"/>
        <v>M</v>
      </c>
      <c r="O27" s="13" t="str">
        <f t="shared" si="33"/>
        <v>N</v>
      </c>
      <c r="P27" s="13" t="str">
        <f t="shared" si="33"/>
        <v>O</v>
      </c>
      <c r="Q27" s="13" t="str">
        <f t="shared" si="33"/>
        <v>P</v>
      </c>
      <c r="R27" s="13" t="str">
        <f t="shared" si="33"/>
        <v>Q</v>
      </c>
      <c r="S27" s="13" t="str">
        <f t="shared" si="33"/>
        <v>R</v>
      </c>
      <c r="T27" s="13" t="str">
        <f t="shared" si="33"/>
        <v>S</v>
      </c>
      <c r="U27" s="13" t="str">
        <f t="shared" si="33"/>
        <v>T</v>
      </c>
      <c r="V27" s="13" t="str">
        <f t="shared" si="33"/>
        <v>U</v>
      </c>
      <c r="W27" s="13" t="str">
        <f t="shared" si="33"/>
        <v>V</v>
      </c>
      <c r="X27" s="13" t="str">
        <f t="shared" si="33"/>
        <v>W</v>
      </c>
      <c r="Y27" s="13" t="str">
        <f t="shared" si="33"/>
        <v>X</v>
      </c>
      <c r="Z27" s="13" t="str">
        <f t="shared" si="33"/>
        <v>Y</v>
      </c>
      <c r="AA27" s="13" t="str">
        <f t="shared" si="33"/>
        <v>Z</v>
      </c>
      <c r="AB27" s="13" t="str">
        <f t="shared" si="33"/>
        <v>A</v>
      </c>
      <c r="AC27" s="13" t="str">
        <f t="shared" si="33"/>
        <v>B</v>
      </c>
      <c r="AD27" s="13" t="str">
        <f t="shared" si="33"/>
        <v>C</v>
      </c>
      <c r="AE27" s="13" t="str">
        <f t="shared" si="33"/>
        <v>D</v>
      </c>
      <c r="AF27" s="10"/>
    </row>
    <row r="28" spans="1:59" x14ac:dyDescent="0.35">
      <c r="B28" s="22"/>
      <c r="C28" s="8"/>
      <c r="E28" t="s">
        <v>386</v>
      </c>
      <c r="F28" s="14" t="str">
        <f t="shared" ref="F28:AE28" si="34">IF(F26=1,VLOOKUP(nCurPosL+nRingOffsetL+(CODE(F25)-nCharOffset)-1,nNum2Let,2,FALSE),"")</f>
        <v>E</v>
      </c>
      <c r="G28" s="14" t="str">
        <f t="shared" si="34"/>
        <v>F</v>
      </c>
      <c r="H28" s="14" t="str">
        <f t="shared" si="34"/>
        <v>G</v>
      </c>
      <c r="I28" s="14" t="str">
        <f t="shared" si="34"/>
        <v>H</v>
      </c>
      <c r="J28" s="14" t="str">
        <f t="shared" si="34"/>
        <v>I</v>
      </c>
      <c r="K28" s="14" t="str">
        <f t="shared" si="34"/>
        <v>J</v>
      </c>
      <c r="L28" s="14" t="str">
        <f t="shared" si="34"/>
        <v>K</v>
      </c>
      <c r="M28" s="14" t="str">
        <f t="shared" si="34"/>
        <v>L</v>
      </c>
      <c r="N28" s="14" t="str">
        <f t="shared" si="34"/>
        <v>M</v>
      </c>
      <c r="O28" s="14" t="str">
        <f t="shared" si="34"/>
        <v>N</v>
      </c>
      <c r="P28" s="14" t="str">
        <f t="shared" si="34"/>
        <v>O</v>
      </c>
      <c r="Q28" s="14" t="str">
        <f t="shared" si="34"/>
        <v>P</v>
      </c>
      <c r="R28" s="14" t="str">
        <f t="shared" si="34"/>
        <v>Q</v>
      </c>
      <c r="S28" s="14" t="str">
        <f t="shared" si="34"/>
        <v>R</v>
      </c>
      <c r="T28" s="14" t="str">
        <f t="shared" si="34"/>
        <v>S</v>
      </c>
      <c r="U28" s="14" t="str">
        <f t="shared" si="34"/>
        <v>T</v>
      </c>
      <c r="V28" s="14" t="str">
        <f t="shared" si="34"/>
        <v>U</v>
      </c>
      <c r="W28" s="14" t="str">
        <f t="shared" si="34"/>
        <v>V</v>
      </c>
      <c r="X28" s="14" t="str">
        <f t="shared" si="34"/>
        <v>W</v>
      </c>
      <c r="Y28" s="14" t="str">
        <f t="shared" si="34"/>
        <v>X</v>
      </c>
      <c r="Z28" s="14" t="str">
        <f t="shared" si="34"/>
        <v>Y</v>
      </c>
      <c r="AA28" s="14" t="str">
        <f t="shared" si="34"/>
        <v>Z</v>
      </c>
      <c r="AB28" s="14" t="str">
        <f t="shared" si="34"/>
        <v>A</v>
      </c>
      <c r="AC28" s="14" t="str">
        <f t="shared" si="34"/>
        <v>B</v>
      </c>
      <c r="AD28" s="14" t="str">
        <f t="shared" si="34"/>
        <v>C</v>
      </c>
      <c r="AE28" s="14" t="str">
        <f t="shared" si="34"/>
        <v>D</v>
      </c>
      <c r="AF28" s="10"/>
      <c r="AH28" s="28" t="str">
        <f t="shared" ref="AH28:BG28" si="35">IF(LEN(AH30)=2,LEFT(AH30,1),"")</f>
        <v>A</v>
      </c>
      <c r="AI28" s="28" t="str">
        <f t="shared" si="35"/>
        <v>B</v>
      </c>
      <c r="AJ28" s="28" t="str">
        <f t="shared" si="35"/>
        <v>C</v>
      </c>
      <c r="AK28" s="28" t="str">
        <f t="shared" si="35"/>
        <v>D</v>
      </c>
      <c r="AL28" s="28" t="str">
        <f t="shared" si="35"/>
        <v>E</v>
      </c>
      <c r="AM28" s="28" t="str">
        <f t="shared" si="35"/>
        <v>F</v>
      </c>
      <c r="AN28" s="28" t="str">
        <f t="shared" si="35"/>
        <v>G</v>
      </c>
      <c r="AO28" s="28" t="str">
        <f t="shared" si="35"/>
        <v>H</v>
      </c>
      <c r="AP28" s="28" t="str">
        <f t="shared" si="35"/>
        <v>I</v>
      </c>
      <c r="AQ28" s="28" t="str">
        <f t="shared" si="35"/>
        <v>J</v>
      </c>
      <c r="AR28" s="28" t="str">
        <f t="shared" si="35"/>
        <v>K</v>
      </c>
      <c r="AS28" s="28" t="str">
        <f t="shared" si="35"/>
        <v>L</v>
      </c>
      <c r="AT28" s="28" t="str">
        <f t="shared" si="35"/>
        <v>M</v>
      </c>
      <c r="AU28" s="28" t="str">
        <f t="shared" si="35"/>
        <v>N</v>
      </c>
      <c r="AV28" s="28" t="str">
        <f t="shared" si="35"/>
        <v>O</v>
      </c>
      <c r="AW28" s="28" t="str">
        <f t="shared" si="35"/>
        <v>P</v>
      </c>
      <c r="AX28" s="28" t="str">
        <f t="shared" si="35"/>
        <v>Q</v>
      </c>
      <c r="AY28" s="28" t="str">
        <f t="shared" si="35"/>
        <v>R</v>
      </c>
      <c r="AZ28" s="28" t="str">
        <f t="shared" si="35"/>
        <v>S</v>
      </c>
      <c r="BA28" s="28" t="str">
        <f t="shared" si="35"/>
        <v>T</v>
      </c>
      <c r="BB28" s="28" t="str">
        <f t="shared" si="35"/>
        <v>U</v>
      </c>
      <c r="BC28" s="28" t="str">
        <f t="shared" si="35"/>
        <v>V</v>
      </c>
      <c r="BD28" s="28" t="str">
        <f t="shared" si="35"/>
        <v>W</v>
      </c>
      <c r="BE28" s="28" t="str">
        <f t="shared" si="35"/>
        <v>X</v>
      </c>
      <c r="BF28" s="28" t="str">
        <f t="shared" si="35"/>
        <v>Y</v>
      </c>
      <c r="BG28" s="28" t="str">
        <f t="shared" si="35"/>
        <v>Z</v>
      </c>
    </row>
    <row r="29" spans="1:59" x14ac:dyDescent="0.35">
      <c r="B29" s="22"/>
      <c r="C29" s="8"/>
      <c r="E29" t="s">
        <v>387</v>
      </c>
      <c r="F29" s="15" t="str">
        <f t="shared" ref="F29:AE29" si="36">IF(F26=1,VLOOKUP(nRotorL_Rev&amp;F28,nRotorRev,4,FALSE),"")</f>
        <v>A</v>
      </c>
      <c r="G29" s="15" t="str">
        <f t="shared" si="36"/>
        <v>D</v>
      </c>
      <c r="H29" s="15" t="str">
        <f t="shared" si="36"/>
        <v>F</v>
      </c>
      <c r="I29" s="15" t="str">
        <f t="shared" si="36"/>
        <v>P</v>
      </c>
      <c r="J29" s="15" t="str">
        <f t="shared" si="36"/>
        <v>V</v>
      </c>
      <c r="K29" s="15" t="str">
        <f t="shared" si="36"/>
        <v>Z</v>
      </c>
      <c r="L29" s="15" t="str">
        <f t="shared" si="36"/>
        <v>B</v>
      </c>
      <c r="M29" s="15" t="str">
        <f t="shared" si="36"/>
        <v>E</v>
      </c>
      <c r="N29" s="15" t="str">
        <f t="shared" si="36"/>
        <v>C</v>
      </c>
      <c r="O29" s="15" t="str">
        <f t="shared" si="36"/>
        <v>K</v>
      </c>
      <c r="P29" s="15" t="str">
        <f t="shared" si="36"/>
        <v>M</v>
      </c>
      <c r="Q29" s="15" t="str">
        <f t="shared" si="36"/>
        <v>T</v>
      </c>
      <c r="R29" s="15" t="str">
        <f t="shared" si="36"/>
        <v>H</v>
      </c>
      <c r="S29" s="15" t="str">
        <f t="shared" si="36"/>
        <v>X</v>
      </c>
      <c r="T29" s="15" t="str">
        <f t="shared" si="36"/>
        <v>S</v>
      </c>
      <c r="U29" s="15" t="str">
        <f t="shared" si="36"/>
        <v>L</v>
      </c>
      <c r="V29" s="15" t="str">
        <f t="shared" si="36"/>
        <v>R</v>
      </c>
      <c r="W29" s="15" t="str">
        <f t="shared" si="36"/>
        <v>I</v>
      </c>
      <c r="X29" s="15" t="str">
        <f t="shared" si="36"/>
        <v>N</v>
      </c>
      <c r="Y29" s="15" t="str">
        <f t="shared" si="36"/>
        <v>Q</v>
      </c>
      <c r="Z29" s="15" t="str">
        <f t="shared" si="36"/>
        <v>O</v>
      </c>
      <c r="AA29" s="15" t="str">
        <f t="shared" si="36"/>
        <v>J</v>
      </c>
      <c r="AB29" s="15" t="str">
        <f t="shared" si="36"/>
        <v>U</v>
      </c>
      <c r="AC29" s="15" t="str">
        <f t="shared" si="36"/>
        <v>W</v>
      </c>
      <c r="AD29" s="15" t="str">
        <f t="shared" si="36"/>
        <v>Y</v>
      </c>
      <c r="AE29" s="15" t="str">
        <f t="shared" si="36"/>
        <v>G</v>
      </c>
      <c r="AF29" s="10"/>
      <c r="AH29" s="28" t="str">
        <f t="shared" ref="AH29:BG29" si="37">IF(LEN(AH30)=2,RIGHT(AH30,1),"")</f>
        <v>W</v>
      </c>
      <c r="AI29" s="28" t="str">
        <f t="shared" si="37"/>
        <v>Z</v>
      </c>
      <c r="AJ29" s="28" t="str">
        <f t="shared" si="37"/>
        <v>B</v>
      </c>
      <c r="AK29" s="28" t="str">
        <f t="shared" si="37"/>
        <v>L</v>
      </c>
      <c r="AL29" s="28" t="str">
        <f t="shared" si="37"/>
        <v>R</v>
      </c>
      <c r="AM29" s="28" t="str">
        <f t="shared" si="37"/>
        <v>V</v>
      </c>
      <c r="AN29" s="28" t="str">
        <f t="shared" si="37"/>
        <v>X</v>
      </c>
      <c r="AO29" s="28" t="str">
        <f t="shared" si="37"/>
        <v>A</v>
      </c>
      <c r="AP29" s="28" t="str">
        <f t="shared" si="37"/>
        <v>Y</v>
      </c>
      <c r="AQ29" s="28" t="str">
        <f t="shared" si="37"/>
        <v>G</v>
      </c>
      <c r="AR29" s="28" t="str">
        <f t="shared" si="37"/>
        <v>I</v>
      </c>
      <c r="AS29" s="28" t="str">
        <f t="shared" si="37"/>
        <v>P</v>
      </c>
      <c r="AT29" s="28" t="str">
        <f t="shared" si="37"/>
        <v>D</v>
      </c>
      <c r="AU29" s="28" t="str">
        <f t="shared" si="37"/>
        <v>T</v>
      </c>
      <c r="AV29" s="28" t="str">
        <f t="shared" si="37"/>
        <v>O</v>
      </c>
      <c r="AW29" s="28" t="str">
        <f t="shared" si="37"/>
        <v>H</v>
      </c>
      <c r="AX29" s="28" t="str">
        <f t="shared" si="37"/>
        <v>N</v>
      </c>
      <c r="AY29" s="28" t="str">
        <f t="shared" si="37"/>
        <v>E</v>
      </c>
      <c r="AZ29" s="28" t="str">
        <f t="shared" si="37"/>
        <v>J</v>
      </c>
      <c r="BA29" s="28" t="str">
        <f t="shared" si="37"/>
        <v>M</v>
      </c>
      <c r="BB29" s="28" t="str">
        <f t="shared" si="37"/>
        <v>K</v>
      </c>
      <c r="BC29" s="28" t="str">
        <f t="shared" si="37"/>
        <v>F</v>
      </c>
      <c r="BD29" s="28" t="str">
        <f t="shared" si="37"/>
        <v>Q</v>
      </c>
      <c r="BE29" s="28" t="str">
        <f t="shared" si="37"/>
        <v>S</v>
      </c>
      <c r="BF29" s="28" t="str">
        <f t="shared" si="37"/>
        <v>U</v>
      </c>
      <c r="BG29" s="28" t="str">
        <f t="shared" si="37"/>
        <v>C</v>
      </c>
    </row>
    <row r="30" spans="1:59" ht="15" thickBot="1" x14ac:dyDescent="0.4">
      <c r="B30" s="23"/>
      <c r="C30" s="16"/>
      <c r="D30" s="17"/>
      <c r="E30" s="17" t="s">
        <v>388</v>
      </c>
      <c r="F30" s="18" t="str">
        <f t="shared" ref="F30:AE30" si="38">IF(F26=1,IF(CODE(F29)-CODE(F28)&lt;0,VLOOKUP((CODE(F29)-CODE(F28)+26)+(CODE(F25)-nCharOffset),nNum2Let,2,FALSE),VLOOKUP((CODE(F29)-CODE(F28))+(CODE(F25)-nCharOffset),nNum2Let,2,FALSE)),"")</f>
        <v>W</v>
      </c>
      <c r="G30" s="18" t="str">
        <f t="shared" si="38"/>
        <v>Z</v>
      </c>
      <c r="H30" s="18" t="str">
        <f t="shared" si="38"/>
        <v>B</v>
      </c>
      <c r="I30" s="18" t="str">
        <f t="shared" si="38"/>
        <v>L</v>
      </c>
      <c r="J30" s="18" t="str">
        <f t="shared" si="38"/>
        <v>R</v>
      </c>
      <c r="K30" s="18" t="str">
        <f t="shared" si="38"/>
        <v>V</v>
      </c>
      <c r="L30" s="18" t="str">
        <f t="shared" si="38"/>
        <v>X</v>
      </c>
      <c r="M30" s="18" t="str">
        <f t="shared" si="38"/>
        <v>A</v>
      </c>
      <c r="N30" s="18" t="str">
        <f t="shared" si="38"/>
        <v>Y</v>
      </c>
      <c r="O30" s="18" t="str">
        <f t="shared" si="38"/>
        <v>G</v>
      </c>
      <c r="P30" s="18" t="str">
        <f t="shared" si="38"/>
        <v>I</v>
      </c>
      <c r="Q30" s="18" t="str">
        <f t="shared" si="38"/>
        <v>P</v>
      </c>
      <c r="R30" s="18" t="str">
        <f t="shared" si="38"/>
        <v>D</v>
      </c>
      <c r="S30" s="18" t="str">
        <f t="shared" si="38"/>
        <v>T</v>
      </c>
      <c r="T30" s="18" t="str">
        <f t="shared" si="38"/>
        <v>O</v>
      </c>
      <c r="U30" s="18" t="str">
        <f t="shared" si="38"/>
        <v>H</v>
      </c>
      <c r="V30" s="18" t="str">
        <f t="shared" si="38"/>
        <v>N</v>
      </c>
      <c r="W30" s="18" t="str">
        <f t="shared" si="38"/>
        <v>E</v>
      </c>
      <c r="X30" s="18" t="str">
        <f t="shared" si="38"/>
        <v>J</v>
      </c>
      <c r="Y30" s="18" t="str">
        <f t="shared" si="38"/>
        <v>M</v>
      </c>
      <c r="Z30" s="18" t="str">
        <f t="shared" si="38"/>
        <v>K</v>
      </c>
      <c r="AA30" s="18" t="str">
        <f t="shared" si="38"/>
        <v>F</v>
      </c>
      <c r="AB30" s="18" t="str">
        <f t="shared" si="38"/>
        <v>Q</v>
      </c>
      <c r="AC30" s="18" t="str">
        <f t="shared" si="38"/>
        <v>S</v>
      </c>
      <c r="AD30" s="18" t="str">
        <f t="shared" si="38"/>
        <v>U</v>
      </c>
      <c r="AE30" s="18" t="str">
        <f t="shared" si="38"/>
        <v>C</v>
      </c>
      <c r="AF30" s="19" t="str">
        <f>CONCATENATE(F30,G30,H30,I30,J30,K30,L30,M30,N30,O30,P30,Q30,R30,S30,T30&amp;U30,V30,W30,X30,Y30,Z30,AA30,AB30,AC30,AD30,AE30)</f>
        <v>WZBLRVXAYGIPDTOHNEJMKFQSUC</v>
      </c>
      <c r="AH30" s="12" t="str">
        <f>F25&amp;F30</f>
        <v>AW</v>
      </c>
      <c r="AI30" s="12" t="str">
        <f t="shared" ref="AI30:BG30" si="39">G25&amp;G30</f>
        <v>BZ</v>
      </c>
      <c r="AJ30" s="12" t="str">
        <f t="shared" si="39"/>
        <v>CB</v>
      </c>
      <c r="AK30" s="12" t="str">
        <f t="shared" si="39"/>
        <v>DL</v>
      </c>
      <c r="AL30" s="12" t="str">
        <f t="shared" si="39"/>
        <v>ER</v>
      </c>
      <c r="AM30" s="12" t="str">
        <f t="shared" si="39"/>
        <v>FV</v>
      </c>
      <c r="AN30" s="12" t="str">
        <f t="shared" si="39"/>
        <v>GX</v>
      </c>
      <c r="AO30" s="12" t="str">
        <f t="shared" si="39"/>
        <v>HA</v>
      </c>
      <c r="AP30" s="12" t="str">
        <f t="shared" si="39"/>
        <v>IY</v>
      </c>
      <c r="AQ30" s="12" t="str">
        <f t="shared" si="39"/>
        <v>JG</v>
      </c>
      <c r="AR30" s="12" t="str">
        <f t="shared" si="39"/>
        <v>KI</v>
      </c>
      <c r="AS30" s="12" t="str">
        <f t="shared" si="39"/>
        <v>LP</v>
      </c>
      <c r="AT30" s="12" t="str">
        <f t="shared" si="39"/>
        <v>MD</v>
      </c>
      <c r="AU30" s="12" t="str">
        <f t="shared" si="39"/>
        <v>NT</v>
      </c>
      <c r="AV30" s="12" t="str">
        <f t="shared" si="39"/>
        <v>OO</v>
      </c>
      <c r="AW30" s="12" t="str">
        <f t="shared" si="39"/>
        <v>PH</v>
      </c>
      <c r="AX30" s="12" t="str">
        <f t="shared" si="39"/>
        <v>QN</v>
      </c>
      <c r="AY30" s="12" t="str">
        <f t="shared" si="39"/>
        <v>RE</v>
      </c>
      <c r="AZ30" s="12" t="str">
        <f t="shared" si="39"/>
        <v>SJ</v>
      </c>
      <c r="BA30" s="12" t="str">
        <f t="shared" si="39"/>
        <v>TM</v>
      </c>
      <c r="BB30" s="12" t="str">
        <f t="shared" si="39"/>
        <v>UK</v>
      </c>
      <c r="BC30" s="12" t="str">
        <f t="shared" si="39"/>
        <v>VF</v>
      </c>
      <c r="BD30" s="12" t="str">
        <f t="shared" si="39"/>
        <v>WQ</v>
      </c>
      <c r="BE30" s="12" t="str">
        <f t="shared" si="39"/>
        <v>XS</v>
      </c>
      <c r="BF30" s="12" t="str">
        <f t="shared" si="39"/>
        <v>YU</v>
      </c>
      <c r="BG30" s="12" t="str">
        <f t="shared" si="39"/>
        <v>ZC</v>
      </c>
    </row>
    <row r="31" spans="1:59" x14ac:dyDescent="0.35">
      <c r="B31" s="21"/>
      <c r="C31" s="4"/>
      <c r="D31" s="5"/>
      <c r="E31" s="5" t="s">
        <v>385</v>
      </c>
      <c r="F31" s="6" t="s">
        <v>0</v>
      </c>
      <c r="G31" s="6" t="s">
        <v>1</v>
      </c>
      <c r="H31" s="6" t="s">
        <v>2</v>
      </c>
      <c r="I31" s="6" t="s">
        <v>3</v>
      </c>
      <c r="J31" s="6" t="s">
        <v>4</v>
      </c>
      <c r="K31" s="6" t="s">
        <v>5</v>
      </c>
      <c r="L31" s="6" t="s">
        <v>6</v>
      </c>
      <c r="M31" s="6" t="s">
        <v>7</v>
      </c>
      <c r="N31" s="6" t="s">
        <v>8</v>
      </c>
      <c r="O31" s="6" t="s">
        <v>9</v>
      </c>
      <c r="P31" s="6" t="s">
        <v>10</v>
      </c>
      <c r="Q31" s="6" t="s">
        <v>11</v>
      </c>
      <c r="R31" s="6" t="s">
        <v>12</v>
      </c>
      <c r="S31" s="6" t="s">
        <v>13</v>
      </c>
      <c r="T31" s="6" t="s">
        <v>14</v>
      </c>
      <c r="U31" s="6" t="s">
        <v>15</v>
      </c>
      <c r="V31" s="6" t="s">
        <v>16</v>
      </c>
      <c r="W31" s="6" t="s">
        <v>17</v>
      </c>
      <c r="X31" s="6" t="s">
        <v>18</v>
      </c>
      <c r="Y31" s="6" t="s">
        <v>19</v>
      </c>
      <c r="Z31" s="6" t="s">
        <v>20</v>
      </c>
      <c r="AA31" s="6" t="s">
        <v>21</v>
      </c>
      <c r="AB31" s="6" t="s">
        <v>22</v>
      </c>
      <c r="AC31" s="6" t="s">
        <v>23</v>
      </c>
      <c r="AD31" s="6" t="s">
        <v>24</v>
      </c>
      <c r="AE31" s="6" t="s">
        <v>25</v>
      </c>
      <c r="AF31" s="7"/>
      <c r="AH31" s="28" t="str">
        <f>HLOOKUP(AH23,$AH28:$BG29,2,FALSE)</f>
        <v>C</v>
      </c>
      <c r="AI31" s="28" t="str">
        <f>HLOOKUP(AI23,$AH28:$BG29,2,FALSE)</f>
        <v>G</v>
      </c>
      <c r="AJ31" s="28" t="str">
        <f t="shared" ref="AJ31:BG31" si="40">HLOOKUP(AJ23,$AH28:$BG29,2,FALSE)</f>
        <v>P</v>
      </c>
      <c r="AK31" s="28" t="str">
        <f t="shared" si="40"/>
        <v>Z</v>
      </c>
      <c r="AL31" s="28" t="str">
        <f t="shared" si="40"/>
        <v>E</v>
      </c>
      <c r="AM31" s="28" t="str">
        <f t="shared" si="40"/>
        <v>M</v>
      </c>
      <c r="AN31" s="28" t="str">
        <f t="shared" si="40"/>
        <v>F</v>
      </c>
      <c r="AO31" s="28" t="str">
        <f t="shared" si="40"/>
        <v>J</v>
      </c>
      <c r="AP31" s="28" t="str">
        <f t="shared" si="40"/>
        <v>I</v>
      </c>
      <c r="AQ31" s="28" t="str">
        <f t="shared" si="40"/>
        <v>R</v>
      </c>
      <c r="AR31" s="28" t="str">
        <f t="shared" si="40"/>
        <v>A</v>
      </c>
      <c r="AS31" s="28" t="str">
        <f t="shared" si="40"/>
        <v>X</v>
      </c>
      <c r="AT31" s="28" t="str">
        <f t="shared" si="40"/>
        <v>V</v>
      </c>
      <c r="AU31" s="28" t="str">
        <f t="shared" si="40"/>
        <v>U</v>
      </c>
      <c r="AV31" s="28" t="str">
        <f t="shared" si="40"/>
        <v>W</v>
      </c>
      <c r="AW31" s="28" t="str">
        <f t="shared" si="40"/>
        <v>Y</v>
      </c>
      <c r="AX31" s="28" t="str">
        <f t="shared" si="40"/>
        <v>K</v>
      </c>
      <c r="AY31" s="28" t="str">
        <f t="shared" si="40"/>
        <v>S</v>
      </c>
      <c r="AZ31" s="28" t="str">
        <f t="shared" si="40"/>
        <v>Q</v>
      </c>
      <c r="BA31" s="28" t="str">
        <f t="shared" si="40"/>
        <v>O</v>
      </c>
      <c r="BB31" s="28" t="str">
        <f t="shared" si="40"/>
        <v>T</v>
      </c>
      <c r="BC31" s="28" t="str">
        <f t="shared" si="40"/>
        <v>H</v>
      </c>
      <c r="BD31" s="28" t="str">
        <f t="shared" si="40"/>
        <v>N</v>
      </c>
      <c r="BE31" s="28" t="str">
        <f t="shared" si="40"/>
        <v>L</v>
      </c>
      <c r="BF31" s="28" t="str">
        <f t="shared" si="40"/>
        <v>B</v>
      </c>
      <c r="BG31" s="28" t="str">
        <f t="shared" si="40"/>
        <v>D</v>
      </c>
    </row>
    <row r="32" spans="1:59" x14ac:dyDescent="0.35">
      <c r="B32" s="22"/>
      <c r="C32" s="8"/>
      <c r="F32" s="1">
        <f>IF(ISERROR(FIND(F31,$AF30)),0,1)</f>
        <v>1</v>
      </c>
      <c r="G32" s="1">
        <f t="shared" ref="G32:AE32" si="41">IF(ISERROR(FIND(G31,$AF30)),0,1)</f>
        <v>1</v>
      </c>
      <c r="H32" s="1">
        <f t="shared" si="41"/>
        <v>1</v>
      </c>
      <c r="I32" s="1">
        <f t="shared" si="41"/>
        <v>1</v>
      </c>
      <c r="J32" s="1">
        <f t="shared" si="41"/>
        <v>1</v>
      </c>
      <c r="K32" s="1">
        <f t="shared" si="41"/>
        <v>1</v>
      </c>
      <c r="L32" s="1">
        <f t="shared" si="41"/>
        <v>1</v>
      </c>
      <c r="M32" s="1">
        <f t="shared" si="41"/>
        <v>1</v>
      </c>
      <c r="N32" s="1">
        <f t="shared" si="41"/>
        <v>1</v>
      </c>
      <c r="O32" s="1">
        <f t="shared" si="41"/>
        <v>1</v>
      </c>
      <c r="P32" s="1">
        <f t="shared" si="41"/>
        <v>1</v>
      </c>
      <c r="Q32" s="1">
        <f t="shared" si="41"/>
        <v>1</v>
      </c>
      <c r="R32" s="1">
        <f t="shared" si="41"/>
        <v>1</v>
      </c>
      <c r="S32" s="1">
        <f t="shared" si="41"/>
        <v>1</v>
      </c>
      <c r="T32" s="1">
        <f t="shared" si="41"/>
        <v>1</v>
      </c>
      <c r="U32" s="1">
        <f t="shared" si="41"/>
        <v>1</v>
      </c>
      <c r="V32" s="1">
        <f t="shared" si="41"/>
        <v>1</v>
      </c>
      <c r="W32" s="1">
        <f t="shared" si="41"/>
        <v>1</v>
      </c>
      <c r="X32" s="1">
        <f t="shared" si="41"/>
        <v>1</v>
      </c>
      <c r="Y32" s="1">
        <f t="shared" si="41"/>
        <v>1</v>
      </c>
      <c r="Z32" s="1">
        <f t="shared" si="41"/>
        <v>1</v>
      </c>
      <c r="AA32" s="1">
        <f t="shared" si="41"/>
        <v>1</v>
      </c>
      <c r="AB32" s="1">
        <f t="shared" si="41"/>
        <v>1</v>
      </c>
      <c r="AC32" s="1">
        <f t="shared" si="41"/>
        <v>1</v>
      </c>
      <c r="AD32" s="1">
        <f t="shared" si="41"/>
        <v>1</v>
      </c>
      <c r="AE32" s="1">
        <f t="shared" si="41"/>
        <v>1</v>
      </c>
      <c r="AF32" s="10"/>
    </row>
    <row r="33" spans="2:59" x14ac:dyDescent="0.35">
      <c r="B33" s="22" t="s">
        <v>383</v>
      </c>
      <c r="C33" s="26" t="str">
        <f>"R"&amp;C12</f>
        <v>R4</v>
      </c>
      <c r="D33" s="11">
        <f>D12</f>
        <v>142</v>
      </c>
      <c r="E33" s="11">
        <f>E12</f>
        <v>12</v>
      </c>
      <c r="F33" s="12" t="str">
        <f>F12</f>
        <v>L</v>
      </c>
      <c r="G33" s="13" t="str">
        <f t="shared" ref="G33:AE33" si="42">VLOOKUP(F33,nNextLetter,2,FALSE)</f>
        <v>M</v>
      </c>
      <c r="H33" s="13" t="str">
        <f t="shared" si="42"/>
        <v>N</v>
      </c>
      <c r="I33" s="13" t="str">
        <f t="shared" si="42"/>
        <v>O</v>
      </c>
      <c r="J33" s="13" t="str">
        <f t="shared" si="42"/>
        <v>P</v>
      </c>
      <c r="K33" s="13" t="str">
        <f t="shared" si="42"/>
        <v>Q</v>
      </c>
      <c r="L33" s="13" t="str">
        <f t="shared" si="42"/>
        <v>R</v>
      </c>
      <c r="M33" s="13" t="str">
        <f t="shared" si="42"/>
        <v>S</v>
      </c>
      <c r="N33" s="13" t="str">
        <f t="shared" si="42"/>
        <v>T</v>
      </c>
      <c r="O33" s="13" t="str">
        <f t="shared" si="42"/>
        <v>U</v>
      </c>
      <c r="P33" s="13" t="str">
        <f t="shared" si="42"/>
        <v>V</v>
      </c>
      <c r="Q33" s="13" t="str">
        <f t="shared" si="42"/>
        <v>W</v>
      </c>
      <c r="R33" s="13" t="str">
        <f t="shared" si="42"/>
        <v>X</v>
      </c>
      <c r="S33" s="13" t="str">
        <f t="shared" si="42"/>
        <v>Y</v>
      </c>
      <c r="T33" s="13" t="str">
        <f t="shared" si="42"/>
        <v>Z</v>
      </c>
      <c r="U33" s="13" t="str">
        <f t="shared" si="42"/>
        <v>A</v>
      </c>
      <c r="V33" s="13" t="str">
        <f t="shared" si="42"/>
        <v>B</v>
      </c>
      <c r="W33" s="13" t="str">
        <f t="shared" si="42"/>
        <v>C</v>
      </c>
      <c r="X33" s="13" t="str">
        <f t="shared" si="42"/>
        <v>D</v>
      </c>
      <c r="Y33" s="13" t="str">
        <f t="shared" si="42"/>
        <v>E</v>
      </c>
      <c r="Z33" s="13" t="str">
        <f t="shared" si="42"/>
        <v>F</v>
      </c>
      <c r="AA33" s="13" t="str">
        <f t="shared" si="42"/>
        <v>G</v>
      </c>
      <c r="AB33" s="13" t="str">
        <f t="shared" si="42"/>
        <v>H</v>
      </c>
      <c r="AC33" s="13" t="str">
        <f t="shared" si="42"/>
        <v>I</v>
      </c>
      <c r="AD33" s="13" t="str">
        <f t="shared" si="42"/>
        <v>J</v>
      </c>
      <c r="AE33" s="13" t="str">
        <f t="shared" si="42"/>
        <v>K</v>
      </c>
      <c r="AF33" s="10"/>
    </row>
    <row r="34" spans="2:59" x14ac:dyDescent="0.35">
      <c r="B34" s="22"/>
      <c r="C34" s="8"/>
      <c r="E34" t="s">
        <v>386</v>
      </c>
      <c r="F34" s="14" t="str">
        <f t="shared" ref="F34:AE34" si="43">IF(F32=1,VLOOKUP(nCurPosM+nRingOffsetM+(CODE(F31)-nCharOffset)-1,nNum2Let,2,FALSE),"")</f>
        <v>L</v>
      </c>
      <c r="G34" s="14" t="str">
        <f t="shared" si="43"/>
        <v>M</v>
      </c>
      <c r="H34" s="14" t="str">
        <f t="shared" si="43"/>
        <v>N</v>
      </c>
      <c r="I34" s="14" t="str">
        <f t="shared" si="43"/>
        <v>O</v>
      </c>
      <c r="J34" s="14" t="str">
        <f t="shared" si="43"/>
        <v>P</v>
      </c>
      <c r="K34" s="14" t="str">
        <f t="shared" si="43"/>
        <v>Q</v>
      </c>
      <c r="L34" s="14" t="str">
        <f t="shared" si="43"/>
        <v>R</v>
      </c>
      <c r="M34" s="14" t="str">
        <f t="shared" si="43"/>
        <v>S</v>
      </c>
      <c r="N34" s="14" t="str">
        <f t="shared" si="43"/>
        <v>T</v>
      </c>
      <c r="O34" s="14" t="str">
        <f t="shared" si="43"/>
        <v>U</v>
      </c>
      <c r="P34" s="14" t="str">
        <f t="shared" si="43"/>
        <v>V</v>
      </c>
      <c r="Q34" s="14" t="str">
        <f t="shared" si="43"/>
        <v>W</v>
      </c>
      <c r="R34" s="14" t="str">
        <f t="shared" si="43"/>
        <v>X</v>
      </c>
      <c r="S34" s="14" t="str">
        <f t="shared" si="43"/>
        <v>Y</v>
      </c>
      <c r="T34" s="14" t="str">
        <f t="shared" si="43"/>
        <v>Z</v>
      </c>
      <c r="U34" s="14" t="str">
        <f t="shared" si="43"/>
        <v>A</v>
      </c>
      <c r="V34" s="14" t="str">
        <f t="shared" si="43"/>
        <v>B</v>
      </c>
      <c r="W34" s="14" t="str">
        <f t="shared" si="43"/>
        <v>C</v>
      </c>
      <c r="X34" s="14" t="str">
        <f t="shared" si="43"/>
        <v>D</v>
      </c>
      <c r="Y34" s="14" t="str">
        <f t="shared" si="43"/>
        <v>E</v>
      </c>
      <c r="Z34" s="14" t="str">
        <f t="shared" si="43"/>
        <v>F</v>
      </c>
      <c r="AA34" s="14" t="str">
        <f t="shared" si="43"/>
        <v>G</v>
      </c>
      <c r="AB34" s="14" t="str">
        <f t="shared" si="43"/>
        <v>H</v>
      </c>
      <c r="AC34" s="14" t="str">
        <f t="shared" si="43"/>
        <v>I</v>
      </c>
      <c r="AD34" s="14" t="str">
        <f t="shared" si="43"/>
        <v>J</v>
      </c>
      <c r="AE34" s="14" t="str">
        <f t="shared" si="43"/>
        <v>K</v>
      </c>
      <c r="AF34" s="10"/>
      <c r="AH34" s="28" t="str">
        <f t="shared" ref="AH34:BG34" si="44">IF(LEN(AH36)=2,LEFT(AH36,1),"")</f>
        <v>A</v>
      </c>
      <c r="AI34" s="28" t="str">
        <f t="shared" si="44"/>
        <v>B</v>
      </c>
      <c r="AJ34" s="28" t="str">
        <f t="shared" si="44"/>
        <v>C</v>
      </c>
      <c r="AK34" s="28" t="str">
        <f t="shared" si="44"/>
        <v>D</v>
      </c>
      <c r="AL34" s="28" t="str">
        <f t="shared" si="44"/>
        <v>E</v>
      </c>
      <c r="AM34" s="28" t="str">
        <f t="shared" si="44"/>
        <v>F</v>
      </c>
      <c r="AN34" s="28" t="str">
        <f t="shared" si="44"/>
        <v>G</v>
      </c>
      <c r="AO34" s="28" t="str">
        <f t="shared" si="44"/>
        <v>H</v>
      </c>
      <c r="AP34" s="28" t="str">
        <f t="shared" si="44"/>
        <v>I</v>
      </c>
      <c r="AQ34" s="28" t="str">
        <f t="shared" si="44"/>
        <v>J</v>
      </c>
      <c r="AR34" s="28" t="str">
        <f t="shared" si="44"/>
        <v>K</v>
      </c>
      <c r="AS34" s="28" t="str">
        <f t="shared" si="44"/>
        <v>L</v>
      </c>
      <c r="AT34" s="28" t="str">
        <f t="shared" si="44"/>
        <v>M</v>
      </c>
      <c r="AU34" s="28" t="str">
        <f t="shared" si="44"/>
        <v>N</v>
      </c>
      <c r="AV34" s="28" t="str">
        <f t="shared" si="44"/>
        <v>O</v>
      </c>
      <c r="AW34" s="28" t="str">
        <f t="shared" si="44"/>
        <v>P</v>
      </c>
      <c r="AX34" s="28" t="str">
        <f t="shared" si="44"/>
        <v>Q</v>
      </c>
      <c r="AY34" s="28" t="str">
        <f t="shared" si="44"/>
        <v>R</v>
      </c>
      <c r="AZ34" s="28" t="str">
        <f t="shared" si="44"/>
        <v>S</v>
      </c>
      <c r="BA34" s="28" t="str">
        <f t="shared" si="44"/>
        <v>T</v>
      </c>
      <c r="BB34" s="28" t="str">
        <f t="shared" si="44"/>
        <v>U</v>
      </c>
      <c r="BC34" s="28" t="str">
        <f t="shared" si="44"/>
        <v>V</v>
      </c>
      <c r="BD34" s="28" t="str">
        <f t="shared" si="44"/>
        <v>W</v>
      </c>
      <c r="BE34" s="28" t="str">
        <f t="shared" si="44"/>
        <v>X</v>
      </c>
      <c r="BF34" s="28" t="str">
        <f t="shared" si="44"/>
        <v>Y</v>
      </c>
      <c r="BG34" s="28" t="str">
        <f t="shared" si="44"/>
        <v>Z</v>
      </c>
    </row>
    <row r="35" spans="2:59" x14ac:dyDescent="0.35">
      <c r="B35" s="22"/>
      <c r="C35" s="8"/>
      <c r="E35" t="s">
        <v>387</v>
      </c>
      <c r="F35" s="15" t="str">
        <f t="shared" ref="F35:AE35" si="45">IF(F32=1,VLOOKUP(nRotorM_Rev&amp;F34,nRotorRev,4,FALSE),"")</f>
        <v>P</v>
      </c>
      <c r="G35" s="15" t="str">
        <f t="shared" si="45"/>
        <v>X</v>
      </c>
      <c r="H35" s="15" t="str">
        <f t="shared" si="45"/>
        <v>Q</v>
      </c>
      <c r="I35" s="15" t="str">
        <f t="shared" si="45"/>
        <v>C</v>
      </c>
      <c r="J35" s="15" t="str">
        <f t="shared" si="45"/>
        <v>E</v>
      </c>
      <c r="K35" s="15" t="str">
        <f t="shared" si="45"/>
        <v>J</v>
      </c>
      <c r="L35" s="15" t="str">
        <f t="shared" si="45"/>
        <v>M</v>
      </c>
      <c r="M35" s="15" t="str">
        <f t="shared" si="45"/>
        <v>B</v>
      </c>
      <c r="N35" s="15" t="str">
        <f t="shared" si="45"/>
        <v>S</v>
      </c>
      <c r="O35" s="15" t="str">
        <f t="shared" si="45"/>
        <v>K</v>
      </c>
      <c r="P35" s="15" t="str">
        <f t="shared" si="45"/>
        <v>D</v>
      </c>
      <c r="Q35" s="15" t="str">
        <f t="shared" si="45"/>
        <v>Y</v>
      </c>
      <c r="R35" s="15" t="str">
        <f t="shared" si="45"/>
        <v>O</v>
      </c>
      <c r="S35" s="15" t="str">
        <f t="shared" si="45"/>
        <v>I</v>
      </c>
      <c r="T35" s="15" t="str">
        <f t="shared" si="45"/>
        <v>F</v>
      </c>
      <c r="U35" s="15" t="str">
        <f t="shared" si="45"/>
        <v>H</v>
      </c>
      <c r="V35" s="15" t="str">
        <f t="shared" si="45"/>
        <v>Z</v>
      </c>
      <c r="W35" s="15" t="str">
        <f t="shared" si="45"/>
        <v>W</v>
      </c>
      <c r="X35" s="15" t="str">
        <f t="shared" si="45"/>
        <v>V</v>
      </c>
      <c r="Y35" s="15" t="str">
        <f t="shared" si="45"/>
        <v>A</v>
      </c>
      <c r="Z35" s="15" t="str">
        <f t="shared" si="45"/>
        <v>R</v>
      </c>
      <c r="AA35" s="15" t="str">
        <f t="shared" si="45"/>
        <v>T</v>
      </c>
      <c r="AB35" s="15" t="str">
        <f t="shared" si="45"/>
        <v>N</v>
      </c>
      <c r="AC35" s="15" t="str">
        <f t="shared" si="45"/>
        <v>L</v>
      </c>
      <c r="AD35" s="15" t="str">
        <f t="shared" si="45"/>
        <v>G</v>
      </c>
      <c r="AE35" s="15" t="str">
        <f t="shared" si="45"/>
        <v>U</v>
      </c>
      <c r="AF35" s="10"/>
      <c r="AH35" s="28" t="str">
        <f t="shared" ref="AH35:BG35" si="46">IF(LEN(AH36)=2,RIGHT(AH36,1),"")</f>
        <v>E</v>
      </c>
      <c r="AI35" s="28" t="str">
        <f t="shared" si="46"/>
        <v>M</v>
      </c>
      <c r="AJ35" s="28" t="str">
        <f t="shared" si="46"/>
        <v>F</v>
      </c>
      <c r="AK35" s="28" t="str">
        <f t="shared" si="46"/>
        <v>R</v>
      </c>
      <c r="AL35" s="28" t="str">
        <f t="shared" si="46"/>
        <v>T</v>
      </c>
      <c r="AM35" s="28" t="str">
        <f t="shared" si="46"/>
        <v>Y</v>
      </c>
      <c r="AN35" s="28" t="str">
        <f t="shared" si="46"/>
        <v>B</v>
      </c>
      <c r="AO35" s="28" t="str">
        <f t="shared" si="46"/>
        <v>Q</v>
      </c>
      <c r="AP35" s="28" t="str">
        <f t="shared" si="46"/>
        <v>H</v>
      </c>
      <c r="AQ35" s="28" t="str">
        <f t="shared" si="46"/>
        <v>Z</v>
      </c>
      <c r="AR35" s="28" t="str">
        <f t="shared" si="46"/>
        <v>S</v>
      </c>
      <c r="AS35" s="28" t="str">
        <f t="shared" si="46"/>
        <v>N</v>
      </c>
      <c r="AT35" s="28" t="str">
        <f t="shared" si="46"/>
        <v>D</v>
      </c>
      <c r="AU35" s="28" t="str">
        <f t="shared" si="46"/>
        <v>X</v>
      </c>
      <c r="AV35" s="28" t="str">
        <f t="shared" si="46"/>
        <v>U</v>
      </c>
      <c r="AW35" s="28" t="str">
        <f t="shared" si="46"/>
        <v>W</v>
      </c>
      <c r="AX35" s="28" t="str">
        <f t="shared" si="46"/>
        <v>O</v>
      </c>
      <c r="AY35" s="28" t="str">
        <f t="shared" si="46"/>
        <v>L</v>
      </c>
      <c r="AZ35" s="28" t="str">
        <f t="shared" si="46"/>
        <v>K</v>
      </c>
      <c r="BA35" s="28" t="str">
        <f t="shared" si="46"/>
        <v>P</v>
      </c>
      <c r="BB35" s="28" t="str">
        <f t="shared" si="46"/>
        <v>G</v>
      </c>
      <c r="BC35" s="28" t="str">
        <f t="shared" si="46"/>
        <v>I</v>
      </c>
      <c r="BD35" s="28" t="str">
        <f t="shared" si="46"/>
        <v>C</v>
      </c>
      <c r="BE35" s="28" t="str">
        <f t="shared" si="46"/>
        <v>A</v>
      </c>
      <c r="BF35" s="28" t="str">
        <f t="shared" si="46"/>
        <v>V</v>
      </c>
      <c r="BG35" s="28" t="str">
        <f t="shared" si="46"/>
        <v>J</v>
      </c>
    </row>
    <row r="36" spans="2:59" ht="15" thickBot="1" x14ac:dyDescent="0.4">
      <c r="B36" s="23"/>
      <c r="C36" s="16"/>
      <c r="D36" s="17"/>
      <c r="E36" s="17" t="s">
        <v>388</v>
      </c>
      <c r="F36" s="18" t="str">
        <f t="shared" ref="F36:AE36" si="47">IF(F32=1,IF(CODE(F35)-CODE(F34)&lt;0,VLOOKUP((CODE(F35)-CODE(F34)+26)+(CODE(F31)-nCharOffset),nNum2Let,2,FALSE),VLOOKUP((CODE(F35)-CODE(F34))+(CODE(F31)-nCharOffset),nNum2Let,2,FALSE)),"")</f>
        <v>E</v>
      </c>
      <c r="G36" s="18" t="str">
        <f t="shared" si="47"/>
        <v>M</v>
      </c>
      <c r="H36" s="18" t="str">
        <f t="shared" si="47"/>
        <v>F</v>
      </c>
      <c r="I36" s="18" t="str">
        <f t="shared" si="47"/>
        <v>R</v>
      </c>
      <c r="J36" s="18" t="str">
        <f t="shared" si="47"/>
        <v>T</v>
      </c>
      <c r="K36" s="18" t="str">
        <f t="shared" si="47"/>
        <v>Y</v>
      </c>
      <c r="L36" s="18" t="str">
        <f t="shared" si="47"/>
        <v>B</v>
      </c>
      <c r="M36" s="18" t="str">
        <f t="shared" si="47"/>
        <v>Q</v>
      </c>
      <c r="N36" s="18" t="str">
        <f t="shared" si="47"/>
        <v>H</v>
      </c>
      <c r="O36" s="18" t="str">
        <f t="shared" si="47"/>
        <v>Z</v>
      </c>
      <c r="P36" s="18" t="str">
        <f t="shared" si="47"/>
        <v>S</v>
      </c>
      <c r="Q36" s="18" t="str">
        <f t="shared" si="47"/>
        <v>N</v>
      </c>
      <c r="R36" s="18" t="str">
        <f t="shared" si="47"/>
        <v>D</v>
      </c>
      <c r="S36" s="18" t="str">
        <f t="shared" si="47"/>
        <v>X</v>
      </c>
      <c r="T36" s="18" t="str">
        <f t="shared" si="47"/>
        <v>U</v>
      </c>
      <c r="U36" s="18" t="str">
        <f t="shared" si="47"/>
        <v>W</v>
      </c>
      <c r="V36" s="18" t="str">
        <f t="shared" si="47"/>
        <v>O</v>
      </c>
      <c r="W36" s="18" t="str">
        <f t="shared" si="47"/>
        <v>L</v>
      </c>
      <c r="X36" s="18" t="str">
        <f t="shared" si="47"/>
        <v>K</v>
      </c>
      <c r="Y36" s="18" t="str">
        <f t="shared" si="47"/>
        <v>P</v>
      </c>
      <c r="Z36" s="18" t="str">
        <f t="shared" si="47"/>
        <v>G</v>
      </c>
      <c r="AA36" s="18" t="str">
        <f t="shared" si="47"/>
        <v>I</v>
      </c>
      <c r="AB36" s="18" t="str">
        <f t="shared" si="47"/>
        <v>C</v>
      </c>
      <c r="AC36" s="18" t="str">
        <f t="shared" si="47"/>
        <v>A</v>
      </c>
      <c r="AD36" s="18" t="str">
        <f t="shared" si="47"/>
        <v>V</v>
      </c>
      <c r="AE36" s="18" t="str">
        <f t="shared" si="47"/>
        <v>J</v>
      </c>
      <c r="AF36" s="19" t="str">
        <f>CONCATENATE(F36,G36,H36,I36,J36,K36,L36,M36,N36,O36,P36,Q36,R36,S36,T36&amp;U36,V36,W36,X36,Y36,Z36,AA36,AB36,AC36,AD36,AE36)</f>
        <v>EMFRTYBQHZSNDXUWOLKPGICAVJ</v>
      </c>
      <c r="AH36" s="12" t="str">
        <f>F31&amp;F36</f>
        <v>AE</v>
      </c>
      <c r="AI36" s="12" t="str">
        <f t="shared" ref="AI36:BG36" si="48">G31&amp;G36</f>
        <v>BM</v>
      </c>
      <c r="AJ36" s="12" t="str">
        <f t="shared" si="48"/>
        <v>CF</v>
      </c>
      <c r="AK36" s="12" t="str">
        <f t="shared" si="48"/>
        <v>DR</v>
      </c>
      <c r="AL36" s="12" t="str">
        <f t="shared" si="48"/>
        <v>ET</v>
      </c>
      <c r="AM36" s="12" t="str">
        <f t="shared" si="48"/>
        <v>FY</v>
      </c>
      <c r="AN36" s="12" t="str">
        <f t="shared" si="48"/>
        <v>GB</v>
      </c>
      <c r="AO36" s="12" t="str">
        <f t="shared" si="48"/>
        <v>HQ</v>
      </c>
      <c r="AP36" s="12" t="str">
        <f t="shared" si="48"/>
        <v>IH</v>
      </c>
      <c r="AQ36" s="12" t="str">
        <f t="shared" si="48"/>
        <v>JZ</v>
      </c>
      <c r="AR36" s="12" t="str">
        <f t="shared" si="48"/>
        <v>KS</v>
      </c>
      <c r="AS36" s="12" t="str">
        <f t="shared" si="48"/>
        <v>LN</v>
      </c>
      <c r="AT36" s="12" t="str">
        <f t="shared" si="48"/>
        <v>MD</v>
      </c>
      <c r="AU36" s="12" t="str">
        <f t="shared" si="48"/>
        <v>NX</v>
      </c>
      <c r="AV36" s="12" t="str">
        <f t="shared" si="48"/>
        <v>OU</v>
      </c>
      <c r="AW36" s="12" t="str">
        <f t="shared" si="48"/>
        <v>PW</v>
      </c>
      <c r="AX36" s="12" t="str">
        <f t="shared" si="48"/>
        <v>QO</v>
      </c>
      <c r="AY36" s="12" t="str">
        <f t="shared" si="48"/>
        <v>RL</v>
      </c>
      <c r="AZ36" s="12" t="str">
        <f t="shared" si="48"/>
        <v>SK</v>
      </c>
      <c r="BA36" s="12" t="str">
        <f t="shared" si="48"/>
        <v>TP</v>
      </c>
      <c r="BB36" s="12" t="str">
        <f t="shared" si="48"/>
        <v>UG</v>
      </c>
      <c r="BC36" s="12" t="str">
        <f t="shared" si="48"/>
        <v>VI</v>
      </c>
      <c r="BD36" s="12" t="str">
        <f t="shared" si="48"/>
        <v>WC</v>
      </c>
      <c r="BE36" s="12" t="str">
        <f t="shared" si="48"/>
        <v>XA</v>
      </c>
      <c r="BF36" s="12" t="str">
        <f t="shared" si="48"/>
        <v>YV</v>
      </c>
      <c r="BG36" s="12" t="str">
        <f t="shared" si="48"/>
        <v>ZJ</v>
      </c>
    </row>
    <row r="37" spans="2:59" x14ac:dyDescent="0.35">
      <c r="B37" s="21"/>
      <c r="C37" s="4"/>
      <c r="D37" s="5"/>
      <c r="E37" s="5" t="s">
        <v>385</v>
      </c>
      <c r="F37" s="6" t="s">
        <v>0</v>
      </c>
      <c r="G37" s="6" t="s">
        <v>1</v>
      </c>
      <c r="H37" s="6" t="s">
        <v>2</v>
      </c>
      <c r="I37" s="6" t="s">
        <v>3</v>
      </c>
      <c r="J37" s="6" t="s">
        <v>4</v>
      </c>
      <c r="K37" s="6" t="s">
        <v>5</v>
      </c>
      <c r="L37" s="6" t="s">
        <v>6</v>
      </c>
      <c r="M37" s="6" t="s">
        <v>7</v>
      </c>
      <c r="N37" s="6" t="s">
        <v>8</v>
      </c>
      <c r="O37" s="6" t="s">
        <v>9</v>
      </c>
      <c r="P37" s="6" t="s">
        <v>10</v>
      </c>
      <c r="Q37" s="6" t="s">
        <v>11</v>
      </c>
      <c r="R37" s="6" t="s">
        <v>12</v>
      </c>
      <c r="S37" s="6" t="s">
        <v>13</v>
      </c>
      <c r="T37" s="6" t="s">
        <v>14</v>
      </c>
      <c r="U37" s="6" t="s">
        <v>15</v>
      </c>
      <c r="V37" s="6" t="s">
        <v>16</v>
      </c>
      <c r="W37" s="6" t="s">
        <v>17</v>
      </c>
      <c r="X37" s="6" t="s">
        <v>18</v>
      </c>
      <c r="Y37" s="6" t="s">
        <v>19</v>
      </c>
      <c r="Z37" s="6" t="s">
        <v>20</v>
      </c>
      <c r="AA37" s="6" t="s">
        <v>21</v>
      </c>
      <c r="AB37" s="6" t="s">
        <v>22</v>
      </c>
      <c r="AC37" s="6" t="s">
        <v>23</v>
      </c>
      <c r="AD37" s="6" t="s">
        <v>24</v>
      </c>
      <c r="AE37" s="6" t="s">
        <v>25</v>
      </c>
      <c r="AF37" s="20"/>
      <c r="AH37" s="28" t="str">
        <f>HLOOKUP(AH31,$AH34:$BG35,2,FALSE)</f>
        <v>F</v>
      </c>
      <c r="AI37" s="28" t="str">
        <f>HLOOKUP(AI31,$AH34:$BG35,2,FALSE)</f>
        <v>B</v>
      </c>
      <c r="AJ37" s="28" t="str">
        <f>HLOOKUP(AJ31,$AH34:$BG35,2,FALSE)</f>
        <v>W</v>
      </c>
      <c r="AK37" s="28" t="str">
        <f t="shared" ref="AK37:BG37" si="49">HLOOKUP(AK31,$AH34:$BG35,2,FALSE)</f>
        <v>J</v>
      </c>
      <c r="AL37" s="28" t="str">
        <f t="shared" si="49"/>
        <v>T</v>
      </c>
      <c r="AM37" s="28" t="str">
        <f t="shared" si="49"/>
        <v>D</v>
      </c>
      <c r="AN37" s="28" t="str">
        <f t="shared" si="49"/>
        <v>Y</v>
      </c>
      <c r="AO37" s="28" t="str">
        <f t="shared" si="49"/>
        <v>Z</v>
      </c>
      <c r="AP37" s="28" t="str">
        <f t="shared" si="49"/>
        <v>H</v>
      </c>
      <c r="AQ37" s="28" t="str">
        <f t="shared" si="49"/>
        <v>L</v>
      </c>
      <c r="AR37" s="28" t="str">
        <f t="shared" si="49"/>
        <v>E</v>
      </c>
      <c r="AS37" s="28" t="str">
        <f t="shared" si="49"/>
        <v>A</v>
      </c>
      <c r="AT37" s="28" t="str">
        <f t="shared" si="49"/>
        <v>I</v>
      </c>
      <c r="AU37" s="28" t="str">
        <f t="shared" si="49"/>
        <v>G</v>
      </c>
      <c r="AV37" s="28" t="str">
        <f t="shared" si="49"/>
        <v>C</v>
      </c>
      <c r="AW37" s="28" t="str">
        <f t="shared" si="49"/>
        <v>V</v>
      </c>
      <c r="AX37" s="28" t="str">
        <f t="shared" si="49"/>
        <v>S</v>
      </c>
      <c r="AY37" s="28" t="str">
        <f t="shared" si="49"/>
        <v>K</v>
      </c>
      <c r="AZ37" s="28" t="str">
        <f t="shared" si="49"/>
        <v>O</v>
      </c>
      <c r="BA37" s="28" t="str">
        <f t="shared" si="49"/>
        <v>U</v>
      </c>
      <c r="BB37" s="28" t="str">
        <f t="shared" si="49"/>
        <v>P</v>
      </c>
      <c r="BC37" s="28" t="str">
        <f t="shared" si="49"/>
        <v>Q</v>
      </c>
      <c r="BD37" s="28" t="str">
        <f t="shared" si="49"/>
        <v>X</v>
      </c>
      <c r="BE37" s="28" t="str">
        <f t="shared" si="49"/>
        <v>N</v>
      </c>
      <c r="BF37" s="28" t="str">
        <f t="shared" si="49"/>
        <v>M</v>
      </c>
      <c r="BG37" s="28" t="str">
        <f t="shared" si="49"/>
        <v>R</v>
      </c>
    </row>
    <row r="38" spans="2:59" x14ac:dyDescent="0.35">
      <c r="B38" s="22"/>
      <c r="C38" s="8"/>
      <c r="F38" s="1">
        <f t="shared" ref="F38:AE38" si="50">IF(ISERROR(FIND(F37,$AF36)),0,1)</f>
        <v>1</v>
      </c>
      <c r="G38" s="1">
        <f t="shared" si="50"/>
        <v>1</v>
      </c>
      <c r="H38" s="1">
        <f t="shared" si="50"/>
        <v>1</v>
      </c>
      <c r="I38" s="1">
        <f t="shared" si="50"/>
        <v>1</v>
      </c>
      <c r="J38" s="1">
        <f t="shared" si="50"/>
        <v>1</v>
      </c>
      <c r="K38" s="1">
        <f t="shared" si="50"/>
        <v>1</v>
      </c>
      <c r="L38" s="1">
        <f t="shared" si="50"/>
        <v>1</v>
      </c>
      <c r="M38" s="1">
        <f t="shared" si="50"/>
        <v>1</v>
      </c>
      <c r="N38" s="1">
        <f t="shared" si="50"/>
        <v>1</v>
      </c>
      <c r="O38" s="1">
        <f t="shared" si="50"/>
        <v>1</v>
      </c>
      <c r="P38" s="1">
        <f t="shared" si="50"/>
        <v>1</v>
      </c>
      <c r="Q38" s="1">
        <f t="shared" si="50"/>
        <v>1</v>
      </c>
      <c r="R38" s="1">
        <f t="shared" si="50"/>
        <v>1</v>
      </c>
      <c r="S38" s="1">
        <f t="shared" si="50"/>
        <v>1</v>
      </c>
      <c r="T38" s="1">
        <f t="shared" si="50"/>
        <v>1</v>
      </c>
      <c r="U38" s="1">
        <f t="shared" si="50"/>
        <v>1</v>
      </c>
      <c r="V38" s="1">
        <f t="shared" si="50"/>
        <v>1</v>
      </c>
      <c r="W38" s="1">
        <f t="shared" si="50"/>
        <v>1</v>
      </c>
      <c r="X38" s="1">
        <f t="shared" si="50"/>
        <v>1</v>
      </c>
      <c r="Y38" s="1">
        <f t="shared" si="50"/>
        <v>1</v>
      </c>
      <c r="Z38" s="1">
        <f t="shared" si="50"/>
        <v>1</v>
      </c>
      <c r="AA38" s="1">
        <f t="shared" si="50"/>
        <v>1</v>
      </c>
      <c r="AB38" s="1">
        <f t="shared" si="50"/>
        <v>1</v>
      </c>
      <c r="AC38" s="1">
        <f t="shared" si="50"/>
        <v>1</v>
      </c>
      <c r="AD38" s="1">
        <f t="shared" si="50"/>
        <v>1</v>
      </c>
      <c r="AE38" s="1">
        <f t="shared" si="50"/>
        <v>1</v>
      </c>
      <c r="AF38" s="10"/>
    </row>
    <row r="39" spans="2:59" x14ac:dyDescent="0.35">
      <c r="B39" s="22" t="s">
        <v>384</v>
      </c>
      <c r="C39" s="26" t="str">
        <f>"R"&amp;C6</f>
        <v>R2</v>
      </c>
      <c r="D39" s="11">
        <f>D6</f>
        <v>3714</v>
      </c>
      <c r="E39" s="11">
        <f>E6</f>
        <v>22</v>
      </c>
      <c r="F39" s="12" t="str">
        <f>F6</f>
        <v>V</v>
      </c>
      <c r="G39" s="13" t="str">
        <f t="shared" ref="G39:AE39" si="51">VLOOKUP(F39,nNextLetter,2,FALSE)</f>
        <v>W</v>
      </c>
      <c r="H39" s="13" t="str">
        <f t="shared" si="51"/>
        <v>X</v>
      </c>
      <c r="I39" s="13" t="str">
        <f t="shared" si="51"/>
        <v>Y</v>
      </c>
      <c r="J39" s="13" t="str">
        <f t="shared" si="51"/>
        <v>Z</v>
      </c>
      <c r="K39" s="13" t="str">
        <f t="shared" si="51"/>
        <v>A</v>
      </c>
      <c r="L39" s="13" t="str">
        <f t="shared" si="51"/>
        <v>B</v>
      </c>
      <c r="M39" s="13" t="str">
        <f t="shared" si="51"/>
        <v>C</v>
      </c>
      <c r="N39" s="13" t="str">
        <f t="shared" si="51"/>
        <v>D</v>
      </c>
      <c r="O39" s="13" t="str">
        <f t="shared" si="51"/>
        <v>E</v>
      </c>
      <c r="P39" s="13" t="str">
        <f t="shared" si="51"/>
        <v>F</v>
      </c>
      <c r="Q39" s="13" t="str">
        <f t="shared" si="51"/>
        <v>G</v>
      </c>
      <c r="R39" s="13" t="str">
        <f t="shared" si="51"/>
        <v>H</v>
      </c>
      <c r="S39" s="13" t="str">
        <f t="shared" si="51"/>
        <v>I</v>
      </c>
      <c r="T39" s="13" t="str">
        <f t="shared" si="51"/>
        <v>J</v>
      </c>
      <c r="U39" s="13" t="str">
        <f t="shared" si="51"/>
        <v>K</v>
      </c>
      <c r="V39" s="13" t="str">
        <f t="shared" si="51"/>
        <v>L</v>
      </c>
      <c r="W39" s="13" t="str">
        <f t="shared" si="51"/>
        <v>M</v>
      </c>
      <c r="X39" s="13" t="str">
        <f t="shared" si="51"/>
        <v>N</v>
      </c>
      <c r="Y39" s="13" t="str">
        <f t="shared" si="51"/>
        <v>O</v>
      </c>
      <c r="Z39" s="13" t="str">
        <f t="shared" si="51"/>
        <v>P</v>
      </c>
      <c r="AA39" s="13" t="str">
        <f t="shared" si="51"/>
        <v>Q</v>
      </c>
      <c r="AB39" s="13" t="str">
        <f t="shared" si="51"/>
        <v>R</v>
      </c>
      <c r="AC39" s="13" t="str">
        <f t="shared" si="51"/>
        <v>S</v>
      </c>
      <c r="AD39" s="13" t="str">
        <f t="shared" si="51"/>
        <v>T</v>
      </c>
      <c r="AE39" s="13" t="str">
        <f t="shared" si="51"/>
        <v>U</v>
      </c>
      <c r="AF39" s="10"/>
    </row>
    <row r="40" spans="2:59" x14ac:dyDescent="0.35">
      <c r="B40" s="22"/>
      <c r="C40" s="8"/>
      <c r="E40" t="s">
        <v>386</v>
      </c>
      <c r="F40" s="14" t="str">
        <f t="shared" ref="F40:AE40" si="52">IF(F38=1,VLOOKUP(nCurPosR+nRingOffsetR+(CODE(F37)-nCharOffset)-1,nNum2Let,2,FALSE),"")</f>
        <v>V</v>
      </c>
      <c r="G40" s="14" t="str">
        <f t="shared" si="52"/>
        <v>W</v>
      </c>
      <c r="H40" s="14" t="str">
        <f t="shared" si="52"/>
        <v>X</v>
      </c>
      <c r="I40" s="14" t="str">
        <f t="shared" si="52"/>
        <v>Y</v>
      </c>
      <c r="J40" s="14" t="str">
        <f t="shared" si="52"/>
        <v>Z</v>
      </c>
      <c r="K40" s="14" t="str">
        <f t="shared" si="52"/>
        <v>A</v>
      </c>
      <c r="L40" s="14" t="str">
        <f t="shared" si="52"/>
        <v>B</v>
      </c>
      <c r="M40" s="14" t="str">
        <f t="shared" si="52"/>
        <v>C</v>
      </c>
      <c r="N40" s="14" t="str">
        <f t="shared" si="52"/>
        <v>D</v>
      </c>
      <c r="O40" s="14" t="str">
        <f t="shared" si="52"/>
        <v>E</v>
      </c>
      <c r="P40" s="14" t="str">
        <f t="shared" si="52"/>
        <v>F</v>
      </c>
      <c r="Q40" s="14" t="str">
        <f t="shared" si="52"/>
        <v>G</v>
      </c>
      <c r="R40" s="14" t="str">
        <f t="shared" si="52"/>
        <v>H</v>
      </c>
      <c r="S40" s="14" t="str">
        <f t="shared" si="52"/>
        <v>I</v>
      </c>
      <c r="T40" s="14" t="str">
        <f t="shared" si="52"/>
        <v>J</v>
      </c>
      <c r="U40" s="14" t="str">
        <f t="shared" si="52"/>
        <v>K</v>
      </c>
      <c r="V40" s="14" t="str">
        <f t="shared" si="52"/>
        <v>L</v>
      </c>
      <c r="W40" s="14" t="str">
        <f t="shared" si="52"/>
        <v>M</v>
      </c>
      <c r="X40" s="14" t="str">
        <f t="shared" si="52"/>
        <v>N</v>
      </c>
      <c r="Y40" s="14" t="str">
        <f t="shared" si="52"/>
        <v>O</v>
      </c>
      <c r="Z40" s="14" t="str">
        <f t="shared" si="52"/>
        <v>P</v>
      </c>
      <c r="AA40" s="14" t="str">
        <f t="shared" si="52"/>
        <v>Q</v>
      </c>
      <c r="AB40" s="14" t="str">
        <f t="shared" si="52"/>
        <v>R</v>
      </c>
      <c r="AC40" s="14" t="str">
        <f t="shared" si="52"/>
        <v>S</v>
      </c>
      <c r="AD40" s="14" t="str">
        <f t="shared" si="52"/>
        <v>T</v>
      </c>
      <c r="AE40" s="14" t="str">
        <f t="shared" si="52"/>
        <v>U</v>
      </c>
      <c r="AF40" s="10"/>
      <c r="AH40" s="28" t="str">
        <f t="shared" ref="AH40:BG40" si="53">IF(LEN(AH42)=2,LEFT(AH42,1),"")</f>
        <v>A</v>
      </c>
      <c r="AI40" s="28" t="str">
        <f t="shared" si="53"/>
        <v>B</v>
      </c>
      <c r="AJ40" s="28" t="str">
        <f t="shared" si="53"/>
        <v>C</v>
      </c>
      <c r="AK40" s="28" t="str">
        <f t="shared" si="53"/>
        <v>D</v>
      </c>
      <c r="AL40" s="28" t="str">
        <f t="shared" si="53"/>
        <v>E</v>
      </c>
      <c r="AM40" s="28" t="str">
        <f t="shared" si="53"/>
        <v>F</v>
      </c>
      <c r="AN40" s="28" t="str">
        <f t="shared" si="53"/>
        <v>G</v>
      </c>
      <c r="AO40" s="28" t="str">
        <f t="shared" si="53"/>
        <v>H</v>
      </c>
      <c r="AP40" s="28" t="str">
        <f t="shared" si="53"/>
        <v>I</v>
      </c>
      <c r="AQ40" s="28" t="str">
        <f t="shared" si="53"/>
        <v>J</v>
      </c>
      <c r="AR40" s="28" t="str">
        <f t="shared" si="53"/>
        <v>K</v>
      </c>
      <c r="AS40" s="28" t="str">
        <f t="shared" si="53"/>
        <v>L</v>
      </c>
      <c r="AT40" s="28" t="str">
        <f t="shared" si="53"/>
        <v>M</v>
      </c>
      <c r="AU40" s="28" t="str">
        <f t="shared" si="53"/>
        <v>N</v>
      </c>
      <c r="AV40" s="28" t="str">
        <f t="shared" si="53"/>
        <v>O</v>
      </c>
      <c r="AW40" s="28" t="str">
        <f t="shared" si="53"/>
        <v>P</v>
      </c>
      <c r="AX40" s="28" t="str">
        <f t="shared" si="53"/>
        <v>Q</v>
      </c>
      <c r="AY40" s="28" t="str">
        <f t="shared" si="53"/>
        <v>R</v>
      </c>
      <c r="AZ40" s="28" t="str">
        <f t="shared" si="53"/>
        <v>S</v>
      </c>
      <c r="BA40" s="28" t="str">
        <f t="shared" si="53"/>
        <v>T</v>
      </c>
      <c r="BB40" s="28" t="str">
        <f t="shared" si="53"/>
        <v>U</v>
      </c>
      <c r="BC40" s="28" t="str">
        <f t="shared" si="53"/>
        <v>V</v>
      </c>
      <c r="BD40" s="28" t="str">
        <f t="shared" si="53"/>
        <v>W</v>
      </c>
      <c r="BE40" s="28" t="str">
        <f t="shared" si="53"/>
        <v>X</v>
      </c>
      <c r="BF40" s="28" t="str">
        <f t="shared" si="53"/>
        <v>Y</v>
      </c>
      <c r="BG40" s="28" t="str">
        <f t="shared" si="53"/>
        <v>Z</v>
      </c>
    </row>
    <row r="41" spans="2:59" x14ac:dyDescent="0.35">
      <c r="B41" s="22"/>
      <c r="C41" s="8"/>
      <c r="E41" t="s">
        <v>387</v>
      </c>
      <c r="F41" s="15" t="str">
        <f t="shared" ref="F41:AE41" si="54">IF(F38=1,VLOOKUP(nRotorR_Rev&amp;F40,nRotorRev,4,FALSE),"")</f>
        <v>X</v>
      </c>
      <c r="G41" s="15" t="str">
        <f t="shared" si="54"/>
        <v>M</v>
      </c>
      <c r="H41" s="15" t="str">
        <f t="shared" si="54"/>
        <v>I</v>
      </c>
      <c r="I41" s="15" t="str">
        <f t="shared" si="54"/>
        <v>V</v>
      </c>
      <c r="J41" s="15" t="str">
        <f t="shared" si="54"/>
        <v>S</v>
      </c>
      <c r="K41" s="15" t="str">
        <f t="shared" si="54"/>
        <v>A</v>
      </c>
      <c r="L41" s="15" t="str">
        <f t="shared" si="54"/>
        <v>J</v>
      </c>
      <c r="M41" s="15" t="str">
        <f t="shared" si="54"/>
        <v>P</v>
      </c>
      <c r="N41" s="15" t="str">
        <f t="shared" si="54"/>
        <v>C</v>
      </c>
      <c r="O41" s="15" t="str">
        <f t="shared" si="54"/>
        <v>Z</v>
      </c>
      <c r="P41" s="15" t="str">
        <f t="shared" si="54"/>
        <v>W</v>
      </c>
      <c r="Q41" s="15" t="str">
        <f t="shared" si="54"/>
        <v>R</v>
      </c>
      <c r="R41" s="15" t="str">
        <f t="shared" si="54"/>
        <v>L</v>
      </c>
      <c r="S41" s="15" t="str">
        <f t="shared" si="54"/>
        <v>F</v>
      </c>
      <c r="T41" s="15" t="str">
        <f t="shared" si="54"/>
        <v>B</v>
      </c>
      <c r="U41" s="15" t="str">
        <f t="shared" si="54"/>
        <v>D</v>
      </c>
      <c r="V41" s="15" t="str">
        <f t="shared" si="54"/>
        <v>K</v>
      </c>
      <c r="W41" s="15" t="str">
        <f t="shared" si="54"/>
        <v>O</v>
      </c>
      <c r="X41" s="15" t="str">
        <f t="shared" si="54"/>
        <v>T</v>
      </c>
      <c r="Y41" s="15" t="str">
        <f t="shared" si="54"/>
        <v>Y</v>
      </c>
      <c r="Z41" s="15" t="str">
        <f t="shared" si="54"/>
        <v>U</v>
      </c>
      <c r="AA41" s="15" t="str">
        <f t="shared" si="54"/>
        <v>Q</v>
      </c>
      <c r="AB41" s="15" t="str">
        <f t="shared" si="54"/>
        <v>G</v>
      </c>
      <c r="AC41" s="15" t="str">
        <f t="shared" si="54"/>
        <v>E</v>
      </c>
      <c r="AD41" s="15" t="str">
        <f t="shared" si="54"/>
        <v>N</v>
      </c>
      <c r="AE41" s="15" t="str">
        <f t="shared" si="54"/>
        <v>H</v>
      </c>
      <c r="AF41" s="10"/>
      <c r="AH41" s="28" t="str">
        <f t="shared" ref="AH41:BG41" si="55">IF(LEN(AH42)=2,RIGHT(AH42,1),"")</f>
        <v>C</v>
      </c>
      <c r="AI41" s="28" t="str">
        <f t="shared" si="55"/>
        <v>R</v>
      </c>
      <c r="AJ41" s="28" t="str">
        <f t="shared" si="55"/>
        <v>N</v>
      </c>
      <c r="AK41" s="28" t="str">
        <f t="shared" si="55"/>
        <v>A</v>
      </c>
      <c r="AL41" s="28" t="str">
        <f t="shared" si="55"/>
        <v>X</v>
      </c>
      <c r="AM41" s="28" t="str">
        <f t="shared" si="55"/>
        <v>F</v>
      </c>
      <c r="AN41" s="28" t="str">
        <f t="shared" si="55"/>
        <v>O</v>
      </c>
      <c r="AO41" s="28" t="str">
        <f t="shared" si="55"/>
        <v>U</v>
      </c>
      <c r="AP41" s="28" t="str">
        <f t="shared" si="55"/>
        <v>H</v>
      </c>
      <c r="AQ41" s="28" t="str">
        <f t="shared" si="55"/>
        <v>E</v>
      </c>
      <c r="AR41" s="28" t="str">
        <f t="shared" si="55"/>
        <v>B</v>
      </c>
      <c r="AS41" s="28" t="str">
        <f t="shared" si="55"/>
        <v>W</v>
      </c>
      <c r="AT41" s="28" t="str">
        <f t="shared" si="55"/>
        <v>Q</v>
      </c>
      <c r="AU41" s="28" t="str">
        <f t="shared" si="55"/>
        <v>K</v>
      </c>
      <c r="AV41" s="28" t="str">
        <f t="shared" si="55"/>
        <v>G</v>
      </c>
      <c r="AW41" s="28" t="str">
        <f t="shared" si="55"/>
        <v>I</v>
      </c>
      <c r="AX41" s="28" t="str">
        <f t="shared" si="55"/>
        <v>P</v>
      </c>
      <c r="AY41" s="28" t="str">
        <f t="shared" si="55"/>
        <v>T</v>
      </c>
      <c r="AZ41" s="28" t="str">
        <f t="shared" si="55"/>
        <v>Y</v>
      </c>
      <c r="BA41" s="28" t="str">
        <f t="shared" si="55"/>
        <v>D</v>
      </c>
      <c r="BB41" s="28" t="str">
        <f t="shared" si="55"/>
        <v>Z</v>
      </c>
      <c r="BC41" s="28" t="str">
        <f t="shared" si="55"/>
        <v>V</v>
      </c>
      <c r="BD41" s="28" t="str">
        <f t="shared" si="55"/>
        <v>L</v>
      </c>
      <c r="BE41" s="28" t="str">
        <f t="shared" si="55"/>
        <v>J</v>
      </c>
      <c r="BF41" s="28" t="str">
        <f t="shared" si="55"/>
        <v>S</v>
      </c>
      <c r="BG41" s="28" t="str">
        <f t="shared" si="55"/>
        <v>M</v>
      </c>
    </row>
    <row r="42" spans="2:59" ht="15" thickBot="1" x14ac:dyDescent="0.4">
      <c r="B42" s="23"/>
      <c r="C42" s="16"/>
      <c r="D42" s="17"/>
      <c r="E42" s="17" t="s">
        <v>388</v>
      </c>
      <c r="F42" s="18" t="str">
        <f t="shared" ref="F42:AE42" si="56">IF(F38=1,IF(CODE(F41)-CODE(F40)&lt;0,VLOOKUP((CODE(F41)-CODE(F40)+26)+(CODE(F37)-nCharOffset),nNum2Let,2,FALSE),VLOOKUP((CODE(F41)-CODE(F40))+(CODE(F37)-nCharOffset),nNum2Let,2,FALSE)),"")</f>
        <v>C</v>
      </c>
      <c r="G42" s="18" t="str">
        <f t="shared" si="56"/>
        <v>R</v>
      </c>
      <c r="H42" s="18" t="str">
        <f t="shared" si="56"/>
        <v>N</v>
      </c>
      <c r="I42" s="18" t="str">
        <f t="shared" si="56"/>
        <v>A</v>
      </c>
      <c r="J42" s="18" t="str">
        <f t="shared" si="56"/>
        <v>X</v>
      </c>
      <c r="K42" s="18" t="str">
        <f t="shared" si="56"/>
        <v>F</v>
      </c>
      <c r="L42" s="18" t="str">
        <f t="shared" si="56"/>
        <v>O</v>
      </c>
      <c r="M42" s="18" t="str">
        <f t="shared" si="56"/>
        <v>U</v>
      </c>
      <c r="N42" s="18" t="str">
        <f t="shared" si="56"/>
        <v>H</v>
      </c>
      <c r="O42" s="18" t="str">
        <f t="shared" si="56"/>
        <v>E</v>
      </c>
      <c r="P42" s="18" t="str">
        <f t="shared" si="56"/>
        <v>B</v>
      </c>
      <c r="Q42" s="18" t="str">
        <f t="shared" si="56"/>
        <v>W</v>
      </c>
      <c r="R42" s="18" t="str">
        <f t="shared" si="56"/>
        <v>Q</v>
      </c>
      <c r="S42" s="18" t="str">
        <f t="shared" si="56"/>
        <v>K</v>
      </c>
      <c r="T42" s="18" t="str">
        <f t="shared" si="56"/>
        <v>G</v>
      </c>
      <c r="U42" s="18" t="str">
        <f t="shared" si="56"/>
        <v>I</v>
      </c>
      <c r="V42" s="18" t="str">
        <f t="shared" si="56"/>
        <v>P</v>
      </c>
      <c r="W42" s="18" t="str">
        <f t="shared" si="56"/>
        <v>T</v>
      </c>
      <c r="X42" s="18" t="str">
        <f t="shared" si="56"/>
        <v>Y</v>
      </c>
      <c r="Y42" s="18" t="str">
        <f t="shared" si="56"/>
        <v>D</v>
      </c>
      <c r="Z42" s="18" t="str">
        <f t="shared" si="56"/>
        <v>Z</v>
      </c>
      <c r="AA42" s="18" t="str">
        <f t="shared" si="56"/>
        <v>V</v>
      </c>
      <c r="AB42" s="18" t="str">
        <f t="shared" si="56"/>
        <v>L</v>
      </c>
      <c r="AC42" s="18" t="str">
        <f t="shared" si="56"/>
        <v>J</v>
      </c>
      <c r="AD42" s="18" t="str">
        <f t="shared" si="56"/>
        <v>S</v>
      </c>
      <c r="AE42" s="18" t="str">
        <f t="shared" si="56"/>
        <v>M</v>
      </c>
      <c r="AF42" s="19" t="str">
        <f>CONCATENATE(F42,G42,H42,I42,J42,K42,L42,M42,N42,O42,P42,Q42,R42,S42,T42&amp;U42,V42,W42,X42,Y42,Z42,AA42,AB42,AC42,AD42,AE42)</f>
        <v>CRNAXFOUHEBWQKGIPTYDZVLJSM</v>
      </c>
      <c r="AH42" s="12" t="str">
        <f>F37&amp;F42</f>
        <v>AC</v>
      </c>
      <c r="AI42" s="12" t="str">
        <f t="shared" ref="AI42:BG42" si="57">G37&amp;G42</f>
        <v>BR</v>
      </c>
      <c r="AJ42" s="12" t="str">
        <f t="shared" si="57"/>
        <v>CN</v>
      </c>
      <c r="AK42" s="12" t="str">
        <f t="shared" si="57"/>
        <v>DA</v>
      </c>
      <c r="AL42" s="12" t="str">
        <f t="shared" si="57"/>
        <v>EX</v>
      </c>
      <c r="AM42" s="12" t="str">
        <f t="shared" si="57"/>
        <v>FF</v>
      </c>
      <c r="AN42" s="12" t="str">
        <f t="shared" si="57"/>
        <v>GO</v>
      </c>
      <c r="AO42" s="12" t="str">
        <f t="shared" si="57"/>
        <v>HU</v>
      </c>
      <c r="AP42" s="12" t="str">
        <f t="shared" si="57"/>
        <v>IH</v>
      </c>
      <c r="AQ42" s="12" t="str">
        <f t="shared" si="57"/>
        <v>JE</v>
      </c>
      <c r="AR42" s="12" t="str">
        <f t="shared" si="57"/>
        <v>KB</v>
      </c>
      <c r="AS42" s="12" t="str">
        <f t="shared" si="57"/>
        <v>LW</v>
      </c>
      <c r="AT42" s="12" t="str">
        <f t="shared" si="57"/>
        <v>MQ</v>
      </c>
      <c r="AU42" s="12" t="str">
        <f t="shared" si="57"/>
        <v>NK</v>
      </c>
      <c r="AV42" s="12" t="str">
        <f t="shared" si="57"/>
        <v>OG</v>
      </c>
      <c r="AW42" s="12" t="str">
        <f t="shared" si="57"/>
        <v>PI</v>
      </c>
      <c r="AX42" s="12" t="str">
        <f t="shared" si="57"/>
        <v>QP</v>
      </c>
      <c r="AY42" s="12" t="str">
        <f t="shared" si="57"/>
        <v>RT</v>
      </c>
      <c r="AZ42" s="12" t="str">
        <f t="shared" si="57"/>
        <v>SY</v>
      </c>
      <c r="BA42" s="12" t="str">
        <f t="shared" si="57"/>
        <v>TD</v>
      </c>
      <c r="BB42" s="12" t="str">
        <f t="shared" si="57"/>
        <v>UZ</v>
      </c>
      <c r="BC42" s="12" t="str">
        <f t="shared" si="57"/>
        <v>VV</v>
      </c>
      <c r="BD42" s="12" t="str">
        <f t="shared" si="57"/>
        <v>WL</v>
      </c>
      <c r="BE42" s="12" t="str">
        <f t="shared" si="57"/>
        <v>XJ</v>
      </c>
      <c r="BF42" s="12" t="str">
        <f t="shared" si="57"/>
        <v>YS</v>
      </c>
      <c r="BG42" s="12" t="str">
        <f t="shared" si="57"/>
        <v>ZM</v>
      </c>
    </row>
    <row r="43" spans="2:59" x14ac:dyDescent="0.35">
      <c r="F43" s="3" t="s">
        <v>0</v>
      </c>
      <c r="G43" s="3" t="s">
        <v>1</v>
      </c>
      <c r="H43" s="3" t="s">
        <v>2</v>
      </c>
      <c r="I43" s="3" t="s">
        <v>3</v>
      </c>
      <c r="J43" s="3" t="s">
        <v>4</v>
      </c>
      <c r="K43" s="3" t="s">
        <v>5</v>
      </c>
      <c r="L43" s="3" t="s">
        <v>6</v>
      </c>
      <c r="M43" s="3" t="s">
        <v>7</v>
      </c>
      <c r="N43" s="3" t="s">
        <v>8</v>
      </c>
      <c r="O43" s="3" t="s">
        <v>9</v>
      </c>
      <c r="P43" s="3" t="s">
        <v>10</v>
      </c>
      <c r="Q43" s="3" t="s">
        <v>11</v>
      </c>
      <c r="R43" s="3" t="s">
        <v>12</v>
      </c>
      <c r="S43" s="3" t="s">
        <v>13</v>
      </c>
      <c r="T43" s="3" t="s">
        <v>14</v>
      </c>
      <c r="U43" s="3" t="s">
        <v>15</v>
      </c>
      <c r="V43" s="3" t="s">
        <v>16</v>
      </c>
      <c r="W43" s="3" t="s">
        <v>17</v>
      </c>
      <c r="X43" s="3" t="s">
        <v>18</v>
      </c>
      <c r="Y43" s="3" t="s">
        <v>19</v>
      </c>
      <c r="Z43" s="3" t="s">
        <v>20</v>
      </c>
      <c r="AA43" s="3" t="s">
        <v>21</v>
      </c>
      <c r="AB43" s="3" t="s">
        <v>22</v>
      </c>
      <c r="AC43" s="3" t="s">
        <v>23</v>
      </c>
      <c r="AD43" s="3" t="s">
        <v>24</v>
      </c>
      <c r="AE43" s="3" t="s">
        <v>25</v>
      </c>
      <c r="AH43" s="42" t="str">
        <f>HLOOKUP(AH37,$AH40:$BG41,2,FALSE)</f>
        <v>F</v>
      </c>
      <c r="AI43" s="42" t="str">
        <f>HLOOKUP(AI37,$AH40:$BG41,2,FALSE)</f>
        <v>R</v>
      </c>
      <c r="AJ43" s="42" t="str">
        <f t="shared" ref="AJ43:BG43" si="58">HLOOKUP(AJ37,$AH40:$BG41,2,FALSE)</f>
        <v>L</v>
      </c>
      <c r="AK43" s="42" t="str">
        <f t="shared" si="58"/>
        <v>E</v>
      </c>
      <c r="AL43" s="42" t="str">
        <f t="shared" si="58"/>
        <v>D</v>
      </c>
      <c r="AM43" s="42" t="str">
        <f t="shared" si="58"/>
        <v>A</v>
      </c>
      <c r="AN43" s="42" t="str">
        <f t="shared" si="58"/>
        <v>S</v>
      </c>
      <c r="AO43" s="42" t="str">
        <f t="shared" si="58"/>
        <v>M</v>
      </c>
      <c r="AP43" s="42" t="str">
        <f t="shared" si="58"/>
        <v>U</v>
      </c>
      <c r="AQ43" s="42" t="str">
        <f t="shared" si="58"/>
        <v>W</v>
      </c>
      <c r="AR43" s="42" t="str">
        <f t="shared" si="58"/>
        <v>X</v>
      </c>
      <c r="AS43" s="42" t="str">
        <f t="shared" si="58"/>
        <v>C</v>
      </c>
      <c r="AT43" s="42" t="str">
        <f t="shared" si="58"/>
        <v>H</v>
      </c>
      <c r="AU43" s="42" t="str">
        <f t="shared" si="58"/>
        <v>O</v>
      </c>
      <c r="AV43" s="42" t="str">
        <f t="shared" si="58"/>
        <v>N</v>
      </c>
      <c r="AW43" s="42" t="str">
        <f t="shared" si="58"/>
        <v>V</v>
      </c>
      <c r="AX43" s="42" t="str">
        <f t="shared" si="58"/>
        <v>Y</v>
      </c>
      <c r="AY43" s="42" t="str">
        <f t="shared" si="58"/>
        <v>B</v>
      </c>
      <c r="AZ43" s="42" t="str">
        <f t="shared" si="58"/>
        <v>G</v>
      </c>
      <c r="BA43" s="42" t="str">
        <f t="shared" si="58"/>
        <v>Z</v>
      </c>
      <c r="BB43" s="42" t="str">
        <f t="shared" si="58"/>
        <v>I</v>
      </c>
      <c r="BC43" s="42" t="str">
        <f t="shared" si="58"/>
        <v>P</v>
      </c>
      <c r="BD43" s="42" t="str">
        <f t="shared" si="58"/>
        <v>J</v>
      </c>
      <c r="BE43" s="42" t="str">
        <f t="shared" si="58"/>
        <v>K</v>
      </c>
      <c r="BF43" s="42" t="str">
        <f t="shared" si="58"/>
        <v>Q</v>
      </c>
      <c r="BG43" s="42" t="str">
        <f t="shared" si="58"/>
        <v>T</v>
      </c>
    </row>
    <row r="44" spans="2:59" x14ac:dyDescent="0.35"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H44" s="95" t="s">
        <v>608</v>
      </c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U44" s="96"/>
      <c r="AV44" s="96"/>
      <c r="AW44" s="96"/>
      <c r="AX44" s="96"/>
      <c r="AY44" s="96"/>
      <c r="AZ44" s="96"/>
      <c r="BA44" s="96"/>
      <c r="BB44" s="96"/>
      <c r="BC44" s="96"/>
      <c r="BD44" s="96"/>
      <c r="BE44" s="96"/>
      <c r="BF44" s="96"/>
      <c r="BG44" s="97"/>
    </row>
  </sheetData>
  <sheetProtection sheet="1" objects="1" scenarios="1"/>
  <mergeCells count="2">
    <mergeCell ref="AH6:BG6"/>
    <mergeCell ref="AH44:BG44"/>
  </mergeCells>
  <pageMargins left="0.70866141732283472" right="0.70866141732283472" top="0.74803149606299213" bottom="0.74803149606299213" header="0.31496062992125984" footer="0.31496062992125984"/>
  <pageSetup paperSize="8" scale="6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pageSetUpPr fitToPage="1"/>
  </sheetPr>
  <dimension ref="A1:BG44"/>
  <sheetViews>
    <sheetView showGridLines="0" showRowColHeaders="0" zoomScale="80" zoomScaleNormal="80" workbookViewId="0"/>
  </sheetViews>
  <sheetFormatPr defaultRowHeight="14.5" x14ac:dyDescent="0.35"/>
  <cols>
    <col min="2" max="2" width="20.54296875" bestFit="1" customWidth="1"/>
    <col min="3" max="3" width="4.54296875" customWidth="1"/>
    <col min="4" max="4" width="8.1796875" bestFit="1" customWidth="1"/>
    <col min="5" max="5" width="15.54296875" bestFit="1" customWidth="1"/>
    <col min="6" max="6" width="3.453125" customWidth="1"/>
    <col min="7" max="7" width="4" customWidth="1"/>
    <col min="8" max="8" width="3.26953125" customWidth="1"/>
    <col min="9" max="9" width="4.1796875" customWidth="1"/>
    <col min="10" max="10" width="3.453125" customWidth="1"/>
    <col min="11" max="31" width="3.26953125" customWidth="1"/>
    <col min="32" max="32" width="32.26953125" bestFit="1" customWidth="1"/>
    <col min="34" max="59" width="3.453125" customWidth="1"/>
  </cols>
  <sheetData>
    <row r="1" spans="1:59" x14ac:dyDescent="0.35">
      <c r="B1" s="29" t="s">
        <v>378</v>
      </c>
      <c r="C1" s="75">
        <v>64</v>
      </c>
      <c r="D1" s="76" t="str">
        <f>nRotorL&amp;nRotorM&amp;nRotorR</f>
        <v>142</v>
      </c>
      <c r="E1" s="76" t="str">
        <f>F18&amp;F12&amp;F6</f>
        <v>ELW</v>
      </c>
      <c r="J1" s="44" t="s">
        <v>4</v>
      </c>
      <c r="K1" s="44" t="s">
        <v>13</v>
      </c>
      <c r="L1" s="44" t="s">
        <v>8</v>
      </c>
      <c r="M1" s="44" t="s">
        <v>6</v>
      </c>
      <c r="N1" s="44" t="s">
        <v>12</v>
      </c>
      <c r="O1" s="44" t="s">
        <v>0</v>
      </c>
      <c r="P1" s="44" t="s">
        <v>18</v>
      </c>
      <c r="Q1" s="44" t="s">
        <v>2</v>
      </c>
      <c r="R1" s="44" t="s">
        <v>17</v>
      </c>
      <c r="S1" s="44" t="s">
        <v>0</v>
      </c>
      <c r="T1" s="44" t="s">
        <v>12</v>
      </c>
      <c r="U1" s="44" t="s">
        <v>1</v>
      </c>
      <c r="V1" s="44" t="s">
        <v>11</v>
      </c>
      <c r="W1" s="44" t="s">
        <v>4</v>
      </c>
      <c r="X1" s="44" t="s">
        <v>17</v>
      </c>
      <c r="Y1" s="44">
        <v>0</v>
      </c>
      <c r="Z1" s="44">
        <v>8</v>
      </c>
    </row>
    <row r="2" spans="1:59" x14ac:dyDescent="0.35">
      <c r="D2" s="77">
        <f>nCounter</f>
        <v>3707</v>
      </c>
    </row>
    <row r="3" spans="1:59" ht="15" thickBot="1" x14ac:dyDescent="0.4">
      <c r="D3" s="78">
        <f>n_RO08</f>
        <v>8</v>
      </c>
      <c r="F3" s="1"/>
      <c r="AF3" s="79" t="s">
        <v>423</v>
      </c>
    </row>
    <row r="4" spans="1:59" x14ac:dyDescent="0.35">
      <c r="B4" s="21"/>
      <c r="C4" s="4"/>
      <c r="E4" s="5" t="s">
        <v>385</v>
      </c>
      <c r="F4" s="6" t="s">
        <v>0</v>
      </c>
      <c r="G4" s="6" t="s">
        <v>1</v>
      </c>
      <c r="H4" s="6" t="s">
        <v>2</v>
      </c>
      <c r="I4" s="6" t="s">
        <v>3</v>
      </c>
      <c r="J4" s="6" t="s">
        <v>4</v>
      </c>
      <c r="K4" s="6" t="s">
        <v>5</v>
      </c>
      <c r="L4" s="6" t="s">
        <v>6</v>
      </c>
      <c r="M4" s="6" t="s">
        <v>7</v>
      </c>
      <c r="N4" s="6" t="s">
        <v>8</v>
      </c>
      <c r="O4" s="6" t="s">
        <v>9</v>
      </c>
      <c r="P4" s="6" t="s">
        <v>10</v>
      </c>
      <c r="Q4" s="6" t="s">
        <v>11</v>
      </c>
      <c r="R4" s="6" t="s">
        <v>12</v>
      </c>
      <c r="S4" s="6" t="s">
        <v>13</v>
      </c>
      <c r="T4" s="6" t="s">
        <v>14</v>
      </c>
      <c r="U4" s="6" t="s">
        <v>15</v>
      </c>
      <c r="V4" s="6" t="s">
        <v>16</v>
      </c>
      <c r="W4" s="6" t="s">
        <v>17</v>
      </c>
      <c r="X4" s="6" t="s">
        <v>18</v>
      </c>
      <c r="Y4" s="6" t="s">
        <v>19</v>
      </c>
      <c r="Z4" s="6" t="s">
        <v>20</v>
      </c>
      <c r="AA4" s="6" t="s">
        <v>21</v>
      </c>
      <c r="AB4" s="6" t="s">
        <v>22</v>
      </c>
      <c r="AC4" s="6" t="s">
        <v>23</v>
      </c>
      <c r="AD4" s="6" t="s">
        <v>24</v>
      </c>
      <c r="AE4" s="6" t="s">
        <v>25</v>
      </c>
      <c r="AF4" s="10"/>
    </row>
    <row r="5" spans="1:59" x14ac:dyDescent="0.35">
      <c r="B5" s="22"/>
      <c r="C5" s="8"/>
      <c r="D5" s="9" t="s">
        <v>28</v>
      </c>
      <c r="E5" s="9" t="s">
        <v>27</v>
      </c>
      <c r="F5" s="1">
        <f t="shared" ref="F5:AE5" si="0">IF(ISERROR(FIND(F4,$AF3)),0,1)</f>
        <v>1</v>
      </c>
      <c r="G5" s="1">
        <f t="shared" si="0"/>
        <v>1</v>
      </c>
      <c r="H5" s="1">
        <f t="shared" si="0"/>
        <v>1</v>
      </c>
      <c r="I5" s="1">
        <f t="shared" si="0"/>
        <v>1</v>
      </c>
      <c r="J5" s="1">
        <f t="shared" si="0"/>
        <v>1</v>
      </c>
      <c r="K5" s="1">
        <f t="shared" si="0"/>
        <v>1</v>
      </c>
      <c r="L5" s="1">
        <f t="shared" si="0"/>
        <v>1</v>
      </c>
      <c r="M5" s="1">
        <f t="shared" si="0"/>
        <v>1</v>
      </c>
      <c r="N5" s="1">
        <f t="shared" si="0"/>
        <v>1</v>
      </c>
      <c r="O5" s="1">
        <f t="shared" si="0"/>
        <v>1</v>
      </c>
      <c r="P5" s="1">
        <f t="shared" si="0"/>
        <v>1</v>
      </c>
      <c r="Q5" s="1">
        <f t="shared" si="0"/>
        <v>1</v>
      </c>
      <c r="R5" s="1">
        <f t="shared" si="0"/>
        <v>1</v>
      </c>
      <c r="S5" s="1">
        <f t="shared" si="0"/>
        <v>1</v>
      </c>
      <c r="T5" s="1">
        <f t="shared" si="0"/>
        <v>1</v>
      </c>
      <c r="U5" s="1">
        <f t="shared" si="0"/>
        <v>1</v>
      </c>
      <c r="V5" s="1">
        <f t="shared" si="0"/>
        <v>1</v>
      </c>
      <c r="W5" s="1">
        <f t="shared" si="0"/>
        <v>1</v>
      </c>
      <c r="X5" s="1">
        <f t="shared" si="0"/>
        <v>1</v>
      </c>
      <c r="Y5" s="1">
        <f t="shared" si="0"/>
        <v>1</v>
      </c>
      <c r="Z5" s="1">
        <f t="shared" si="0"/>
        <v>1</v>
      </c>
      <c r="AA5" s="1">
        <f t="shared" si="0"/>
        <v>1</v>
      </c>
      <c r="AB5" s="1">
        <f t="shared" si="0"/>
        <v>1</v>
      </c>
      <c r="AC5" s="1">
        <f t="shared" si="0"/>
        <v>1</v>
      </c>
      <c r="AD5" s="1">
        <f t="shared" si="0"/>
        <v>1</v>
      </c>
      <c r="AE5" s="1">
        <f t="shared" si="0"/>
        <v>1</v>
      </c>
      <c r="AF5" s="10"/>
    </row>
    <row r="6" spans="1:59" x14ac:dyDescent="0.35">
      <c r="B6" s="22" t="s">
        <v>379</v>
      </c>
      <c r="C6" s="41">
        <f>n_RotorR</f>
        <v>2</v>
      </c>
      <c r="D6" s="11">
        <f>D3+D2</f>
        <v>3715</v>
      </c>
      <c r="E6" s="11">
        <f>IF(MOD(D6,26)=0,26,MOD(D6,26))</f>
        <v>23</v>
      </c>
      <c r="F6" s="12" t="str">
        <f>CHAR(E6+nCharOffset)</f>
        <v>W</v>
      </c>
      <c r="G6" s="13" t="str">
        <f t="shared" ref="G6:AE6" si="1">VLOOKUP(F6,nNextLetter,2,FALSE)</f>
        <v>X</v>
      </c>
      <c r="H6" s="13" t="str">
        <f t="shared" si="1"/>
        <v>Y</v>
      </c>
      <c r="I6" s="13" t="str">
        <f t="shared" si="1"/>
        <v>Z</v>
      </c>
      <c r="J6" s="13" t="str">
        <f t="shared" si="1"/>
        <v>A</v>
      </c>
      <c r="K6" s="13" t="str">
        <f t="shared" si="1"/>
        <v>B</v>
      </c>
      <c r="L6" s="13" t="str">
        <f t="shared" si="1"/>
        <v>C</v>
      </c>
      <c r="M6" s="13" t="str">
        <f t="shared" si="1"/>
        <v>D</v>
      </c>
      <c r="N6" s="13" t="str">
        <f t="shared" si="1"/>
        <v>E</v>
      </c>
      <c r="O6" s="13" t="str">
        <f t="shared" si="1"/>
        <v>F</v>
      </c>
      <c r="P6" s="13" t="str">
        <f t="shared" si="1"/>
        <v>G</v>
      </c>
      <c r="Q6" s="13" t="str">
        <f t="shared" si="1"/>
        <v>H</v>
      </c>
      <c r="R6" s="13" t="str">
        <f t="shared" si="1"/>
        <v>I</v>
      </c>
      <c r="S6" s="13" t="str">
        <f t="shared" si="1"/>
        <v>J</v>
      </c>
      <c r="T6" s="13" t="str">
        <f t="shared" si="1"/>
        <v>K</v>
      </c>
      <c r="U6" s="13" t="str">
        <f t="shared" si="1"/>
        <v>L</v>
      </c>
      <c r="V6" s="13" t="str">
        <f t="shared" si="1"/>
        <v>M</v>
      </c>
      <c r="W6" s="13" t="str">
        <f t="shared" si="1"/>
        <v>N</v>
      </c>
      <c r="X6" s="13" t="str">
        <f t="shared" si="1"/>
        <v>O</v>
      </c>
      <c r="Y6" s="13" t="str">
        <f t="shared" si="1"/>
        <v>P</v>
      </c>
      <c r="Z6" s="13" t="str">
        <f t="shared" si="1"/>
        <v>Q</v>
      </c>
      <c r="AA6" s="13" t="str">
        <f t="shared" si="1"/>
        <v>R</v>
      </c>
      <c r="AB6" s="13" t="str">
        <f t="shared" si="1"/>
        <v>S</v>
      </c>
      <c r="AC6" s="13" t="str">
        <f t="shared" si="1"/>
        <v>T</v>
      </c>
      <c r="AD6" s="13" t="str">
        <f t="shared" si="1"/>
        <v>U</v>
      </c>
      <c r="AE6" s="13" t="str">
        <f t="shared" si="1"/>
        <v>V</v>
      </c>
      <c r="AF6" s="10"/>
      <c r="AH6" s="95" t="s">
        <v>607</v>
      </c>
      <c r="AI6" s="96"/>
      <c r="AJ6" s="96"/>
      <c r="AK6" s="96"/>
      <c r="AL6" s="96"/>
      <c r="AM6" s="96"/>
      <c r="AN6" s="96"/>
      <c r="AO6" s="96"/>
      <c r="AP6" s="96"/>
      <c r="AQ6" s="96"/>
      <c r="AR6" s="96"/>
      <c r="AS6" s="96"/>
      <c r="AT6" s="96"/>
      <c r="AU6" s="96"/>
      <c r="AV6" s="96"/>
      <c r="AW6" s="96"/>
      <c r="AX6" s="96"/>
      <c r="AY6" s="96"/>
      <c r="AZ6" s="96"/>
      <c r="BA6" s="96"/>
      <c r="BB6" s="96"/>
      <c r="BC6" s="96"/>
      <c r="BD6" s="96"/>
      <c r="BE6" s="96"/>
      <c r="BF6" s="96"/>
      <c r="BG6" s="97"/>
    </row>
    <row r="7" spans="1:59" x14ac:dyDescent="0.35">
      <c r="B7" s="22" t="s">
        <v>389</v>
      </c>
      <c r="C7" s="41" t="str">
        <f>n_RingPosR</f>
        <v>A</v>
      </c>
      <c r="D7" s="11">
        <f>VLOOKUP(C7,nRingOffset,2,FALSE)</f>
        <v>0</v>
      </c>
      <c r="E7" t="s">
        <v>386</v>
      </c>
      <c r="F7" s="14" t="str">
        <f t="shared" ref="F7:AE7" si="2">IF(F5=1,VLOOKUP(nCurPosR+nRingOffsetR+(CODE(F4)-nCharOffset)-1,nNum2Let,2,FALSE),"")</f>
        <v>W</v>
      </c>
      <c r="G7" s="14" t="str">
        <f t="shared" si="2"/>
        <v>X</v>
      </c>
      <c r="H7" s="14" t="str">
        <f t="shared" si="2"/>
        <v>Y</v>
      </c>
      <c r="I7" s="14" t="str">
        <f t="shared" si="2"/>
        <v>Z</v>
      </c>
      <c r="J7" s="14" t="str">
        <f t="shared" si="2"/>
        <v>A</v>
      </c>
      <c r="K7" s="14" t="str">
        <f t="shared" si="2"/>
        <v>B</v>
      </c>
      <c r="L7" s="14" t="str">
        <f t="shared" si="2"/>
        <v>C</v>
      </c>
      <c r="M7" s="14" t="str">
        <f t="shared" si="2"/>
        <v>D</v>
      </c>
      <c r="N7" s="14" t="str">
        <f t="shared" si="2"/>
        <v>E</v>
      </c>
      <c r="O7" s="14" t="str">
        <f t="shared" si="2"/>
        <v>F</v>
      </c>
      <c r="P7" s="14" t="str">
        <f t="shared" si="2"/>
        <v>G</v>
      </c>
      <c r="Q7" s="14" t="str">
        <f t="shared" si="2"/>
        <v>H</v>
      </c>
      <c r="R7" s="14" t="str">
        <f t="shared" si="2"/>
        <v>I</v>
      </c>
      <c r="S7" s="14" t="str">
        <f t="shared" si="2"/>
        <v>J</v>
      </c>
      <c r="T7" s="14" t="str">
        <f t="shared" si="2"/>
        <v>K</v>
      </c>
      <c r="U7" s="14" t="str">
        <f t="shared" si="2"/>
        <v>L</v>
      </c>
      <c r="V7" s="14" t="str">
        <f t="shared" si="2"/>
        <v>M</v>
      </c>
      <c r="W7" s="14" t="str">
        <f t="shared" si="2"/>
        <v>N</v>
      </c>
      <c r="X7" s="14" t="str">
        <f t="shared" si="2"/>
        <v>O</v>
      </c>
      <c r="Y7" s="14" t="str">
        <f t="shared" si="2"/>
        <v>P</v>
      </c>
      <c r="Z7" s="14" t="str">
        <f t="shared" si="2"/>
        <v>Q</v>
      </c>
      <c r="AA7" s="14" t="str">
        <f t="shared" si="2"/>
        <v>R</v>
      </c>
      <c r="AB7" s="14" t="str">
        <f t="shared" si="2"/>
        <v>S</v>
      </c>
      <c r="AC7" s="14" t="str">
        <f t="shared" si="2"/>
        <v>T</v>
      </c>
      <c r="AD7" s="14" t="str">
        <f t="shared" si="2"/>
        <v>U</v>
      </c>
      <c r="AE7" s="14" t="str">
        <f t="shared" si="2"/>
        <v>V</v>
      </c>
      <c r="AF7" s="10"/>
      <c r="AH7" s="42" t="str">
        <f t="shared" ref="AH7:BG7" si="3">IF(LEN(AH9)=2,LEFT(AH9,1),"")</f>
        <v>A</v>
      </c>
      <c r="AI7" s="42" t="str">
        <f t="shared" si="3"/>
        <v>B</v>
      </c>
      <c r="AJ7" s="42" t="str">
        <f t="shared" si="3"/>
        <v>C</v>
      </c>
      <c r="AK7" s="42" t="str">
        <f t="shared" si="3"/>
        <v>D</v>
      </c>
      <c r="AL7" s="42" t="str">
        <f t="shared" si="3"/>
        <v>E</v>
      </c>
      <c r="AM7" s="42" t="str">
        <f t="shared" si="3"/>
        <v>F</v>
      </c>
      <c r="AN7" s="42" t="str">
        <f t="shared" si="3"/>
        <v>G</v>
      </c>
      <c r="AO7" s="42" t="str">
        <f t="shared" si="3"/>
        <v>H</v>
      </c>
      <c r="AP7" s="42" t="str">
        <f t="shared" si="3"/>
        <v>I</v>
      </c>
      <c r="AQ7" s="42" t="str">
        <f t="shared" si="3"/>
        <v>J</v>
      </c>
      <c r="AR7" s="42" t="str">
        <f t="shared" si="3"/>
        <v>K</v>
      </c>
      <c r="AS7" s="42" t="str">
        <f t="shared" si="3"/>
        <v>L</v>
      </c>
      <c r="AT7" s="42" t="str">
        <f t="shared" si="3"/>
        <v>M</v>
      </c>
      <c r="AU7" s="42" t="str">
        <f t="shared" si="3"/>
        <v>N</v>
      </c>
      <c r="AV7" s="42" t="str">
        <f t="shared" si="3"/>
        <v>O</v>
      </c>
      <c r="AW7" s="42" t="str">
        <f t="shared" si="3"/>
        <v>P</v>
      </c>
      <c r="AX7" s="42" t="str">
        <f t="shared" si="3"/>
        <v>Q</v>
      </c>
      <c r="AY7" s="42" t="str">
        <f t="shared" si="3"/>
        <v>R</v>
      </c>
      <c r="AZ7" s="42" t="str">
        <f t="shared" si="3"/>
        <v>S</v>
      </c>
      <c r="BA7" s="42" t="str">
        <f t="shared" si="3"/>
        <v>T</v>
      </c>
      <c r="BB7" s="42" t="str">
        <f t="shared" si="3"/>
        <v>U</v>
      </c>
      <c r="BC7" s="42" t="str">
        <f t="shared" si="3"/>
        <v>V</v>
      </c>
      <c r="BD7" s="42" t="str">
        <f t="shared" si="3"/>
        <v>W</v>
      </c>
      <c r="BE7" s="42" t="str">
        <f t="shared" si="3"/>
        <v>X</v>
      </c>
      <c r="BF7" s="42" t="str">
        <f t="shared" si="3"/>
        <v>Y</v>
      </c>
      <c r="BG7" s="42" t="str">
        <f t="shared" si="3"/>
        <v>Z</v>
      </c>
    </row>
    <row r="8" spans="1:59" x14ac:dyDescent="0.35">
      <c r="B8" s="22"/>
      <c r="C8" s="8"/>
      <c r="E8" t="s">
        <v>387</v>
      </c>
      <c r="F8" s="15" t="str">
        <f t="shared" ref="F8:AE8" si="4">IF(F5=1,VLOOKUP(nRotorR&amp;F7,nRotor,4,FALSE),"")</f>
        <v>F</v>
      </c>
      <c r="G8" s="15" t="str">
        <f t="shared" si="4"/>
        <v>V</v>
      </c>
      <c r="H8" s="15" t="str">
        <f t="shared" si="4"/>
        <v>O</v>
      </c>
      <c r="I8" s="15" t="str">
        <f t="shared" si="4"/>
        <v>E</v>
      </c>
      <c r="J8" s="15" t="str">
        <f t="shared" si="4"/>
        <v>A</v>
      </c>
      <c r="K8" s="15" t="str">
        <f t="shared" si="4"/>
        <v>J</v>
      </c>
      <c r="L8" s="15" t="str">
        <f t="shared" si="4"/>
        <v>D</v>
      </c>
      <c r="M8" s="15" t="str">
        <f t="shared" si="4"/>
        <v>K</v>
      </c>
      <c r="N8" s="15" t="str">
        <f t="shared" si="4"/>
        <v>S</v>
      </c>
      <c r="O8" s="15" t="str">
        <f t="shared" si="4"/>
        <v>I</v>
      </c>
      <c r="P8" s="15" t="str">
        <f t="shared" si="4"/>
        <v>R</v>
      </c>
      <c r="Q8" s="15" t="str">
        <f t="shared" si="4"/>
        <v>U</v>
      </c>
      <c r="R8" s="15" t="str">
        <f t="shared" si="4"/>
        <v>X</v>
      </c>
      <c r="S8" s="15" t="str">
        <f t="shared" si="4"/>
        <v>B</v>
      </c>
      <c r="T8" s="15" t="str">
        <f t="shared" si="4"/>
        <v>L</v>
      </c>
      <c r="U8" s="15" t="str">
        <f t="shared" si="4"/>
        <v>H</v>
      </c>
      <c r="V8" s="15" t="str">
        <f t="shared" si="4"/>
        <v>W</v>
      </c>
      <c r="W8" s="15" t="str">
        <f t="shared" si="4"/>
        <v>T</v>
      </c>
      <c r="X8" s="15" t="str">
        <f t="shared" si="4"/>
        <v>M</v>
      </c>
      <c r="Y8" s="15" t="str">
        <f t="shared" si="4"/>
        <v>C</v>
      </c>
      <c r="Z8" s="15" t="str">
        <f t="shared" si="4"/>
        <v>Q</v>
      </c>
      <c r="AA8" s="15" t="str">
        <f t="shared" si="4"/>
        <v>G</v>
      </c>
      <c r="AB8" s="15" t="str">
        <f t="shared" si="4"/>
        <v>Z</v>
      </c>
      <c r="AC8" s="15" t="str">
        <f t="shared" si="4"/>
        <v>N</v>
      </c>
      <c r="AD8" s="15" t="str">
        <f t="shared" si="4"/>
        <v>P</v>
      </c>
      <c r="AE8" s="15" t="str">
        <f t="shared" si="4"/>
        <v>Y</v>
      </c>
      <c r="AF8" s="10"/>
      <c r="AH8" s="28" t="str">
        <f t="shared" ref="AH8:BG8" si="5">IF(LEN(AH9)=2,RIGHT(AH9,1),"")</f>
        <v>J</v>
      </c>
      <c r="AI8" s="28" t="str">
        <f t="shared" si="5"/>
        <v>Z</v>
      </c>
      <c r="AJ8" s="28" t="str">
        <f t="shared" si="5"/>
        <v>S</v>
      </c>
      <c r="AK8" s="28" t="str">
        <f t="shared" si="5"/>
        <v>I</v>
      </c>
      <c r="AL8" s="28" t="str">
        <f t="shared" si="5"/>
        <v>E</v>
      </c>
      <c r="AM8" s="28" t="str">
        <f t="shared" si="5"/>
        <v>N</v>
      </c>
      <c r="AN8" s="28" t="str">
        <f t="shared" si="5"/>
        <v>H</v>
      </c>
      <c r="AO8" s="28" t="str">
        <f t="shared" si="5"/>
        <v>O</v>
      </c>
      <c r="AP8" s="28" t="str">
        <f t="shared" si="5"/>
        <v>W</v>
      </c>
      <c r="AQ8" s="28" t="str">
        <f t="shared" si="5"/>
        <v>M</v>
      </c>
      <c r="AR8" s="28" t="str">
        <f t="shared" si="5"/>
        <v>V</v>
      </c>
      <c r="AS8" s="28" t="str">
        <f t="shared" si="5"/>
        <v>Y</v>
      </c>
      <c r="AT8" s="28" t="str">
        <f t="shared" si="5"/>
        <v>B</v>
      </c>
      <c r="AU8" s="28" t="str">
        <f t="shared" si="5"/>
        <v>F</v>
      </c>
      <c r="AV8" s="28" t="str">
        <f t="shared" si="5"/>
        <v>P</v>
      </c>
      <c r="AW8" s="28" t="str">
        <f t="shared" si="5"/>
        <v>L</v>
      </c>
      <c r="AX8" s="28" t="str">
        <f t="shared" si="5"/>
        <v>A</v>
      </c>
      <c r="AY8" s="28" t="str">
        <f t="shared" si="5"/>
        <v>X</v>
      </c>
      <c r="AZ8" s="28" t="str">
        <f t="shared" si="5"/>
        <v>Q</v>
      </c>
      <c r="BA8" s="28" t="str">
        <f t="shared" si="5"/>
        <v>G</v>
      </c>
      <c r="BB8" s="28" t="str">
        <f t="shared" si="5"/>
        <v>U</v>
      </c>
      <c r="BC8" s="28" t="str">
        <f t="shared" si="5"/>
        <v>K</v>
      </c>
      <c r="BD8" s="28" t="str">
        <f t="shared" si="5"/>
        <v>D</v>
      </c>
      <c r="BE8" s="28" t="str">
        <f t="shared" si="5"/>
        <v>R</v>
      </c>
      <c r="BF8" s="28" t="str">
        <f t="shared" si="5"/>
        <v>T</v>
      </c>
      <c r="BG8" s="28" t="str">
        <f t="shared" si="5"/>
        <v>C</v>
      </c>
    </row>
    <row r="9" spans="1:59" ht="15" thickBot="1" x14ac:dyDescent="0.4">
      <c r="B9" s="23"/>
      <c r="C9" s="16"/>
      <c r="D9" s="17"/>
      <c r="E9" s="17" t="s">
        <v>388</v>
      </c>
      <c r="F9" s="18" t="str">
        <f t="shared" ref="F9:AE9" si="6">IF(F5=1,IF(CODE(F8)-CODE(F7)&lt;0,VLOOKUP((CODE(F8)-CODE(F7)+26)+(CODE(F4)-nCharOffset),nNum2Let,2,FALSE),VLOOKUP((CODE(F8)-CODE(F7))+(CODE(F4)-nCharOffset),nNum2Let,2,FALSE)),"")</f>
        <v>J</v>
      </c>
      <c r="G9" s="18" t="str">
        <f t="shared" si="6"/>
        <v>Z</v>
      </c>
      <c r="H9" s="18" t="str">
        <f t="shared" si="6"/>
        <v>S</v>
      </c>
      <c r="I9" s="18" t="str">
        <f t="shared" si="6"/>
        <v>I</v>
      </c>
      <c r="J9" s="18" t="str">
        <f t="shared" si="6"/>
        <v>E</v>
      </c>
      <c r="K9" s="18" t="str">
        <f t="shared" si="6"/>
        <v>N</v>
      </c>
      <c r="L9" s="18" t="str">
        <f t="shared" si="6"/>
        <v>H</v>
      </c>
      <c r="M9" s="18" t="str">
        <f t="shared" si="6"/>
        <v>O</v>
      </c>
      <c r="N9" s="18" t="str">
        <f t="shared" si="6"/>
        <v>W</v>
      </c>
      <c r="O9" s="18" t="str">
        <f t="shared" si="6"/>
        <v>M</v>
      </c>
      <c r="P9" s="18" t="str">
        <f t="shared" si="6"/>
        <v>V</v>
      </c>
      <c r="Q9" s="18" t="str">
        <f t="shared" si="6"/>
        <v>Y</v>
      </c>
      <c r="R9" s="18" t="str">
        <f t="shared" si="6"/>
        <v>B</v>
      </c>
      <c r="S9" s="18" t="str">
        <f t="shared" si="6"/>
        <v>F</v>
      </c>
      <c r="T9" s="18" t="str">
        <f t="shared" si="6"/>
        <v>P</v>
      </c>
      <c r="U9" s="18" t="str">
        <f t="shared" si="6"/>
        <v>L</v>
      </c>
      <c r="V9" s="18" t="str">
        <f t="shared" si="6"/>
        <v>A</v>
      </c>
      <c r="W9" s="18" t="str">
        <f t="shared" si="6"/>
        <v>X</v>
      </c>
      <c r="X9" s="18" t="str">
        <f t="shared" si="6"/>
        <v>Q</v>
      </c>
      <c r="Y9" s="18" t="str">
        <f t="shared" si="6"/>
        <v>G</v>
      </c>
      <c r="Z9" s="18" t="str">
        <f t="shared" si="6"/>
        <v>U</v>
      </c>
      <c r="AA9" s="18" t="str">
        <f t="shared" si="6"/>
        <v>K</v>
      </c>
      <c r="AB9" s="18" t="str">
        <f t="shared" si="6"/>
        <v>D</v>
      </c>
      <c r="AC9" s="18" t="str">
        <f t="shared" si="6"/>
        <v>R</v>
      </c>
      <c r="AD9" s="18" t="str">
        <f t="shared" si="6"/>
        <v>T</v>
      </c>
      <c r="AE9" s="18" t="str">
        <f t="shared" si="6"/>
        <v>C</v>
      </c>
      <c r="AF9" s="19" t="str">
        <f>CONCATENATE(F9,G9,H9,I9,J9,K9,L9,M9,N9,O9,P9,Q9,R9,S9,T9&amp;U9,V9,W9,X9,Y9,Z9,AA9,AB9,AC9,AD9,AE9)</f>
        <v>JZSIENHOWMVYBFPLAXQGUKDRTC</v>
      </c>
      <c r="AH9" s="12" t="str">
        <f>F4&amp;F9</f>
        <v>AJ</v>
      </c>
      <c r="AI9" s="12" t="str">
        <f t="shared" ref="AI9:BG9" si="7">G4&amp;G9</f>
        <v>BZ</v>
      </c>
      <c r="AJ9" s="12" t="str">
        <f t="shared" si="7"/>
        <v>CS</v>
      </c>
      <c r="AK9" s="12" t="str">
        <f t="shared" si="7"/>
        <v>DI</v>
      </c>
      <c r="AL9" s="12" t="str">
        <f t="shared" si="7"/>
        <v>EE</v>
      </c>
      <c r="AM9" s="12" t="str">
        <f t="shared" si="7"/>
        <v>FN</v>
      </c>
      <c r="AN9" s="12" t="str">
        <f t="shared" si="7"/>
        <v>GH</v>
      </c>
      <c r="AO9" s="12" t="str">
        <f t="shared" si="7"/>
        <v>HO</v>
      </c>
      <c r="AP9" s="12" t="str">
        <f t="shared" si="7"/>
        <v>IW</v>
      </c>
      <c r="AQ9" s="12" t="str">
        <f t="shared" si="7"/>
        <v>JM</v>
      </c>
      <c r="AR9" s="12" t="str">
        <f t="shared" si="7"/>
        <v>KV</v>
      </c>
      <c r="AS9" s="12" t="str">
        <f t="shared" si="7"/>
        <v>LY</v>
      </c>
      <c r="AT9" s="12" t="str">
        <f t="shared" si="7"/>
        <v>MB</v>
      </c>
      <c r="AU9" s="12" t="str">
        <f t="shared" si="7"/>
        <v>NF</v>
      </c>
      <c r="AV9" s="12" t="str">
        <f t="shared" si="7"/>
        <v>OP</v>
      </c>
      <c r="AW9" s="12" t="str">
        <f t="shared" si="7"/>
        <v>PL</v>
      </c>
      <c r="AX9" s="12" t="str">
        <f t="shared" si="7"/>
        <v>QA</v>
      </c>
      <c r="AY9" s="12" t="str">
        <f t="shared" si="7"/>
        <v>RX</v>
      </c>
      <c r="AZ9" s="12" t="str">
        <f t="shared" si="7"/>
        <v>SQ</v>
      </c>
      <c r="BA9" s="12" t="str">
        <f t="shared" si="7"/>
        <v>TG</v>
      </c>
      <c r="BB9" s="12" t="str">
        <f t="shared" si="7"/>
        <v>UU</v>
      </c>
      <c r="BC9" s="12" t="str">
        <f t="shared" si="7"/>
        <v>VK</v>
      </c>
      <c r="BD9" s="12" t="str">
        <f t="shared" si="7"/>
        <v>WD</v>
      </c>
      <c r="BE9" s="12" t="str">
        <f t="shared" si="7"/>
        <v>XR</v>
      </c>
      <c r="BF9" s="12" t="str">
        <f t="shared" si="7"/>
        <v>YT</v>
      </c>
      <c r="BG9" s="12" t="str">
        <f t="shared" si="7"/>
        <v>ZC</v>
      </c>
    </row>
    <row r="10" spans="1:59" x14ac:dyDescent="0.35">
      <c r="B10" s="21"/>
      <c r="C10" s="4"/>
      <c r="D10" s="5"/>
      <c r="E10" s="5" t="s">
        <v>385</v>
      </c>
      <c r="F10" s="6" t="s">
        <v>0</v>
      </c>
      <c r="G10" s="6" t="s">
        <v>1</v>
      </c>
      <c r="H10" s="6" t="s">
        <v>2</v>
      </c>
      <c r="I10" s="6" t="s">
        <v>3</v>
      </c>
      <c r="J10" s="6" t="s">
        <v>4</v>
      </c>
      <c r="K10" s="6" t="s">
        <v>5</v>
      </c>
      <c r="L10" s="6" t="s">
        <v>6</v>
      </c>
      <c r="M10" s="6" t="s">
        <v>7</v>
      </c>
      <c r="N10" s="6" t="s">
        <v>8</v>
      </c>
      <c r="O10" s="6" t="s">
        <v>9</v>
      </c>
      <c r="P10" s="6" t="s">
        <v>10</v>
      </c>
      <c r="Q10" s="6" t="s">
        <v>11</v>
      </c>
      <c r="R10" s="6" t="s">
        <v>12</v>
      </c>
      <c r="S10" s="6" t="s">
        <v>13</v>
      </c>
      <c r="T10" s="6" t="s">
        <v>14</v>
      </c>
      <c r="U10" s="6" t="s">
        <v>15</v>
      </c>
      <c r="V10" s="6" t="s">
        <v>16</v>
      </c>
      <c r="W10" s="6" t="s">
        <v>17</v>
      </c>
      <c r="X10" s="6" t="s">
        <v>18</v>
      </c>
      <c r="Y10" s="6" t="s">
        <v>19</v>
      </c>
      <c r="Z10" s="6" t="s">
        <v>20</v>
      </c>
      <c r="AA10" s="6" t="s">
        <v>21</v>
      </c>
      <c r="AB10" s="6" t="s">
        <v>22</v>
      </c>
      <c r="AC10" s="6" t="s">
        <v>23</v>
      </c>
      <c r="AD10" s="6" t="s">
        <v>24</v>
      </c>
      <c r="AE10" s="6" t="s">
        <v>25</v>
      </c>
      <c r="AF10" s="20"/>
    </row>
    <row r="11" spans="1:59" x14ac:dyDescent="0.35">
      <c r="A11" s="43">
        <f>INT(D2/26)</f>
        <v>142</v>
      </c>
      <c r="B11" s="10"/>
      <c r="C11" s="8"/>
      <c r="F11" s="1">
        <f>IF(ISERROR(FIND(F10,$AF9)),0,1)</f>
        <v>1</v>
      </c>
      <c r="G11" s="1">
        <f t="shared" ref="G11:AE11" si="8">IF(ISERROR(FIND(G10,$AF9)),0,1)</f>
        <v>1</v>
      </c>
      <c r="H11" s="1">
        <f t="shared" si="8"/>
        <v>1</v>
      </c>
      <c r="I11" s="1">
        <f t="shared" si="8"/>
        <v>1</v>
      </c>
      <c r="J11" s="1">
        <f t="shared" si="8"/>
        <v>1</v>
      </c>
      <c r="K11" s="1">
        <f t="shared" si="8"/>
        <v>1</v>
      </c>
      <c r="L11" s="1">
        <f t="shared" si="8"/>
        <v>1</v>
      </c>
      <c r="M11" s="1">
        <f t="shared" si="8"/>
        <v>1</v>
      </c>
      <c r="N11" s="1">
        <f t="shared" si="8"/>
        <v>1</v>
      </c>
      <c r="O11" s="1">
        <f t="shared" si="8"/>
        <v>1</v>
      </c>
      <c r="P11" s="1">
        <f t="shared" si="8"/>
        <v>1</v>
      </c>
      <c r="Q11" s="1">
        <f t="shared" si="8"/>
        <v>1</v>
      </c>
      <c r="R11" s="1">
        <f t="shared" si="8"/>
        <v>1</v>
      </c>
      <c r="S11" s="1">
        <f t="shared" si="8"/>
        <v>1</v>
      </c>
      <c r="T11" s="1">
        <f t="shared" si="8"/>
        <v>1</v>
      </c>
      <c r="U11" s="1">
        <f t="shared" si="8"/>
        <v>1</v>
      </c>
      <c r="V11" s="1">
        <f t="shared" si="8"/>
        <v>1</v>
      </c>
      <c r="W11" s="1">
        <f t="shared" si="8"/>
        <v>1</v>
      </c>
      <c r="X11" s="1">
        <f t="shared" si="8"/>
        <v>1</v>
      </c>
      <c r="Y11" s="1">
        <f t="shared" si="8"/>
        <v>1</v>
      </c>
      <c r="Z11" s="1">
        <f t="shared" si="8"/>
        <v>1</v>
      </c>
      <c r="AA11" s="1">
        <f t="shared" si="8"/>
        <v>1</v>
      </c>
      <c r="AB11" s="1">
        <f t="shared" si="8"/>
        <v>1</v>
      </c>
      <c r="AC11" s="1">
        <f t="shared" si="8"/>
        <v>1</v>
      </c>
      <c r="AD11" s="1">
        <f t="shared" si="8"/>
        <v>1</v>
      </c>
      <c r="AE11" s="1">
        <f t="shared" si="8"/>
        <v>1</v>
      </c>
      <c r="AF11" s="10"/>
    </row>
    <row r="12" spans="1:59" x14ac:dyDescent="0.35">
      <c r="A12" s="43">
        <f>IF(A11=0,26,A11)</f>
        <v>142</v>
      </c>
      <c r="B12" s="10" t="s">
        <v>380</v>
      </c>
      <c r="C12" s="41">
        <f>n_RotorM</f>
        <v>4</v>
      </c>
      <c r="D12" s="11">
        <f>A12</f>
        <v>142</v>
      </c>
      <c r="E12" s="11">
        <f>IF(MOD(D12,26)=0,26,MOD(D12,26))</f>
        <v>12</v>
      </c>
      <c r="F12" s="12" t="str">
        <f>CHAR(E12+nCharOffset)</f>
        <v>L</v>
      </c>
      <c r="G12" s="13" t="str">
        <f t="shared" ref="G12:AE12" si="9">VLOOKUP(F12,nNextLetter,2,FALSE)</f>
        <v>M</v>
      </c>
      <c r="H12" s="13" t="str">
        <f t="shared" si="9"/>
        <v>N</v>
      </c>
      <c r="I12" s="13" t="str">
        <f t="shared" si="9"/>
        <v>O</v>
      </c>
      <c r="J12" s="13" t="str">
        <f t="shared" si="9"/>
        <v>P</v>
      </c>
      <c r="K12" s="13" t="str">
        <f t="shared" si="9"/>
        <v>Q</v>
      </c>
      <c r="L12" s="13" t="str">
        <f t="shared" si="9"/>
        <v>R</v>
      </c>
      <c r="M12" s="13" t="str">
        <f t="shared" si="9"/>
        <v>S</v>
      </c>
      <c r="N12" s="13" t="str">
        <f t="shared" si="9"/>
        <v>T</v>
      </c>
      <c r="O12" s="13" t="str">
        <f t="shared" si="9"/>
        <v>U</v>
      </c>
      <c r="P12" s="13" t="str">
        <f t="shared" si="9"/>
        <v>V</v>
      </c>
      <c r="Q12" s="13" t="str">
        <f t="shared" si="9"/>
        <v>W</v>
      </c>
      <c r="R12" s="13" t="str">
        <f t="shared" si="9"/>
        <v>X</v>
      </c>
      <c r="S12" s="13" t="str">
        <f t="shared" si="9"/>
        <v>Y</v>
      </c>
      <c r="T12" s="13" t="str">
        <f t="shared" si="9"/>
        <v>Z</v>
      </c>
      <c r="U12" s="13" t="str">
        <f t="shared" si="9"/>
        <v>A</v>
      </c>
      <c r="V12" s="13" t="str">
        <f t="shared" si="9"/>
        <v>B</v>
      </c>
      <c r="W12" s="13" t="str">
        <f t="shared" si="9"/>
        <v>C</v>
      </c>
      <c r="X12" s="13" t="str">
        <f t="shared" si="9"/>
        <v>D</v>
      </c>
      <c r="Y12" s="13" t="str">
        <f t="shared" si="9"/>
        <v>E</v>
      </c>
      <c r="Z12" s="13" t="str">
        <f t="shared" si="9"/>
        <v>F</v>
      </c>
      <c r="AA12" s="13" t="str">
        <f t="shared" si="9"/>
        <v>G</v>
      </c>
      <c r="AB12" s="13" t="str">
        <f t="shared" si="9"/>
        <v>H</v>
      </c>
      <c r="AC12" s="13" t="str">
        <f t="shared" si="9"/>
        <v>I</v>
      </c>
      <c r="AD12" s="13" t="str">
        <f t="shared" si="9"/>
        <v>J</v>
      </c>
      <c r="AE12" s="13" t="str">
        <f t="shared" si="9"/>
        <v>K</v>
      </c>
      <c r="AF12" s="10"/>
    </row>
    <row r="13" spans="1:59" x14ac:dyDescent="0.35">
      <c r="B13" s="22" t="s">
        <v>390</v>
      </c>
      <c r="C13" s="41" t="str">
        <f>n_RingPosM</f>
        <v>A</v>
      </c>
      <c r="D13" s="11">
        <f>VLOOKUP(C13,nRingOffset,2,FALSE)</f>
        <v>0</v>
      </c>
      <c r="E13" t="s">
        <v>386</v>
      </c>
      <c r="F13" s="14" t="str">
        <f t="shared" ref="F13:AE13" si="10">IF(F11=1,VLOOKUP(nCurPosM+nRingOffsetM+(CODE(F10)-nCharOffset)-1,nNum2Let,2,FALSE),"")</f>
        <v>L</v>
      </c>
      <c r="G13" s="14" t="str">
        <f t="shared" si="10"/>
        <v>M</v>
      </c>
      <c r="H13" s="14" t="str">
        <f t="shared" si="10"/>
        <v>N</v>
      </c>
      <c r="I13" s="14" t="str">
        <f t="shared" si="10"/>
        <v>O</v>
      </c>
      <c r="J13" s="14" t="str">
        <f t="shared" si="10"/>
        <v>P</v>
      </c>
      <c r="K13" s="14" t="str">
        <f t="shared" si="10"/>
        <v>Q</v>
      </c>
      <c r="L13" s="14" t="str">
        <f t="shared" si="10"/>
        <v>R</v>
      </c>
      <c r="M13" s="14" t="str">
        <f t="shared" si="10"/>
        <v>S</v>
      </c>
      <c r="N13" s="14" t="str">
        <f t="shared" si="10"/>
        <v>T</v>
      </c>
      <c r="O13" s="14" t="str">
        <f t="shared" si="10"/>
        <v>U</v>
      </c>
      <c r="P13" s="14" t="str">
        <f t="shared" si="10"/>
        <v>V</v>
      </c>
      <c r="Q13" s="14" t="str">
        <f t="shared" si="10"/>
        <v>W</v>
      </c>
      <c r="R13" s="14" t="str">
        <f t="shared" si="10"/>
        <v>X</v>
      </c>
      <c r="S13" s="14" t="str">
        <f t="shared" si="10"/>
        <v>Y</v>
      </c>
      <c r="T13" s="14" t="str">
        <f t="shared" si="10"/>
        <v>Z</v>
      </c>
      <c r="U13" s="14" t="str">
        <f t="shared" si="10"/>
        <v>A</v>
      </c>
      <c r="V13" s="14" t="str">
        <f t="shared" si="10"/>
        <v>B</v>
      </c>
      <c r="W13" s="14" t="str">
        <f t="shared" si="10"/>
        <v>C</v>
      </c>
      <c r="X13" s="14" t="str">
        <f t="shared" si="10"/>
        <v>D</v>
      </c>
      <c r="Y13" s="14" t="str">
        <f t="shared" si="10"/>
        <v>E</v>
      </c>
      <c r="Z13" s="14" t="str">
        <f t="shared" si="10"/>
        <v>F</v>
      </c>
      <c r="AA13" s="14" t="str">
        <f t="shared" si="10"/>
        <v>G</v>
      </c>
      <c r="AB13" s="14" t="str">
        <f t="shared" si="10"/>
        <v>H</v>
      </c>
      <c r="AC13" s="14" t="str">
        <f t="shared" si="10"/>
        <v>I</v>
      </c>
      <c r="AD13" s="14" t="str">
        <f t="shared" si="10"/>
        <v>J</v>
      </c>
      <c r="AE13" s="14" t="str">
        <f t="shared" si="10"/>
        <v>K</v>
      </c>
      <c r="AF13" s="10"/>
      <c r="AH13" s="28" t="str">
        <f t="shared" ref="AH13:BG13" si="11">IF(LEN(AH15)=2,LEFT(AH15,1),"")</f>
        <v>A</v>
      </c>
      <c r="AI13" s="28" t="str">
        <f t="shared" si="11"/>
        <v>B</v>
      </c>
      <c r="AJ13" s="28" t="str">
        <f t="shared" si="11"/>
        <v>C</v>
      </c>
      <c r="AK13" s="28" t="str">
        <f t="shared" si="11"/>
        <v>D</v>
      </c>
      <c r="AL13" s="28" t="str">
        <f t="shared" si="11"/>
        <v>E</v>
      </c>
      <c r="AM13" s="28" t="str">
        <f t="shared" si="11"/>
        <v>F</v>
      </c>
      <c r="AN13" s="28" t="str">
        <f t="shared" si="11"/>
        <v>G</v>
      </c>
      <c r="AO13" s="28" t="str">
        <f t="shared" si="11"/>
        <v>H</v>
      </c>
      <c r="AP13" s="28" t="str">
        <f t="shared" si="11"/>
        <v>I</v>
      </c>
      <c r="AQ13" s="28" t="str">
        <f t="shared" si="11"/>
        <v>J</v>
      </c>
      <c r="AR13" s="28" t="str">
        <f t="shared" si="11"/>
        <v>K</v>
      </c>
      <c r="AS13" s="28" t="str">
        <f t="shared" si="11"/>
        <v>L</v>
      </c>
      <c r="AT13" s="28" t="str">
        <f t="shared" si="11"/>
        <v>M</v>
      </c>
      <c r="AU13" s="28" t="str">
        <f t="shared" si="11"/>
        <v>N</v>
      </c>
      <c r="AV13" s="28" t="str">
        <f t="shared" si="11"/>
        <v>O</v>
      </c>
      <c r="AW13" s="28" t="str">
        <f t="shared" si="11"/>
        <v>P</v>
      </c>
      <c r="AX13" s="28" t="str">
        <f t="shared" si="11"/>
        <v>Q</v>
      </c>
      <c r="AY13" s="28" t="str">
        <f t="shared" si="11"/>
        <v>R</v>
      </c>
      <c r="AZ13" s="28" t="str">
        <f t="shared" si="11"/>
        <v>S</v>
      </c>
      <c r="BA13" s="28" t="str">
        <f t="shared" si="11"/>
        <v>T</v>
      </c>
      <c r="BB13" s="28" t="str">
        <f t="shared" si="11"/>
        <v>U</v>
      </c>
      <c r="BC13" s="28" t="str">
        <f t="shared" si="11"/>
        <v>V</v>
      </c>
      <c r="BD13" s="28" t="str">
        <f t="shared" si="11"/>
        <v>W</v>
      </c>
      <c r="BE13" s="28" t="str">
        <f t="shared" si="11"/>
        <v>X</v>
      </c>
      <c r="BF13" s="28" t="str">
        <f t="shared" si="11"/>
        <v>Y</v>
      </c>
      <c r="BG13" s="28" t="str">
        <f t="shared" si="11"/>
        <v>Z</v>
      </c>
    </row>
    <row r="14" spans="1:59" x14ac:dyDescent="0.35">
      <c r="B14" s="22"/>
      <c r="C14" s="8"/>
      <c r="E14" t="s">
        <v>387</v>
      </c>
      <c r="F14" s="15" t="str">
        <f t="shared" ref="F14:AE14" si="12">IF(F11=1,VLOOKUP(nRotorM&amp;F13,nRotor,4,FALSE),"")</f>
        <v>I</v>
      </c>
      <c r="G14" s="15" t="str">
        <f t="shared" si="12"/>
        <v>R</v>
      </c>
      <c r="H14" s="15" t="str">
        <f t="shared" si="12"/>
        <v>H</v>
      </c>
      <c r="I14" s="15" t="str">
        <f t="shared" si="12"/>
        <v>X</v>
      </c>
      <c r="J14" s="15" t="str">
        <f t="shared" si="12"/>
        <v>L</v>
      </c>
      <c r="K14" s="15" t="str">
        <f t="shared" si="12"/>
        <v>N</v>
      </c>
      <c r="L14" s="15" t="str">
        <f t="shared" si="12"/>
        <v>F</v>
      </c>
      <c r="M14" s="15" t="str">
        <f t="shared" si="12"/>
        <v>T</v>
      </c>
      <c r="N14" s="15" t="str">
        <f t="shared" si="12"/>
        <v>G</v>
      </c>
      <c r="O14" s="15" t="str">
        <f t="shared" si="12"/>
        <v>K</v>
      </c>
      <c r="P14" s="15" t="str">
        <f t="shared" si="12"/>
        <v>D</v>
      </c>
      <c r="Q14" s="15" t="str">
        <f t="shared" si="12"/>
        <v>C</v>
      </c>
      <c r="R14" s="15" t="str">
        <f t="shared" si="12"/>
        <v>M</v>
      </c>
      <c r="S14" s="15" t="str">
        <f t="shared" si="12"/>
        <v>W</v>
      </c>
      <c r="T14" s="15" t="str">
        <f t="shared" si="12"/>
        <v>B</v>
      </c>
      <c r="U14" s="15" t="str">
        <f t="shared" si="12"/>
        <v>E</v>
      </c>
      <c r="V14" s="15" t="str">
        <f t="shared" si="12"/>
        <v>S</v>
      </c>
      <c r="W14" s="15" t="str">
        <f t="shared" si="12"/>
        <v>O</v>
      </c>
      <c r="X14" s="15" t="str">
        <f t="shared" si="12"/>
        <v>V</v>
      </c>
      <c r="Y14" s="15" t="str">
        <f t="shared" si="12"/>
        <v>P</v>
      </c>
      <c r="Z14" s="15" t="str">
        <f t="shared" si="12"/>
        <v>Z</v>
      </c>
      <c r="AA14" s="15" t="str">
        <f t="shared" si="12"/>
        <v>J</v>
      </c>
      <c r="AB14" s="15" t="str">
        <f t="shared" si="12"/>
        <v>A</v>
      </c>
      <c r="AC14" s="15" t="str">
        <f t="shared" si="12"/>
        <v>Y</v>
      </c>
      <c r="AD14" s="15" t="str">
        <f t="shared" si="12"/>
        <v>Q</v>
      </c>
      <c r="AE14" s="15" t="str">
        <f t="shared" si="12"/>
        <v>U</v>
      </c>
      <c r="AF14" s="10"/>
      <c r="AH14" s="28" t="str">
        <f t="shared" ref="AH14:BG14" si="13">IF(LEN(AH15)=2,RIGHT(AH15,1),"")</f>
        <v>X</v>
      </c>
      <c r="AI14" s="28" t="str">
        <f t="shared" si="13"/>
        <v>G</v>
      </c>
      <c r="AJ14" s="28" t="str">
        <f t="shared" si="13"/>
        <v>W</v>
      </c>
      <c r="AK14" s="28" t="str">
        <f t="shared" si="13"/>
        <v>M</v>
      </c>
      <c r="AL14" s="28" t="str">
        <f t="shared" si="13"/>
        <v>A</v>
      </c>
      <c r="AM14" s="28" t="str">
        <f t="shared" si="13"/>
        <v>C</v>
      </c>
      <c r="AN14" s="28" t="str">
        <f t="shared" si="13"/>
        <v>U</v>
      </c>
      <c r="AO14" s="28" t="str">
        <f t="shared" si="13"/>
        <v>I</v>
      </c>
      <c r="AP14" s="28" t="str">
        <f t="shared" si="13"/>
        <v>V</v>
      </c>
      <c r="AQ14" s="28" t="str">
        <f t="shared" si="13"/>
        <v>Z</v>
      </c>
      <c r="AR14" s="28" t="str">
        <f t="shared" si="13"/>
        <v>S</v>
      </c>
      <c r="AS14" s="28" t="str">
        <f t="shared" si="13"/>
        <v>R</v>
      </c>
      <c r="AT14" s="28" t="str">
        <f t="shared" si="13"/>
        <v>B</v>
      </c>
      <c r="AU14" s="28" t="str">
        <f t="shared" si="13"/>
        <v>L</v>
      </c>
      <c r="AV14" s="28" t="str">
        <f t="shared" si="13"/>
        <v>Q</v>
      </c>
      <c r="AW14" s="28" t="str">
        <f t="shared" si="13"/>
        <v>T</v>
      </c>
      <c r="AX14" s="28" t="str">
        <f t="shared" si="13"/>
        <v>H</v>
      </c>
      <c r="AY14" s="28" t="str">
        <f t="shared" si="13"/>
        <v>D</v>
      </c>
      <c r="AZ14" s="28" t="str">
        <f t="shared" si="13"/>
        <v>K</v>
      </c>
      <c r="BA14" s="28" t="str">
        <f t="shared" si="13"/>
        <v>E</v>
      </c>
      <c r="BB14" s="28" t="str">
        <f t="shared" si="13"/>
        <v>O</v>
      </c>
      <c r="BC14" s="28" t="str">
        <f t="shared" si="13"/>
        <v>Y</v>
      </c>
      <c r="BD14" s="28" t="str">
        <f t="shared" si="13"/>
        <v>P</v>
      </c>
      <c r="BE14" s="28" t="str">
        <f t="shared" si="13"/>
        <v>N</v>
      </c>
      <c r="BF14" s="28" t="str">
        <f t="shared" si="13"/>
        <v>F</v>
      </c>
      <c r="BG14" s="28" t="str">
        <f t="shared" si="13"/>
        <v>J</v>
      </c>
    </row>
    <row r="15" spans="1:59" ht="15" thickBot="1" x14ac:dyDescent="0.4">
      <c r="B15" s="23"/>
      <c r="C15" s="16"/>
      <c r="D15" s="17"/>
      <c r="E15" s="17" t="s">
        <v>388</v>
      </c>
      <c r="F15" s="18" t="str">
        <f t="shared" ref="F15:AE15" si="14">IF(F11=1,IF(CODE(F14)-CODE(F13)&lt;0,VLOOKUP((CODE(F14)-CODE(F13)+26)+(CODE(F10)-nCharOffset),nNum2Let,2,FALSE),VLOOKUP((CODE(F14)-CODE(F13))+(CODE(F10)-nCharOffset),nNum2Let,2,FALSE)),"")</f>
        <v>X</v>
      </c>
      <c r="G15" s="18" t="str">
        <f t="shared" si="14"/>
        <v>G</v>
      </c>
      <c r="H15" s="18" t="str">
        <f t="shared" si="14"/>
        <v>W</v>
      </c>
      <c r="I15" s="18" t="str">
        <f t="shared" si="14"/>
        <v>M</v>
      </c>
      <c r="J15" s="18" t="str">
        <f t="shared" si="14"/>
        <v>A</v>
      </c>
      <c r="K15" s="18" t="str">
        <f t="shared" si="14"/>
        <v>C</v>
      </c>
      <c r="L15" s="18" t="str">
        <f t="shared" si="14"/>
        <v>U</v>
      </c>
      <c r="M15" s="18" t="str">
        <f t="shared" si="14"/>
        <v>I</v>
      </c>
      <c r="N15" s="18" t="str">
        <f t="shared" si="14"/>
        <v>V</v>
      </c>
      <c r="O15" s="18" t="str">
        <f t="shared" si="14"/>
        <v>Z</v>
      </c>
      <c r="P15" s="18" t="str">
        <f t="shared" si="14"/>
        <v>S</v>
      </c>
      <c r="Q15" s="18" t="str">
        <f t="shared" si="14"/>
        <v>R</v>
      </c>
      <c r="R15" s="18" t="str">
        <f t="shared" si="14"/>
        <v>B</v>
      </c>
      <c r="S15" s="18" t="str">
        <f t="shared" si="14"/>
        <v>L</v>
      </c>
      <c r="T15" s="18" t="str">
        <f t="shared" si="14"/>
        <v>Q</v>
      </c>
      <c r="U15" s="18" t="str">
        <f t="shared" si="14"/>
        <v>T</v>
      </c>
      <c r="V15" s="18" t="str">
        <f t="shared" si="14"/>
        <v>H</v>
      </c>
      <c r="W15" s="18" t="str">
        <f t="shared" si="14"/>
        <v>D</v>
      </c>
      <c r="X15" s="18" t="str">
        <f t="shared" si="14"/>
        <v>K</v>
      </c>
      <c r="Y15" s="18" t="str">
        <f t="shared" si="14"/>
        <v>E</v>
      </c>
      <c r="Z15" s="18" t="str">
        <f t="shared" si="14"/>
        <v>O</v>
      </c>
      <c r="AA15" s="18" t="str">
        <f t="shared" si="14"/>
        <v>Y</v>
      </c>
      <c r="AB15" s="18" t="str">
        <f t="shared" si="14"/>
        <v>P</v>
      </c>
      <c r="AC15" s="18" t="str">
        <f t="shared" si="14"/>
        <v>N</v>
      </c>
      <c r="AD15" s="18" t="str">
        <f t="shared" si="14"/>
        <v>F</v>
      </c>
      <c r="AE15" s="18" t="str">
        <f t="shared" si="14"/>
        <v>J</v>
      </c>
      <c r="AF15" s="19" t="str">
        <f>CONCATENATE(F15,G15,H15,I15,J15,K15,L15,M15,N15,O15,P15,Q15,R15,S15,T15&amp;U15,V15,W15,X15,Y15,Z15,AA15,AB15,AC15,AD15,AE15)</f>
        <v>XGWMACUIVZSRBLQTHDKEOYPNFJ</v>
      </c>
      <c r="AH15" s="12" t="str">
        <f>F10&amp;F15</f>
        <v>AX</v>
      </c>
      <c r="AI15" s="12" t="str">
        <f t="shared" ref="AI15:BG15" si="15">G10&amp;G15</f>
        <v>BG</v>
      </c>
      <c r="AJ15" s="12" t="str">
        <f t="shared" si="15"/>
        <v>CW</v>
      </c>
      <c r="AK15" s="12" t="str">
        <f t="shared" si="15"/>
        <v>DM</v>
      </c>
      <c r="AL15" s="12" t="str">
        <f t="shared" si="15"/>
        <v>EA</v>
      </c>
      <c r="AM15" s="12" t="str">
        <f t="shared" si="15"/>
        <v>FC</v>
      </c>
      <c r="AN15" s="12" t="str">
        <f t="shared" si="15"/>
        <v>GU</v>
      </c>
      <c r="AO15" s="12" t="str">
        <f t="shared" si="15"/>
        <v>HI</v>
      </c>
      <c r="AP15" s="12" t="str">
        <f t="shared" si="15"/>
        <v>IV</v>
      </c>
      <c r="AQ15" s="12" t="str">
        <f t="shared" si="15"/>
        <v>JZ</v>
      </c>
      <c r="AR15" s="12" t="str">
        <f t="shared" si="15"/>
        <v>KS</v>
      </c>
      <c r="AS15" s="12" t="str">
        <f t="shared" si="15"/>
        <v>LR</v>
      </c>
      <c r="AT15" s="12" t="str">
        <f t="shared" si="15"/>
        <v>MB</v>
      </c>
      <c r="AU15" s="12" t="str">
        <f t="shared" si="15"/>
        <v>NL</v>
      </c>
      <c r="AV15" s="12" t="str">
        <f t="shared" si="15"/>
        <v>OQ</v>
      </c>
      <c r="AW15" s="12" t="str">
        <f t="shared" si="15"/>
        <v>PT</v>
      </c>
      <c r="AX15" s="12" t="str">
        <f t="shared" si="15"/>
        <v>QH</v>
      </c>
      <c r="AY15" s="12" t="str">
        <f t="shared" si="15"/>
        <v>RD</v>
      </c>
      <c r="AZ15" s="12" t="str">
        <f t="shared" si="15"/>
        <v>SK</v>
      </c>
      <c r="BA15" s="12" t="str">
        <f t="shared" si="15"/>
        <v>TE</v>
      </c>
      <c r="BB15" s="12" t="str">
        <f t="shared" si="15"/>
        <v>UO</v>
      </c>
      <c r="BC15" s="12" t="str">
        <f t="shared" si="15"/>
        <v>VY</v>
      </c>
      <c r="BD15" s="12" t="str">
        <f t="shared" si="15"/>
        <v>WP</v>
      </c>
      <c r="BE15" s="12" t="str">
        <f t="shared" si="15"/>
        <v>XN</v>
      </c>
      <c r="BF15" s="12" t="str">
        <f t="shared" si="15"/>
        <v>YF</v>
      </c>
      <c r="BG15" s="12" t="str">
        <f t="shared" si="15"/>
        <v>ZJ</v>
      </c>
    </row>
    <row r="16" spans="1:59" x14ac:dyDescent="0.35">
      <c r="B16" s="21"/>
      <c r="C16" s="4"/>
      <c r="D16" s="5"/>
      <c r="E16" s="5" t="s">
        <v>385</v>
      </c>
      <c r="F16" s="6" t="s">
        <v>0</v>
      </c>
      <c r="G16" s="6" t="s">
        <v>1</v>
      </c>
      <c r="H16" s="6" t="s">
        <v>2</v>
      </c>
      <c r="I16" s="6" t="s">
        <v>3</v>
      </c>
      <c r="J16" s="6" t="s">
        <v>4</v>
      </c>
      <c r="K16" s="6" t="s">
        <v>5</v>
      </c>
      <c r="L16" s="6" t="s">
        <v>6</v>
      </c>
      <c r="M16" s="6" t="s">
        <v>7</v>
      </c>
      <c r="N16" s="6" t="s">
        <v>8</v>
      </c>
      <c r="O16" s="6" t="s">
        <v>9</v>
      </c>
      <c r="P16" s="6" t="s">
        <v>10</v>
      </c>
      <c r="Q16" s="6" t="s">
        <v>11</v>
      </c>
      <c r="R16" s="6" t="s">
        <v>12</v>
      </c>
      <c r="S16" s="6" t="s">
        <v>13</v>
      </c>
      <c r="T16" s="6" t="s">
        <v>14</v>
      </c>
      <c r="U16" s="6" t="s">
        <v>15</v>
      </c>
      <c r="V16" s="6" t="s">
        <v>16</v>
      </c>
      <c r="W16" s="6" t="s">
        <v>17</v>
      </c>
      <c r="X16" s="6" t="s">
        <v>18</v>
      </c>
      <c r="Y16" s="6" t="s">
        <v>19</v>
      </c>
      <c r="Z16" s="6" t="s">
        <v>20</v>
      </c>
      <c r="AA16" s="6" t="s">
        <v>21</v>
      </c>
      <c r="AB16" s="6" t="s">
        <v>22</v>
      </c>
      <c r="AC16" s="6" t="s">
        <v>23</v>
      </c>
      <c r="AD16" s="6" t="s">
        <v>24</v>
      </c>
      <c r="AE16" s="6" t="s">
        <v>25</v>
      </c>
      <c r="AF16" s="7"/>
      <c r="AH16" s="28" t="str">
        <f>HLOOKUP(AH8,$AH13:$BG14,2,FALSE)</f>
        <v>Z</v>
      </c>
      <c r="AI16" s="28" t="str">
        <f>HLOOKUP(AI8,$AH13:$BG14,2,FALSE)</f>
        <v>J</v>
      </c>
      <c r="AJ16" s="28" t="str">
        <f>HLOOKUP(AJ8,$AH13:$BG14,2,FALSE)</f>
        <v>K</v>
      </c>
      <c r="AK16" s="28" t="str">
        <f t="shared" ref="AK16:BG16" si="16">HLOOKUP(AK8,$AH13:$BG14,2,FALSE)</f>
        <v>V</v>
      </c>
      <c r="AL16" s="28" t="str">
        <f t="shared" si="16"/>
        <v>A</v>
      </c>
      <c r="AM16" s="28" t="str">
        <f t="shared" si="16"/>
        <v>L</v>
      </c>
      <c r="AN16" s="28" t="str">
        <f t="shared" si="16"/>
        <v>I</v>
      </c>
      <c r="AO16" s="28" t="str">
        <f t="shared" si="16"/>
        <v>Q</v>
      </c>
      <c r="AP16" s="28" t="str">
        <f t="shared" si="16"/>
        <v>P</v>
      </c>
      <c r="AQ16" s="28" t="str">
        <f t="shared" si="16"/>
        <v>B</v>
      </c>
      <c r="AR16" s="28" t="str">
        <f t="shared" si="16"/>
        <v>Y</v>
      </c>
      <c r="AS16" s="28" t="str">
        <f t="shared" si="16"/>
        <v>F</v>
      </c>
      <c r="AT16" s="28" t="str">
        <f t="shared" si="16"/>
        <v>G</v>
      </c>
      <c r="AU16" s="28" t="str">
        <f t="shared" si="16"/>
        <v>C</v>
      </c>
      <c r="AV16" s="28" t="str">
        <f t="shared" si="16"/>
        <v>T</v>
      </c>
      <c r="AW16" s="28" t="str">
        <f t="shared" si="16"/>
        <v>R</v>
      </c>
      <c r="AX16" s="28" t="str">
        <f t="shared" si="16"/>
        <v>X</v>
      </c>
      <c r="AY16" s="28" t="str">
        <f t="shared" si="16"/>
        <v>N</v>
      </c>
      <c r="AZ16" s="28" t="str">
        <f t="shared" si="16"/>
        <v>H</v>
      </c>
      <c r="BA16" s="28" t="str">
        <f t="shared" si="16"/>
        <v>U</v>
      </c>
      <c r="BB16" s="28" t="str">
        <f t="shared" si="16"/>
        <v>O</v>
      </c>
      <c r="BC16" s="28" t="str">
        <f t="shared" si="16"/>
        <v>S</v>
      </c>
      <c r="BD16" s="28" t="str">
        <f t="shared" si="16"/>
        <v>M</v>
      </c>
      <c r="BE16" s="28" t="str">
        <f t="shared" si="16"/>
        <v>D</v>
      </c>
      <c r="BF16" s="28" t="str">
        <f t="shared" si="16"/>
        <v>E</v>
      </c>
      <c r="BG16" s="28" t="str">
        <f t="shared" si="16"/>
        <v>W</v>
      </c>
    </row>
    <row r="17" spans="1:59" x14ac:dyDescent="0.35">
      <c r="A17" s="43">
        <f>INT(D2/676)</f>
        <v>5</v>
      </c>
      <c r="B17" s="10"/>
      <c r="C17" s="8"/>
      <c r="F17" s="1">
        <f>IF(ISERROR(FIND(F16,$AF15)),0,1)</f>
        <v>1</v>
      </c>
      <c r="G17" s="1">
        <f t="shared" ref="G17:AE17" si="17">IF(ISERROR(FIND(G16,$AF15)),0,1)</f>
        <v>1</v>
      </c>
      <c r="H17" s="1">
        <f t="shared" si="17"/>
        <v>1</v>
      </c>
      <c r="I17" s="1">
        <f t="shared" si="17"/>
        <v>1</v>
      </c>
      <c r="J17" s="1">
        <f t="shared" si="17"/>
        <v>1</v>
      </c>
      <c r="K17" s="1">
        <f t="shared" si="17"/>
        <v>1</v>
      </c>
      <c r="L17" s="1">
        <f t="shared" si="17"/>
        <v>1</v>
      </c>
      <c r="M17" s="1">
        <f t="shared" si="17"/>
        <v>1</v>
      </c>
      <c r="N17" s="1">
        <f t="shared" si="17"/>
        <v>1</v>
      </c>
      <c r="O17" s="1">
        <f t="shared" si="17"/>
        <v>1</v>
      </c>
      <c r="P17" s="1">
        <f t="shared" si="17"/>
        <v>1</v>
      </c>
      <c r="Q17" s="1">
        <f t="shared" si="17"/>
        <v>1</v>
      </c>
      <c r="R17" s="1">
        <f t="shared" si="17"/>
        <v>1</v>
      </c>
      <c r="S17" s="1">
        <f t="shared" si="17"/>
        <v>1</v>
      </c>
      <c r="T17" s="1">
        <f t="shared" si="17"/>
        <v>1</v>
      </c>
      <c r="U17" s="1">
        <f t="shared" si="17"/>
        <v>1</v>
      </c>
      <c r="V17" s="1">
        <f t="shared" si="17"/>
        <v>1</v>
      </c>
      <c r="W17" s="1">
        <f t="shared" si="17"/>
        <v>1</v>
      </c>
      <c r="X17" s="1">
        <f t="shared" si="17"/>
        <v>1</v>
      </c>
      <c r="Y17" s="1">
        <f t="shared" si="17"/>
        <v>1</v>
      </c>
      <c r="Z17" s="1">
        <f t="shared" si="17"/>
        <v>1</v>
      </c>
      <c r="AA17" s="1">
        <f t="shared" si="17"/>
        <v>1</v>
      </c>
      <c r="AB17" s="1">
        <f t="shared" si="17"/>
        <v>1</v>
      </c>
      <c r="AC17" s="1">
        <f t="shared" si="17"/>
        <v>1</v>
      </c>
      <c r="AD17" s="1">
        <f t="shared" si="17"/>
        <v>1</v>
      </c>
      <c r="AE17" s="1">
        <f t="shared" si="17"/>
        <v>1</v>
      </c>
      <c r="AF17" s="10"/>
    </row>
    <row r="18" spans="1:59" x14ac:dyDescent="0.35">
      <c r="A18" s="43">
        <f>IF(A17=0,26,A17)</f>
        <v>5</v>
      </c>
      <c r="B18" s="10" t="s">
        <v>381</v>
      </c>
      <c r="C18" s="41">
        <f>n_RotorL</f>
        <v>1</v>
      </c>
      <c r="D18" s="11">
        <f>A18</f>
        <v>5</v>
      </c>
      <c r="E18" s="11">
        <f>IF(MOD(D18,26)=0,26,MOD(D18,26))</f>
        <v>5</v>
      </c>
      <c r="F18" s="12" t="str">
        <f>CHAR(E18+nCharOffset)</f>
        <v>E</v>
      </c>
      <c r="G18" s="13" t="str">
        <f t="shared" ref="G18:AE18" si="18">VLOOKUP(F18,nNextLetter,2,FALSE)</f>
        <v>F</v>
      </c>
      <c r="H18" s="13" t="str">
        <f t="shared" si="18"/>
        <v>G</v>
      </c>
      <c r="I18" s="13" t="str">
        <f t="shared" si="18"/>
        <v>H</v>
      </c>
      <c r="J18" s="13" t="str">
        <f t="shared" si="18"/>
        <v>I</v>
      </c>
      <c r="K18" s="13" t="str">
        <f t="shared" si="18"/>
        <v>J</v>
      </c>
      <c r="L18" s="13" t="str">
        <f t="shared" si="18"/>
        <v>K</v>
      </c>
      <c r="M18" s="13" t="str">
        <f t="shared" si="18"/>
        <v>L</v>
      </c>
      <c r="N18" s="13" t="str">
        <f t="shared" si="18"/>
        <v>M</v>
      </c>
      <c r="O18" s="13" t="str">
        <f t="shared" si="18"/>
        <v>N</v>
      </c>
      <c r="P18" s="13" t="str">
        <f t="shared" si="18"/>
        <v>O</v>
      </c>
      <c r="Q18" s="13" t="str">
        <f t="shared" si="18"/>
        <v>P</v>
      </c>
      <c r="R18" s="13" t="str">
        <f t="shared" si="18"/>
        <v>Q</v>
      </c>
      <c r="S18" s="13" t="str">
        <f t="shared" si="18"/>
        <v>R</v>
      </c>
      <c r="T18" s="13" t="str">
        <f t="shared" si="18"/>
        <v>S</v>
      </c>
      <c r="U18" s="13" t="str">
        <f t="shared" si="18"/>
        <v>T</v>
      </c>
      <c r="V18" s="13" t="str">
        <f t="shared" si="18"/>
        <v>U</v>
      </c>
      <c r="W18" s="13" t="str">
        <f t="shared" si="18"/>
        <v>V</v>
      </c>
      <c r="X18" s="13" t="str">
        <f t="shared" si="18"/>
        <v>W</v>
      </c>
      <c r="Y18" s="13" t="str">
        <f t="shared" si="18"/>
        <v>X</v>
      </c>
      <c r="Z18" s="13" t="str">
        <f t="shared" si="18"/>
        <v>Y</v>
      </c>
      <c r="AA18" s="13" t="str">
        <f t="shared" si="18"/>
        <v>Z</v>
      </c>
      <c r="AB18" s="13" t="str">
        <f t="shared" si="18"/>
        <v>A</v>
      </c>
      <c r="AC18" s="13" t="str">
        <f t="shared" si="18"/>
        <v>B</v>
      </c>
      <c r="AD18" s="13" t="str">
        <f t="shared" si="18"/>
        <v>C</v>
      </c>
      <c r="AE18" s="13" t="str">
        <f t="shared" si="18"/>
        <v>D</v>
      </c>
      <c r="AF18" s="10"/>
    </row>
    <row r="19" spans="1:59" x14ac:dyDescent="0.35">
      <c r="B19" s="22" t="s">
        <v>391</v>
      </c>
      <c r="C19" s="41" t="str">
        <f>n_RingPosL</f>
        <v>A</v>
      </c>
      <c r="D19" s="11">
        <f>VLOOKUP(C19,nRingOffset,2,FALSE)</f>
        <v>0</v>
      </c>
      <c r="E19" t="s">
        <v>386</v>
      </c>
      <c r="F19" s="14" t="str">
        <f t="shared" ref="F19:AE19" si="19">IF(F17=1,VLOOKUP(nCurPosL+nRingOffsetL+(CODE(F16)-nCharOffset)-1,nNum2Let,2,FALSE),"")</f>
        <v>E</v>
      </c>
      <c r="G19" s="14" t="str">
        <f t="shared" si="19"/>
        <v>F</v>
      </c>
      <c r="H19" s="14" t="str">
        <f t="shared" si="19"/>
        <v>G</v>
      </c>
      <c r="I19" s="14" t="str">
        <f t="shared" si="19"/>
        <v>H</v>
      </c>
      <c r="J19" s="14" t="str">
        <f t="shared" si="19"/>
        <v>I</v>
      </c>
      <c r="K19" s="14" t="str">
        <f t="shared" si="19"/>
        <v>J</v>
      </c>
      <c r="L19" s="14" t="str">
        <f t="shared" si="19"/>
        <v>K</v>
      </c>
      <c r="M19" s="14" t="str">
        <f t="shared" si="19"/>
        <v>L</v>
      </c>
      <c r="N19" s="14" t="str">
        <f t="shared" si="19"/>
        <v>M</v>
      </c>
      <c r="O19" s="14" t="str">
        <f t="shared" si="19"/>
        <v>N</v>
      </c>
      <c r="P19" s="14" t="str">
        <f t="shared" si="19"/>
        <v>O</v>
      </c>
      <c r="Q19" s="14" t="str">
        <f t="shared" si="19"/>
        <v>P</v>
      </c>
      <c r="R19" s="14" t="str">
        <f t="shared" si="19"/>
        <v>Q</v>
      </c>
      <c r="S19" s="14" t="str">
        <f t="shared" si="19"/>
        <v>R</v>
      </c>
      <c r="T19" s="14" t="str">
        <f t="shared" si="19"/>
        <v>S</v>
      </c>
      <c r="U19" s="14" t="str">
        <f t="shared" si="19"/>
        <v>T</v>
      </c>
      <c r="V19" s="14" t="str">
        <f t="shared" si="19"/>
        <v>U</v>
      </c>
      <c r="W19" s="14" t="str">
        <f t="shared" si="19"/>
        <v>V</v>
      </c>
      <c r="X19" s="14" t="str">
        <f t="shared" si="19"/>
        <v>W</v>
      </c>
      <c r="Y19" s="14" t="str">
        <f t="shared" si="19"/>
        <v>X</v>
      </c>
      <c r="Z19" s="14" t="str">
        <f t="shared" si="19"/>
        <v>Y</v>
      </c>
      <c r="AA19" s="14" t="str">
        <f t="shared" si="19"/>
        <v>Z</v>
      </c>
      <c r="AB19" s="14" t="str">
        <f t="shared" si="19"/>
        <v>A</v>
      </c>
      <c r="AC19" s="14" t="str">
        <f t="shared" si="19"/>
        <v>B</v>
      </c>
      <c r="AD19" s="14" t="str">
        <f t="shared" si="19"/>
        <v>C</v>
      </c>
      <c r="AE19" s="14" t="str">
        <f t="shared" si="19"/>
        <v>D</v>
      </c>
      <c r="AF19" s="10"/>
      <c r="AH19" s="28" t="str">
        <f t="shared" ref="AH19:BG19" si="20">IF(LEN(AH21)=2,LEFT(AH21,1),"")</f>
        <v>A</v>
      </c>
      <c r="AI19" s="28" t="str">
        <f t="shared" si="20"/>
        <v>B</v>
      </c>
      <c r="AJ19" s="28" t="str">
        <f t="shared" si="20"/>
        <v>C</v>
      </c>
      <c r="AK19" s="28" t="str">
        <f t="shared" si="20"/>
        <v>D</v>
      </c>
      <c r="AL19" s="28" t="str">
        <f t="shared" si="20"/>
        <v>E</v>
      </c>
      <c r="AM19" s="28" t="str">
        <f t="shared" si="20"/>
        <v>F</v>
      </c>
      <c r="AN19" s="28" t="str">
        <f t="shared" si="20"/>
        <v>G</v>
      </c>
      <c r="AO19" s="28" t="str">
        <f t="shared" si="20"/>
        <v>H</v>
      </c>
      <c r="AP19" s="28" t="str">
        <f t="shared" si="20"/>
        <v>I</v>
      </c>
      <c r="AQ19" s="28" t="str">
        <f t="shared" si="20"/>
        <v>J</v>
      </c>
      <c r="AR19" s="28" t="str">
        <f t="shared" si="20"/>
        <v>K</v>
      </c>
      <c r="AS19" s="28" t="str">
        <f t="shared" si="20"/>
        <v>L</v>
      </c>
      <c r="AT19" s="28" t="str">
        <f t="shared" si="20"/>
        <v>M</v>
      </c>
      <c r="AU19" s="28" t="str">
        <f t="shared" si="20"/>
        <v>N</v>
      </c>
      <c r="AV19" s="28" t="str">
        <f t="shared" si="20"/>
        <v>O</v>
      </c>
      <c r="AW19" s="28" t="str">
        <f t="shared" si="20"/>
        <v>P</v>
      </c>
      <c r="AX19" s="28" t="str">
        <f t="shared" si="20"/>
        <v>Q</v>
      </c>
      <c r="AY19" s="28" t="str">
        <f t="shared" si="20"/>
        <v>R</v>
      </c>
      <c r="AZ19" s="28" t="str">
        <f t="shared" si="20"/>
        <v>S</v>
      </c>
      <c r="BA19" s="28" t="str">
        <f t="shared" si="20"/>
        <v>T</v>
      </c>
      <c r="BB19" s="28" t="str">
        <f t="shared" si="20"/>
        <v>U</v>
      </c>
      <c r="BC19" s="28" t="str">
        <f t="shared" si="20"/>
        <v>V</v>
      </c>
      <c r="BD19" s="28" t="str">
        <f t="shared" si="20"/>
        <v>W</v>
      </c>
      <c r="BE19" s="28" t="str">
        <f t="shared" si="20"/>
        <v>X</v>
      </c>
      <c r="BF19" s="28" t="str">
        <f t="shared" si="20"/>
        <v>Y</v>
      </c>
      <c r="BG19" s="28" t="str">
        <f t="shared" si="20"/>
        <v>Z</v>
      </c>
    </row>
    <row r="20" spans="1:59" x14ac:dyDescent="0.35">
      <c r="B20" s="22"/>
      <c r="C20" s="8"/>
      <c r="E20" t="s">
        <v>387</v>
      </c>
      <c r="F20" s="15" t="str">
        <f t="shared" ref="F20:AE20" si="21">IF(F17=1,VLOOKUP(nRotorL&amp;F19,nRotor,4,FALSE),"")</f>
        <v>L</v>
      </c>
      <c r="G20" s="15" t="str">
        <f t="shared" si="21"/>
        <v>G</v>
      </c>
      <c r="H20" s="15" t="str">
        <f t="shared" si="21"/>
        <v>D</v>
      </c>
      <c r="I20" s="15" t="str">
        <f t="shared" si="21"/>
        <v>Q</v>
      </c>
      <c r="J20" s="15" t="str">
        <f t="shared" si="21"/>
        <v>V</v>
      </c>
      <c r="K20" s="15" t="str">
        <f t="shared" si="21"/>
        <v>Z</v>
      </c>
      <c r="L20" s="15" t="str">
        <f t="shared" si="21"/>
        <v>N</v>
      </c>
      <c r="M20" s="15" t="str">
        <f t="shared" si="21"/>
        <v>T</v>
      </c>
      <c r="N20" s="15" t="str">
        <f t="shared" si="21"/>
        <v>O</v>
      </c>
      <c r="O20" s="15" t="str">
        <f t="shared" si="21"/>
        <v>W</v>
      </c>
      <c r="P20" s="15" t="str">
        <f t="shared" si="21"/>
        <v>Y</v>
      </c>
      <c r="Q20" s="15" t="str">
        <f t="shared" si="21"/>
        <v>H</v>
      </c>
      <c r="R20" s="15" t="str">
        <f t="shared" si="21"/>
        <v>X</v>
      </c>
      <c r="S20" s="15" t="str">
        <f t="shared" si="21"/>
        <v>U</v>
      </c>
      <c r="T20" s="15" t="str">
        <f t="shared" si="21"/>
        <v>S</v>
      </c>
      <c r="U20" s="15" t="str">
        <f t="shared" si="21"/>
        <v>P</v>
      </c>
      <c r="V20" s="15" t="str">
        <f t="shared" si="21"/>
        <v>A</v>
      </c>
      <c r="W20" s="15" t="str">
        <f t="shared" si="21"/>
        <v>I</v>
      </c>
      <c r="X20" s="15" t="str">
        <f t="shared" si="21"/>
        <v>B</v>
      </c>
      <c r="Y20" s="15" t="str">
        <f t="shared" si="21"/>
        <v>R</v>
      </c>
      <c r="Z20" s="15" t="str">
        <f t="shared" si="21"/>
        <v>C</v>
      </c>
      <c r="AA20" s="15" t="str">
        <f t="shared" si="21"/>
        <v>J</v>
      </c>
      <c r="AB20" s="15" t="str">
        <f t="shared" si="21"/>
        <v>E</v>
      </c>
      <c r="AC20" s="15" t="str">
        <f t="shared" si="21"/>
        <v>K</v>
      </c>
      <c r="AD20" s="15" t="str">
        <f t="shared" si="21"/>
        <v>M</v>
      </c>
      <c r="AE20" s="15" t="str">
        <f t="shared" si="21"/>
        <v>F</v>
      </c>
      <c r="AF20" s="10"/>
      <c r="AH20" s="28" t="str">
        <f t="shared" ref="AH20:BG20" si="22">IF(LEN(AH21)=2,RIGHT(AH21,1),"")</f>
        <v>H</v>
      </c>
      <c r="AI20" s="28" t="str">
        <f t="shared" si="22"/>
        <v>C</v>
      </c>
      <c r="AJ20" s="28" t="str">
        <f t="shared" si="22"/>
        <v>Z</v>
      </c>
      <c r="AK20" s="28" t="str">
        <f t="shared" si="22"/>
        <v>M</v>
      </c>
      <c r="AL20" s="28" t="str">
        <f t="shared" si="22"/>
        <v>R</v>
      </c>
      <c r="AM20" s="28" t="str">
        <f t="shared" si="22"/>
        <v>V</v>
      </c>
      <c r="AN20" s="28" t="str">
        <f t="shared" si="22"/>
        <v>J</v>
      </c>
      <c r="AO20" s="28" t="str">
        <f t="shared" si="22"/>
        <v>P</v>
      </c>
      <c r="AP20" s="28" t="str">
        <f t="shared" si="22"/>
        <v>K</v>
      </c>
      <c r="AQ20" s="28" t="str">
        <f t="shared" si="22"/>
        <v>S</v>
      </c>
      <c r="AR20" s="28" t="str">
        <f t="shared" si="22"/>
        <v>U</v>
      </c>
      <c r="AS20" s="28" t="str">
        <f t="shared" si="22"/>
        <v>D</v>
      </c>
      <c r="AT20" s="28" t="str">
        <f t="shared" si="22"/>
        <v>T</v>
      </c>
      <c r="AU20" s="28" t="str">
        <f t="shared" si="22"/>
        <v>Q</v>
      </c>
      <c r="AV20" s="28" t="str">
        <f t="shared" si="22"/>
        <v>O</v>
      </c>
      <c r="AW20" s="28" t="str">
        <f t="shared" si="22"/>
        <v>L</v>
      </c>
      <c r="AX20" s="28" t="str">
        <f t="shared" si="22"/>
        <v>W</v>
      </c>
      <c r="AY20" s="28" t="str">
        <f t="shared" si="22"/>
        <v>E</v>
      </c>
      <c r="AZ20" s="28" t="str">
        <f t="shared" si="22"/>
        <v>X</v>
      </c>
      <c r="BA20" s="28" t="str">
        <f t="shared" si="22"/>
        <v>N</v>
      </c>
      <c r="BB20" s="28" t="str">
        <f t="shared" si="22"/>
        <v>Y</v>
      </c>
      <c r="BC20" s="28" t="str">
        <f t="shared" si="22"/>
        <v>F</v>
      </c>
      <c r="BD20" s="28" t="str">
        <f t="shared" si="22"/>
        <v>A</v>
      </c>
      <c r="BE20" s="28" t="str">
        <f t="shared" si="22"/>
        <v>G</v>
      </c>
      <c r="BF20" s="28" t="str">
        <f t="shared" si="22"/>
        <v>I</v>
      </c>
      <c r="BG20" s="28" t="str">
        <f t="shared" si="22"/>
        <v>B</v>
      </c>
    </row>
    <row r="21" spans="1:59" ht="15" thickBot="1" x14ac:dyDescent="0.4">
      <c r="B21" s="23"/>
      <c r="C21" s="16"/>
      <c r="D21" s="17"/>
      <c r="E21" s="17" t="s">
        <v>388</v>
      </c>
      <c r="F21" s="18" t="str">
        <f t="shared" ref="F21:AE21" si="23">IF(F17=1,IF(CODE(F20)-CODE(F19)&lt;0,VLOOKUP((CODE(F20)-CODE(F19)+26)+(CODE(F16)-nCharOffset),nNum2Let,2,FALSE),VLOOKUP((CODE(F20)-CODE(F19))+(CODE(F16)-nCharOffset),nNum2Let,2,FALSE)),"")</f>
        <v>H</v>
      </c>
      <c r="G21" s="18" t="str">
        <f t="shared" si="23"/>
        <v>C</v>
      </c>
      <c r="H21" s="18" t="str">
        <f t="shared" si="23"/>
        <v>Z</v>
      </c>
      <c r="I21" s="18" t="str">
        <f t="shared" si="23"/>
        <v>M</v>
      </c>
      <c r="J21" s="18" t="str">
        <f t="shared" si="23"/>
        <v>R</v>
      </c>
      <c r="K21" s="18" t="str">
        <f t="shared" si="23"/>
        <v>V</v>
      </c>
      <c r="L21" s="18" t="str">
        <f t="shared" si="23"/>
        <v>J</v>
      </c>
      <c r="M21" s="18" t="str">
        <f t="shared" si="23"/>
        <v>P</v>
      </c>
      <c r="N21" s="18" t="str">
        <f t="shared" si="23"/>
        <v>K</v>
      </c>
      <c r="O21" s="18" t="str">
        <f t="shared" si="23"/>
        <v>S</v>
      </c>
      <c r="P21" s="18" t="str">
        <f t="shared" si="23"/>
        <v>U</v>
      </c>
      <c r="Q21" s="18" t="str">
        <f t="shared" si="23"/>
        <v>D</v>
      </c>
      <c r="R21" s="18" t="str">
        <f t="shared" si="23"/>
        <v>T</v>
      </c>
      <c r="S21" s="18" t="str">
        <f t="shared" si="23"/>
        <v>Q</v>
      </c>
      <c r="T21" s="18" t="str">
        <f t="shared" si="23"/>
        <v>O</v>
      </c>
      <c r="U21" s="18" t="str">
        <f t="shared" si="23"/>
        <v>L</v>
      </c>
      <c r="V21" s="18" t="str">
        <f t="shared" si="23"/>
        <v>W</v>
      </c>
      <c r="W21" s="18" t="str">
        <f t="shared" si="23"/>
        <v>E</v>
      </c>
      <c r="X21" s="18" t="str">
        <f t="shared" si="23"/>
        <v>X</v>
      </c>
      <c r="Y21" s="18" t="str">
        <f t="shared" si="23"/>
        <v>N</v>
      </c>
      <c r="Z21" s="18" t="str">
        <f t="shared" si="23"/>
        <v>Y</v>
      </c>
      <c r="AA21" s="18" t="str">
        <f t="shared" si="23"/>
        <v>F</v>
      </c>
      <c r="AB21" s="18" t="str">
        <f t="shared" si="23"/>
        <v>A</v>
      </c>
      <c r="AC21" s="18" t="str">
        <f t="shared" si="23"/>
        <v>G</v>
      </c>
      <c r="AD21" s="18" t="str">
        <f t="shared" si="23"/>
        <v>I</v>
      </c>
      <c r="AE21" s="18" t="str">
        <f t="shared" si="23"/>
        <v>B</v>
      </c>
      <c r="AF21" s="19" t="str">
        <f>CONCATENATE(F21,G21,H21,I21,J21,K21,L21,M21,N21,O21,P21,Q21,R21,S21,T21&amp;U21,V21,W21,X21,Y21,Z21,AA21,AB21,AC21,AD21,AE21)</f>
        <v>HCZMRVJPKSUDTQOLWEXNYFAGIB</v>
      </c>
      <c r="AH21" s="12" t="str">
        <f>F16&amp;F21</f>
        <v>AH</v>
      </c>
      <c r="AI21" s="12" t="str">
        <f t="shared" ref="AI21:BG21" si="24">G16&amp;G21</f>
        <v>BC</v>
      </c>
      <c r="AJ21" s="12" t="str">
        <f t="shared" si="24"/>
        <v>CZ</v>
      </c>
      <c r="AK21" s="12" t="str">
        <f t="shared" si="24"/>
        <v>DM</v>
      </c>
      <c r="AL21" s="12" t="str">
        <f t="shared" si="24"/>
        <v>ER</v>
      </c>
      <c r="AM21" s="12" t="str">
        <f t="shared" si="24"/>
        <v>FV</v>
      </c>
      <c r="AN21" s="12" t="str">
        <f t="shared" si="24"/>
        <v>GJ</v>
      </c>
      <c r="AO21" s="12" t="str">
        <f t="shared" si="24"/>
        <v>HP</v>
      </c>
      <c r="AP21" s="12" t="str">
        <f t="shared" si="24"/>
        <v>IK</v>
      </c>
      <c r="AQ21" s="12" t="str">
        <f t="shared" si="24"/>
        <v>JS</v>
      </c>
      <c r="AR21" s="12" t="str">
        <f t="shared" si="24"/>
        <v>KU</v>
      </c>
      <c r="AS21" s="12" t="str">
        <f t="shared" si="24"/>
        <v>LD</v>
      </c>
      <c r="AT21" s="12" t="str">
        <f t="shared" si="24"/>
        <v>MT</v>
      </c>
      <c r="AU21" s="12" t="str">
        <f t="shared" si="24"/>
        <v>NQ</v>
      </c>
      <c r="AV21" s="12" t="str">
        <f t="shared" si="24"/>
        <v>OO</v>
      </c>
      <c r="AW21" s="12" t="str">
        <f t="shared" si="24"/>
        <v>PL</v>
      </c>
      <c r="AX21" s="12" t="str">
        <f t="shared" si="24"/>
        <v>QW</v>
      </c>
      <c r="AY21" s="12" t="str">
        <f t="shared" si="24"/>
        <v>RE</v>
      </c>
      <c r="AZ21" s="12" t="str">
        <f t="shared" si="24"/>
        <v>SX</v>
      </c>
      <c r="BA21" s="12" t="str">
        <f t="shared" si="24"/>
        <v>TN</v>
      </c>
      <c r="BB21" s="12" t="str">
        <f t="shared" si="24"/>
        <v>UY</v>
      </c>
      <c r="BC21" s="12" t="str">
        <f t="shared" si="24"/>
        <v>VF</v>
      </c>
      <c r="BD21" s="12" t="str">
        <f t="shared" si="24"/>
        <v>WA</v>
      </c>
      <c r="BE21" s="12" t="str">
        <f t="shared" si="24"/>
        <v>XG</v>
      </c>
      <c r="BF21" s="12" t="str">
        <f t="shared" si="24"/>
        <v>YI</v>
      </c>
      <c r="BG21" s="12" t="str">
        <f t="shared" si="24"/>
        <v>ZB</v>
      </c>
    </row>
    <row r="22" spans="1:59" x14ac:dyDescent="0.35">
      <c r="B22" s="21"/>
      <c r="C22" s="5"/>
      <c r="D22" s="5"/>
      <c r="E22" s="5" t="s">
        <v>385</v>
      </c>
      <c r="F22" s="6" t="s">
        <v>0</v>
      </c>
      <c r="G22" s="6" t="s">
        <v>1</v>
      </c>
      <c r="H22" s="6" t="s">
        <v>2</v>
      </c>
      <c r="I22" s="6" t="s">
        <v>3</v>
      </c>
      <c r="J22" s="6" t="s">
        <v>4</v>
      </c>
      <c r="K22" s="6" t="s">
        <v>5</v>
      </c>
      <c r="L22" s="6" t="s">
        <v>6</v>
      </c>
      <c r="M22" s="6" t="s">
        <v>7</v>
      </c>
      <c r="N22" s="6" t="s">
        <v>8</v>
      </c>
      <c r="O22" s="6" t="s">
        <v>9</v>
      </c>
      <c r="P22" s="6" t="s">
        <v>10</v>
      </c>
      <c r="Q22" s="6" t="s">
        <v>11</v>
      </c>
      <c r="R22" s="6" t="s">
        <v>12</v>
      </c>
      <c r="S22" s="6" t="s">
        <v>13</v>
      </c>
      <c r="T22" s="6" t="s">
        <v>14</v>
      </c>
      <c r="U22" s="6" t="s">
        <v>15</v>
      </c>
      <c r="V22" s="6" t="s">
        <v>16</v>
      </c>
      <c r="W22" s="6" t="s">
        <v>17</v>
      </c>
      <c r="X22" s="6" t="s">
        <v>18</v>
      </c>
      <c r="Y22" s="6" t="s">
        <v>19</v>
      </c>
      <c r="Z22" s="6" t="s">
        <v>20</v>
      </c>
      <c r="AA22" s="6" t="s">
        <v>21</v>
      </c>
      <c r="AB22" s="6" t="s">
        <v>22</v>
      </c>
      <c r="AC22" s="6" t="s">
        <v>23</v>
      </c>
      <c r="AD22" s="6" t="s">
        <v>24</v>
      </c>
      <c r="AE22" s="6" t="s">
        <v>25</v>
      </c>
      <c r="AF22" s="7"/>
      <c r="AH22" s="28" t="str">
        <f>HLOOKUP(AH16,$AH19:$BG20,2,FALSE)</f>
        <v>B</v>
      </c>
      <c r="AI22" s="28" t="str">
        <f>HLOOKUP(AI16,$AH19:$BG20,2,FALSE)</f>
        <v>S</v>
      </c>
      <c r="AJ22" s="28" t="str">
        <f t="shared" ref="AJ22:BG22" si="25">HLOOKUP(AJ16,$AH19:$BG20,2,FALSE)</f>
        <v>U</v>
      </c>
      <c r="AK22" s="28" t="str">
        <f t="shared" si="25"/>
        <v>F</v>
      </c>
      <c r="AL22" s="28" t="str">
        <f t="shared" si="25"/>
        <v>H</v>
      </c>
      <c r="AM22" s="28" t="str">
        <f t="shared" si="25"/>
        <v>D</v>
      </c>
      <c r="AN22" s="28" t="str">
        <f t="shared" si="25"/>
        <v>K</v>
      </c>
      <c r="AO22" s="28" t="str">
        <f t="shared" si="25"/>
        <v>W</v>
      </c>
      <c r="AP22" s="28" t="str">
        <f t="shared" si="25"/>
        <v>L</v>
      </c>
      <c r="AQ22" s="28" t="str">
        <f t="shared" si="25"/>
        <v>C</v>
      </c>
      <c r="AR22" s="28" t="str">
        <f t="shared" si="25"/>
        <v>I</v>
      </c>
      <c r="AS22" s="28" t="str">
        <f t="shared" si="25"/>
        <v>V</v>
      </c>
      <c r="AT22" s="28" t="str">
        <f t="shared" si="25"/>
        <v>J</v>
      </c>
      <c r="AU22" s="28" t="str">
        <f t="shared" si="25"/>
        <v>Z</v>
      </c>
      <c r="AV22" s="28" t="str">
        <f t="shared" si="25"/>
        <v>N</v>
      </c>
      <c r="AW22" s="28" t="str">
        <f t="shared" si="25"/>
        <v>E</v>
      </c>
      <c r="AX22" s="28" t="str">
        <f t="shared" si="25"/>
        <v>G</v>
      </c>
      <c r="AY22" s="28" t="str">
        <f t="shared" si="25"/>
        <v>Q</v>
      </c>
      <c r="AZ22" s="28" t="str">
        <f t="shared" si="25"/>
        <v>P</v>
      </c>
      <c r="BA22" s="28" t="str">
        <f t="shared" si="25"/>
        <v>Y</v>
      </c>
      <c r="BB22" s="28" t="str">
        <f t="shared" si="25"/>
        <v>O</v>
      </c>
      <c r="BC22" s="28" t="str">
        <f t="shared" si="25"/>
        <v>X</v>
      </c>
      <c r="BD22" s="28" t="str">
        <f t="shared" si="25"/>
        <v>T</v>
      </c>
      <c r="BE22" s="28" t="str">
        <f t="shared" si="25"/>
        <v>M</v>
      </c>
      <c r="BF22" s="28" t="str">
        <f t="shared" si="25"/>
        <v>R</v>
      </c>
      <c r="BG22" s="28" t="str">
        <f t="shared" si="25"/>
        <v>A</v>
      </c>
    </row>
    <row r="23" spans="1:59" x14ac:dyDescent="0.35">
      <c r="B23" s="22" t="s">
        <v>26</v>
      </c>
      <c r="C23" s="41" t="str">
        <f>n_Reflector</f>
        <v>B</v>
      </c>
      <c r="D23" s="11" t="str">
        <f>"Wide"&amp;C23</f>
        <v>WideB</v>
      </c>
      <c r="F23" s="1">
        <f>IF(ISERROR(FIND(F22,$AF21)),0,1)</f>
        <v>1</v>
      </c>
      <c r="G23" s="1">
        <f t="shared" ref="G23:AE23" si="26">IF(ISERROR(FIND(G22,$AF21)),0,1)</f>
        <v>1</v>
      </c>
      <c r="H23" s="1">
        <f t="shared" si="26"/>
        <v>1</v>
      </c>
      <c r="I23" s="1">
        <f t="shared" si="26"/>
        <v>1</v>
      </c>
      <c r="J23" s="1">
        <f t="shared" si="26"/>
        <v>1</v>
      </c>
      <c r="K23" s="1">
        <f t="shared" si="26"/>
        <v>1</v>
      </c>
      <c r="L23" s="1">
        <f t="shared" si="26"/>
        <v>1</v>
      </c>
      <c r="M23" s="1">
        <f t="shared" si="26"/>
        <v>1</v>
      </c>
      <c r="N23" s="1">
        <f t="shared" si="26"/>
        <v>1</v>
      </c>
      <c r="O23" s="1">
        <f t="shared" si="26"/>
        <v>1</v>
      </c>
      <c r="P23" s="1">
        <f t="shared" si="26"/>
        <v>1</v>
      </c>
      <c r="Q23" s="1">
        <f t="shared" si="26"/>
        <v>1</v>
      </c>
      <c r="R23" s="1">
        <f t="shared" si="26"/>
        <v>1</v>
      </c>
      <c r="S23" s="1">
        <f t="shared" si="26"/>
        <v>1</v>
      </c>
      <c r="T23" s="1">
        <f t="shared" si="26"/>
        <v>1</v>
      </c>
      <c r="U23" s="1">
        <f t="shared" si="26"/>
        <v>1</v>
      </c>
      <c r="V23" s="1">
        <f t="shared" si="26"/>
        <v>1</v>
      </c>
      <c r="W23" s="1">
        <f t="shared" si="26"/>
        <v>1</v>
      </c>
      <c r="X23" s="1">
        <f t="shared" si="26"/>
        <v>1</v>
      </c>
      <c r="Y23" s="1">
        <f t="shared" si="26"/>
        <v>1</v>
      </c>
      <c r="Z23" s="1">
        <f t="shared" si="26"/>
        <v>1</v>
      </c>
      <c r="AA23" s="1">
        <f t="shared" si="26"/>
        <v>1</v>
      </c>
      <c r="AB23" s="1">
        <f t="shared" si="26"/>
        <v>1</v>
      </c>
      <c r="AC23" s="1">
        <f t="shared" si="26"/>
        <v>1</v>
      </c>
      <c r="AD23" s="1">
        <f t="shared" si="26"/>
        <v>1</v>
      </c>
      <c r="AE23" s="1">
        <f t="shared" si="26"/>
        <v>1</v>
      </c>
      <c r="AF23" s="10"/>
      <c r="AH23" s="28" t="str">
        <f>HLOOKUP(AH22,$AH25:$BG26,2,FALSE)</f>
        <v>R</v>
      </c>
      <c r="AI23" s="28" t="str">
        <f t="shared" ref="AI23:BG23" si="27">HLOOKUP(AI22,$AH25:$BG26,2,FALSE)</f>
        <v>F</v>
      </c>
      <c r="AJ23" s="28" t="str">
        <f t="shared" si="27"/>
        <v>C</v>
      </c>
      <c r="AK23" s="28" t="str">
        <f t="shared" si="27"/>
        <v>S</v>
      </c>
      <c r="AL23" s="28" t="str">
        <f t="shared" si="27"/>
        <v>D</v>
      </c>
      <c r="AM23" s="28" t="str">
        <f t="shared" si="27"/>
        <v>H</v>
      </c>
      <c r="AN23" s="28" t="str">
        <f t="shared" si="27"/>
        <v>N</v>
      </c>
      <c r="AO23" s="28" t="str">
        <f t="shared" si="27"/>
        <v>V</v>
      </c>
      <c r="AP23" s="28" t="str">
        <f t="shared" si="27"/>
        <v>G</v>
      </c>
      <c r="AQ23" s="28" t="str">
        <f t="shared" si="27"/>
        <v>U</v>
      </c>
      <c r="AR23" s="28" t="str">
        <f t="shared" si="27"/>
        <v>P</v>
      </c>
      <c r="AS23" s="28" t="str">
        <f t="shared" si="27"/>
        <v>W</v>
      </c>
      <c r="AT23" s="28" t="str">
        <f t="shared" si="27"/>
        <v>X</v>
      </c>
      <c r="AU23" s="28" t="str">
        <f t="shared" si="27"/>
        <v>T</v>
      </c>
      <c r="AV23" s="28" t="str">
        <f t="shared" si="27"/>
        <v>K</v>
      </c>
      <c r="AW23" s="28" t="str">
        <f t="shared" si="27"/>
        <v>Q</v>
      </c>
      <c r="AX23" s="28" t="str">
        <f t="shared" si="27"/>
        <v>L</v>
      </c>
      <c r="AY23" s="28" t="str">
        <f t="shared" si="27"/>
        <v>E</v>
      </c>
      <c r="AZ23" s="28" t="str">
        <f t="shared" si="27"/>
        <v>I</v>
      </c>
      <c r="BA23" s="28" t="str">
        <f t="shared" si="27"/>
        <v>A</v>
      </c>
      <c r="BB23" s="28" t="str">
        <f t="shared" si="27"/>
        <v>M</v>
      </c>
      <c r="BC23" s="28" t="str">
        <f t="shared" si="27"/>
        <v>J</v>
      </c>
      <c r="BD23" s="28" t="str">
        <f t="shared" si="27"/>
        <v>Z</v>
      </c>
      <c r="BE23" s="28" t="str">
        <f t="shared" si="27"/>
        <v>O</v>
      </c>
      <c r="BF23" s="28" t="str">
        <f t="shared" si="27"/>
        <v>B</v>
      </c>
      <c r="BG23" s="28" t="str">
        <f t="shared" si="27"/>
        <v>Y</v>
      </c>
    </row>
    <row r="24" spans="1:59" ht="15" thickBot="1" x14ac:dyDescent="0.4">
      <c r="B24" s="23"/>
      <c r="C24" s="17"/>
      <c r="D24" s="17"/>
      <c r="E24" s="17"/>
      <c r="F24" s="24" t="str">
        <f t="shared" ref="F24:AE24" si="28">IF(F23=1,VLOOKUP(nReflector&amp;"_"&amp;F22,nReflectorWide,4,FALSE),"")</f>
        <v>Y</v>
      </c>
      <c r="G24" s="24" t="str">
        <f t="shared" si="28"/>
        <v>R</v>
      </c>
      <c r="H24" s="24" t="str">
        <f t="shared" si="28"/>
        <v>U</v>
      </c>
      <c r="I24" s="24" t="str">
        <f t="shared" si="28"/>
        <v>H</v>
      </c>
      <c r="J24" s="24" t="str">
        <f t="shared" si="28"/>
        <v>Q</v>
      </c>
      <c r="K24" s="24" t="str">
        <f t="shared" si="28"/>
        <v>S</v>
      </c>
      <c r="L24" s="24" t="str">
        <f t="shared" si="28"/>
        <v>L</v>
      </c>
      <c r="M24" s="24" t="str">
        <f t="shared" si="28"/>
        <v>D</v>
      </c>
      <c r="N24" s="24" t="str">
        <f t="shared" si="28"/>
        <v>P</v>
      </c>
      <c r="O24" s="24" t="str">
        <f t="shared" si="28"/>
        <v>X</v>
      </c>
      <c r="P24" s="24" t="str">
        <f t="shared" si="28"/>
        <v>N</v>
      </c>
      <c r="Q24" s="24" t="str">
        <f t="shared" si="28"/>
        <v>G</v>
      </c>
      <c r="R24" s="24" t="str">
        <f t="shared" si="28"/>
        <v>O</v>
      </c>
      <c r="S24" s="24" t="str">
        <f t="shared" si="28"/>
        <v>K</v>
      </c>
      <c r="T24" s="24" t="str">
        <f t="shared" si="28"/>
        <v>M</v>
      </c>
      <c r="U24" s="24" t="str">
        <f t="shared" si="28"/>
        <v>I</v>
      </c>
      <c r="V24" s="24" t="str">
        <f t="shared" si="28"/>
        <v>E</v>
      </c>
      <c r="W24" s="24" t="str">
        <f t="shared" si="28"/>
        <v>B</v>
      </c>
      <c r="X24" s="24" t="str">
        <f t="shared" si="28"/>
        <v>F</v>
      </c>
      <c r="Y24" s="24" t="str">
        <f t="shared" si="28"/>
        <v>Z</v>
      </c>
      <c r="Z24" s="24" t="str">
        <f t="shared" si="28"/>
        <v>C</v>
      </c>
      <c r="AA24" s="24" t="str">
        <f t="shared" si="28"/>
        <v>W</v>
      </c>
      <c r="AB24" s="24" t="str">
        <f t="shared" si="28"/>
        <v>V</v>
      </c>
      <c r="AC24" s="24" t="str">
        <f t="shared" si="28"/>
        <v>J</v>
      </c>
      <c r="AD24" s="24" t="str">
        <f t="shared" si="28"/>
        <v>A</v>
      </c>
      <c r="AE24" s="24" t="str">
        <f t="shared" si="28"/>
        <v>T</v>
      </c>
      <c r="AF24" s="25" t="str">
        <f>CONCATENATE(F24,G24,H24,I24,J24,K24,L24,M24,N24,O24,P24,Q24,R24,S24,T24&amp;U24,V24,W24,X24,Y24,Z24,AA24,AB24,AC24,AD24,AE24)</f>
        <v>YRUHQSLDPXNGOKMIEBFZCWVJAT</v>
      </c>
      <c r="AH24" s="27" t="str">
        <f>F22&amp;F24</f>
        <v>AY</v>
      </c>
      <c r="AI24" s="27" t="str">
        <f t="shared" ref="AI24:BG24" si="29">G22&amp;G24</f>
        <v>BR</v>
      </c>
      <c r="AJ24" s="27" t="str">
        <f t="shared" si="29"/>
        <v>CU</v>
      </c>
      <c r="AK24" s="27" t="str">
        <f t="shared" si="29"/>
        <v>DH</v>
      </c>
      <c r="AL24" s="27" t="str">
        <f t="shared" si="29"/>
        <v>EQ</v>
      </c>
      <c r="AM24" s="27" t="str">
        <f t="shared" si="29"/>
        <v>FS</v>
      </c>
      <c r="AN24" s="27" t="str">
        <f t="shared" si="29"/>
        <v>GL</v>
      </c>
      <c r="AO24" s="27" t="str">
        <f t="shared" si="29"/>
        <v>HD</v>
      </c>
      <c r="AP24" s="27" t="str">
        <f t="shared" si="29"/>
        <v>IP</v>
      </c>
      <c r="AQ24" s="27" t="str">
        <f t="shared" si="29"/>
        <v>JX</v>
      </c>
      <c r="AR24" s="27" t="str">
        <f t="shared" si="29"/>
        <v>KN</v>
      </c>
      <c r="AS24" s="27" t="str">
        <f t="shared" si="29"/>
        <v>LG</v>
      </c>
      <c r="AT24" s="27" t="str">
        <f t="shared" si="29"/>
        <v>MO</v>
      </c>
      <c r="AU24" s="27" t="str">
        <f t="shared" si="29"/>
        <v>NK</v>
      </c>
      <c r="AV24" s="27" t="str">
        <f t="shared" si="29"/>
        <v>OM</v>
      </c>
      <c r="AW24" s="27" t="str">
        <f t="shared" si="29"/>
        <v>PI</v>
      </c>
      <c r="AX24" s="27" t="str">
        <f t="shared" si="29"/>
        <v>QE</v>
      </c>
      <c r="AY24" s="27" t="str">
        <f t="shared" si="29"/>
        <v>RB</v>
      </c>
      <c r="AZ24" s="27" t="str">
        <f t="shared" si="29"/>
        <v>SF</v>
      </c>
      <c r="BA24" s="27" t="str">
        <f t="shared" si="29"/>
        <v>TZ</v>
      </c>
      <c r="BB24" s="27" t="str">
        <f t="shared" si="29"/>
        <v>UC</v>
      </c>
      <c r="BC24" s="27" t="str">
        <f t="shared" si="29"/>
        <v>VW</v>
      </c>
      <c r="BD24" s="27" t="str">
        <f t="shared" si="29"/>
        <v>WV</v>
      </c>
      <c r="BE24" s="27" t="str">
        <f t="shared" si="29"/>
        <v>XJ</v>
      </c>
      <c r="BF24" s="27" t="str">
        <f t="shared" si="29"/>
        <v>YA</v>
      </c>
      <c r="BG24" s="27" t="str">
        <f t="shared" si="29"/>
        <v>ZT</v>
      </c>
    </row>
    <row r="25" spans="1:59" x14ac:dyDescent="0.35">
      <c r="B25" s="21"/>
      <c r="C25" s="4"/>
      <c r="D25" s="5"/>
      <c r="E25" s="5" t="s">
        <v>385</v>
      </c>
      <c r="F25" s="6" t="s">
        <v>0</v>
      </c>
      <c r="G25" s="6" t="s">
        <v>1</v>
      </c>
      <c r="H25" s="6" t="s">
        <v>2</v>
      </c>
      <c r="I25" s="6" t="s">
        <v>3</v>
      </c>
      <c r="J25" s="6" t="s">
        <v>4</v>
      </c>
      <c r="K25" s="6" t="s">
        <v>5</v>
      </c>
      <c r="L25" s="6" t="s">
        <v>6</v>
      </c>
      <c r="M25" s="6" t="s">
        <v>7</v>
      </c>
      <c r="N25" s="6" t="s">
        <v>8</v>
      </c>
      <c r="O25" s="6" t="s">
        <v>9</v>
      </c>
      <c r="P25" s="6" t="s">
        <v>10</v>
      </c>
      <c r="Q25" s="6" t="s">
        <v>11</v>
      </c>
      <c r="R25" s="6" t="s">
        <v>12</v>
      </c>
      <c r="S25" s="6" t="s">
        <v>13</v>
      </c>
      <c r="T25" s="6" t="s">
        <v>14</v>
      </c>
      <c r="U25" s="6" t="s">
        <v>15</v>
      </c>
      <c r="V25" s="6" t="s">
        <v>16</v>
      </c>
      <c r="W25" s="6" t="s">
        <v>17</v>
      </c>
      <c r="X25" s="6" t="s">
        <v>18</v>
      </c>
      <c r="Y25" s="6" t="s">
        <v>19</v>
      </c>
      <c r="Z25" s="6" t="s">
        <v>20</v>
      </c>
      <c r="AA25" s="6" t="s">
        <v>21</v>
      </c>
      <c r="AB25" s="6" t="s">
        <v>22</v>
      </c>
      <c r="AC25" s="6" t="s">
        <v>23</v>
      </c>
      <c r="AD25" s="6" t="s">
        <v>24</v>
      </c>
      <c r="AE25" s="6" t="s">
        <v>25</v>
      </c>
      <c r="AF25" s="7"/>
      <c r="AH25" s="28" t="str">
        <f>IF(LEN(AH24)=2,LEFT(AH24,1),"")</f>
        <v>A</v>
      </c>
      <c r="AI25" s="28" t="str">
        <f t="shared" ref="AI25:BG25" si="30">IF(LEN(AI24)=2,LEFT(AI24,1),"")</f>
        <v>B</v>
      </c>
      <c r="AJ25" s="28" t="str">
        <f t="shared" si="30"/>
        <v>C</v>
      </c>
      <c r="AK25" s="28" t="str">
        <f t="shared" si="30"/>
        <v>D</v>
      </c>
      <c r="AL25" s="28" t="str">
        <f t="shared" si="30"/>
        <v>E</v>
      </c>
      <c r="AM25" s="28" t="str">
        <f t="shared" si="30"/>
        <v>F</v>
      </c>
      <c r="AN25" s="28" t="str">
        <f t="shared" si="30"/>
        <v>G</v>
      </c>
      <c r="AO25" s="28" t="str">
        <f t="shared" si="30"/>
        <v>H</v>
      </c>
      <c r="AP25" s="28" t="str">
        <f t="shared" si="30"/>
        <v>I</v>
      </c>
      <c r="AQ25" s="28" t="str">
        <f t="shared" si="30"/>
        <v>J</v>
      </c>
      <c r="AR25" s="28" t="str">
        <f t="shared" si="30"/>
        <v>K</v>
      </c>
      <c r="AS25" s="28" t="str">
        <f t="shared" si="30"/>
        <v>L</v>
      </c>
      <c r="AT25" s="28" t="str">
        <f t="shared" si="30"/>
        <v>M</v>
      </c>
      <c r="AU25" s="28" t="str">
        <f t="shared" si="30"/>
        <v>N</v>
      </c>
      <c r="AV25" s="28" t="str">
        <f t="shared" si="30"/>
        <v>O</v>
      </c>
      <c r="AW25" s="28" t="str">
        <f t="shared" si="30"/>
        <v>P</v>
      </c>
      <c r="AX25" s="28" t="str">
        <f t="shared" si="30"/>
        <v>Q</v>
      </c>
      <c r="AY25" s="28" t="str">
        <f t="shared" si="30"/>
        <v>R</v>
      </c>
      <c r="AZ25" s="28" t="str">
        <f t="shared" si="30"/>
        <v>S</v>
      </c>
      <c r="BA25" s="28" t="str">
        <f t="shared" si="30"/>
        <v>T</v>
      </c>
      <c r="BB25" s="28" t="str">
        <f t="shared" si="30"/>
        <v>U</v>
      </c>
      <c r="BC25" s="28" t="str">
        <f t="shared" si="30"/>
        <v>V</v>
      </c>
      <c r="BD25" s="28" t="str">
        <f t="shared" si="30"/>
        <v>W</v>
      </c>
      <c r="BE25" s="28" t="str">
        <f t="shared" si="30"/>
        <v>X</v>
      </c>
      <c r="BF25" s="28" t="str">
        <f t="shared" si="30"/>
        <v>Y</v>
      </c>
      <c r="BG25" s="28" t="str">
        <f t="shared" si="30"/>
        <v>Z</v>
      </c>
    </row>
    <row r="26" spans="1:59" x14ac:dyDescent="0.35">
      <c r="B26" s="22"/>
      <c r="C26" s="8"/>
      <c r="F26" s="1">
        <f t="shared" ref="F26:AE26" si="31">IF(ISERROR(FIND(F25,$AF24)),0,1)</f>
        <v>1</v>
      </c>
      <c r="G26" s="1">
        <f t="shared" si="31"/>
        <v>1</v>
      </c>
      <c r="H26" s="1">
        <f t="shared" si="31"/>
        <v>1</v>
      </c>
      <c r="I26" s="1">
        <f t="shared" si="31"/>
        <v>1</v>
      </c>
      <c r="J26" s="1">
        <f t="shared" si="31"/>
        <v>1</v>
      </c>
      <c r="K26" s="1">
        <f t="shared" si="31"/>
        <v>1</v>
      </c>
      <c r="L26" s="1">
        <f t="shared" si="31"/>
        <v>1</v>
      </c>
      <c r="M26" s="1">
        <f t="shared" si="31"/>
        <v>1</v>
      </c>
      <c r="N26" s="1">
        <f t="shared" si="31"/>
        <v>1</v>
      </c>
      <c r="O26" s="1">
        <f t="shared" si="31"/>
        <v>1</v>
      </c>
      <c r="P26" s="1">
        <f t="shared" si="31"/>
        <v>1</v>
      </c>
      <c r="Q26" s="1">
        <f t="shared" si="31"/>
        <v>1</v>
      </c>
      <c r="R26" s="1">
        <f t="shared" si="31"/>
        <v>1</v>
      </c>
      <c r="S26" s="1">
        <f t="shared" si="31"/>
        <v>1</v>
      </c>
      <c r="T26" s="1">
        <f t="shared" si="31"/>
        <v>1</v>
      </c>
      <c r="U26" s="1">
        <f t="shared" si="31"/>
        <v>1</v>
      </c>
      <c r="V26" s="1">
        <f t="shared" si="31"/>
        <v>1</v>
      </c>
      <c r="W26" s="1">
        <f t="shared" si="31"/>
        <v>1</v>
      </c>
      <c r="X26" s="1">
        <f t="shared" si="31"/>
        <v>1</v>
      </c>
      <c r="Y26" s="1">
        <f t="shared" si="31"/>
        <v>1</v>
      </c>
      <c r="Z26" s="1">
        <f t="shared" si="31"/>
        <v>1</v>
      </c>
      <c r="AA26" s="1">
        <f t="shared" si="31"/>
        <v>1</v>
      </c>
      <c r="AB26" s="1">
        <f t="shared" si="31"/>
        <v>1</v>
      </c>
      <c r="AC26" s="1">
        <f t="shared" si="31"/>
        <v>1</v>
      </c>
      <c r="AD26" s="1">
        <f t="shared" si="31"/>
        <v>1</v>
      </c>
      <c r="AE26" s="1">
        <f t="shared" si="31"/>
        <v>1</v>
      </c>
      <c r="AF26" s="10"/>
      <c r="AH26" s="28" t="str">
        <f>IF(LEN(AH24)=2,RIGHT(AH24,1),"")</f>
        <v>Y</v>
      </c>
      <c r="AI26" s="28" t="str">
        <f t="shared" ref="AI26:BG26" si="32">IF(LEN(AI24)=2,RIGHT(AI24,1),"")</f>
        <v>R</v>
      </c>
      <c r="AJ26" s="28" t="str">
        <f t="shared" si="32"/>
        <v>U</v>
      </c>
      <c r="AK26" s="28" t="str">
        <f t="shared" si="32"/>
        <v>H</v>
      </c>
      <c r="AL26" s="28" t="str">
        <f t="shared" si="32"/>
        <v>Q</v>
      </c>
      <c r="AM26" s="28" t="str">
        <f t="shared" si="32"/>
        <v>S</v>
      </c>
      <c r="AN26" s="28" t="str">
        <f t="shared" si="32"/>
        <v>L</v>
      </c>
      <c r="AO26" s="28" t="str">
        <f t="shared" si="32"/>
        <v>D</v>
      </c>
      <c r="AP26" s="28" t="str">
        <f t="shared" si="32"/>
        <v>P</v>
      </c>
      <c r="AQ26" s="28" t="str">
        <f t="shared" si="32"/>
        <v>X</v>
      </c>
      <c r="AR26" s="28" t="str">
        <f t="shared" si="32"/>
        <v>N</v>
      </c>
      <c r="AS26" s="28" t="str">
        <f t="shared" si="32"/>
        <v>G</v>
      </c>
      <c r="AT26" s="28" t="str">
        <f t="shared" si="32"/>
        <v>O</v>
      </c>
      <c r="AU26" s="28" t="str">
        <f t="shared" si="32"/>
        <v>K</v>
      </c>
      <c r="AV26" s="28" t="str">
        <f t="shared" si="32"/>
        <v>M</v>
      </c>
      <c r="AW26" s="28" t="str">
        <f t="shared" si="32"/>
        <v>I</v>
      </c>
      <c r="AX26" s="28" t="str">
        <f t="shared" si="32"/>
        <v>E</v>
      </c>
      <c r="AY26" s="28" t="str">
        <f t="shared" si="32"/>
        <v>B</v>
      </c>
      <c r="AZ26" s="28" t="str">
        <f t="shared" si="32"/>
        <v>F</v>
      </c>
      <c r="BA26" s="28" t="str">
        <f t="shared" si="32"/>
        <v>Z</v>
      </c>
      <c r="BB26" s="28" t="str">
        <f t="shared" si="32"/>
        <v>C</v>
      </c>
      <c r="BC26" s="28" t="str">
        <f t="shared" si="32"/>
        <v>W</v>
      </c>
      <c r="BD26" s="28" t="str">
        <f t="shared" si="32"/>
        <v>V</v>
      </c>
      <c r="BE26" s="28" t="str">
        <f t="shared" si="32"/>
        <v>J</v>
      </c>
      <c r="BF26" s="28" t="str">
        <f t="shared" si="32"/>
        <v>A</v>
      </c>
      <c r="BG26" s="28" t="str">
        <f t="shared" si="32"/>
        <v>T</v>
      </c>
    </row>
    <row r="27" spans="1:59" x14ac:dyDescent="0.35">
      <c r="B27" s="22" t="s">
        <v>382</v>
      </c>
      <c r="C27" s="26" t="str">
        <f>"R"&amp;C18</f>
        <v>R1</v>
      </c>
      <c r="D27" s="11">
        <f>D18</f>
        <v>5</v>
      </c>
      <c r="E27" s="11">
        <f>E18</f>
        <v>5</v>
      </c>
      <c r="F27" s="12" t="str">
        <f>F18</f>
        <v>E</v>
      </c>
      <c r="G27" s="13" t="str">
        <f t="shared" ref="G27:AE27" si="33">VLOOKUP(F27,nNextLetter,2,FALSE)</f>
        <v>F</v>
      </c>
      <c r="H27" s="13" t="str">
        <f t="shared" si="33"/>
        <v>G</v>
      </c>
      <c r="I27" s="13" t="str">
        <f t="shared" si="33"/>
        <v>H</v>
      </c>
      <c r="J27" s="13" t="str">
        <f t="shared" si="33"/>
        <v>I</v>
      </c>
      <c r="K27" s="13" t="str">
        <f t="shared" si="33"/>
        <v>J</v>
      </c>
      <c r="L27" s="13" t="str">
        <f t="shared" si="33"/>
        <v>K</v>
      </c>
      <c r="M27" s="13" t="str">
        <f t="shared" si="33"/>
        <v>L</v>
      </c>
      <c r="N27" s="13" t="str">
        <f t="shared" si="33"/>
        <v>M</v>
      </c>
      <c r="O27" s="13" t="str">
        <f t="shared" si="33"/>
        <v>N</v>
      </c>
      <c r="P27" s="13" t="str">
        <f t="shared" si="33"/>
        <v>O</v>
      </c>
      <c r="Q27" s="13" t="str">
        <f t="shared" si="33"/>
        <v>P</v>
      </c>
      <c r="R27" s="13" t="str">
        <f t="shared" si="33"/>
        <v>Q</v>
      </c>
      <c r="S27" s="13" t="str">
        <f t="shared" si="33"/>
        <v>R</v>
      </c>
      <c r="T27" s="13" t="str">
        <f t="shared" si="33"/>
        <v>S</v>
      </c>
      <c r="U27" s="13" t="str">
        <f t="shared" si="33"/>
        <v>T</v>
      </c>
      <c r="V27" s="13" t="str">
        <f t="shared" si="33"/>
        <v>U</v>
      </c>
      <c r="W27" s="13" t="str">
        <f t="shared" si="33"/>
        <v>V</v>
      </c>
      <c r="X27" s="13" t="str">
        <f t="shared" si="33"/>
        <v>W</v>
      </c>
      <c r="Y27" s="13" t="str">
        <f t="shared" si="33"/>
        <v>X</v>
      </c>
      <c r="Z27" s="13" t="str">
        <f t="shared" si="33"/>
        <v>Y</v>
      </c>
      <c r="AA27" s="13" t="str">
        <f t="shared" si="33"/>
        <v>Z</v>
      </c>
      <c r="AB27" s="13" t="str">
        <f t="shared" si="33"/>
        <v>A</v>
      </c>
      <c r="AC27" s="13" t="str">
        <f t="shared" si="33"/>
        <v>B</v>
      </c>
      <c r="AD27" s="13" t="str">
        <f t="shared" si="33"/>
        <v>C</v>
      </c>
      <c r="AE27" s="13" t="str">
        <f t="shared" si="33"/>
        <v>D</v>
      </c>
      <c r="AF27" s="10"/>
    </row>
    <row r="28" spans="1:59" x14ac:dyDescent="0.35">
      <c r="B28" s="22"/>
      <c r="C28" s="8"/>
      <c r="E28" t="s">
        <v>386</v>
      </c>
      <c r="F28" s="14" t="str">
        <f t="shared" ref="F28:AE28" si="34">IF(F26=1,VLOOKUP(nCurPosL+nRingOffsetL+(CODE(F25)-nCharOffset)-1,nNum2Let,2,FALSE),"")</f>
        <v>E</v>
      </c>
      <c r="G28" s="14" t="str">
        <f t="shared" si="34"/>
        <v>F</v>
      </c>
      <c r="H28" s="14" t="str">
        <f t="shared" si="34"/>
        <v>G</v>
      </c>
      <c r="I28" s="14" t="str">
        <f t="shared" si="34"/>
        <v>H</v>
      </c>
      <c r="J28" s="14" t="str">
        <f t="shared" si="34"/>
        <v>I</v>
      </c>
      <c r="K28" s="14" t="str">
        <f t="shared" si="34"/>
        <v>J</v>
      </c>
      <c r="L28" s="14" t="str">
        <f t="shared" si="34"/>
        <v>K</v>
      </c>
      <c r="M28" s="14" t="str">
        <f t="shared" si="34"/>
        <v>L</v>
      </c>
      <c r="N28" s="14" t="str">
        <f t="shared" si="34"/>
        <v>M</v>
      </c>
      <c r="O28" s="14" t="str">
        <f t="shared" si="34"/>
        <v>N</v>
      </c>
      <c r="P28" s="14" t="str">
        <f t="shared" si="34"/>
        <v>O</v>
      </c>
      <c r="Q28" s="14" t="str">
        <f t="shared" si="34"/>
        <v>P</v>
      </c>
      <c r="R28" s="14" t="str">
        <f t="shared" si="34"/>
        <v>Q</v>
      </c>
      <c r="S28" s="14" t="str">
        <f t="shared" si="34"/>
        <v>R</v>
      </c>
      <c r="T28" s="14" t="str">
        <f t="shared" si="34"/>
        <v>S</v>
      </c>
      <c r="U28" s="14" t="str">
        <f t="shared" si="34"/>
        <v>T</v>
      </c>
      <c r="V28" s="14" t="str">
        <f t="shared" si="34"/>
        <v>U</v>
      </c>
      <c r="W28" s="14" t="str">
        <f t="shared" si="34"/>
        <v>V</v>
      </c>
      <c r="X28" s="14" t="str">
        <f t="shared" si="34"/>
        <v>W</v>
      </c>
      <c r="Y28" s="14" t="str">
        <f t="shared" si="34"/>
        <v>X</v>
      </c>
      <c r="Z28" s="14" t="str">
        <f t="shared" si="34"/>
        <v>Y</v>
      </c>
      <c r="AA28" s="14" t="str">
        <f t="shared" si="34"/>
        <v>Z</v>
      </c>
      <c r="AB28" s="14" t="str">
        <f t="shared" si="34"/>
        <v>A</v>
      </c>
      <c r="AC28" s="14" t="str">
        <f t="shared" si="34"/>
        <v>B</v>
      </c>
      <c r="AD28" s="14" t="str">
        <f t="shared" si="34"/>
        <v>C</v>
      </c>
      <c r="AE28" s="14" t="str">
        <f t="shared" si="34"/>
        <v>D</v>
      </c>
      <c r="AF28" s="10"/>
      <c r="AH28" s="28" t="str">
        <f t="shared" ref="AH28:BG28" si="35">IF(LEN(AH30)=2,LEFT(AH30,1),"")</f>
        <v>A</v>
      </c>
      <c r="AI28" s="28" t="str">
        <f t="shared" si="35"/>
        <v>B</v>
      </c>
      <c r="AJ28" s="28" t="str">
        <f t="shared" si="35"/>
        <v>C</v>
      </c>
      <c r="AK28" s="28" t="str">
        <f t="shared" si="35"/>
        <v>D</v>
      </c>
      <c r="AL28" s="28" t="str">
        <f t="shared" si="35"/>
        <v>E</v>
      </c>
      <c r="AM28" s="28" t="str">
        <f t="shared" si="35"/>
        <v>F</v>
      </c>
      <c r="AN28" s="28" t="str">
        <f t="shared" si="35"/>
        <v>G</v>
      </c>
      <c r="AO28" s="28" t="str">
        <f t="shared" si="35"/>
        <v>H</v>
      </c>
      <c r="AP28" s="28" t="str">
        <f t="shared" si="35"/>
        <v>I</v>
      </c>
      <c r="AQ28" s="28" t="str">
        <f t="shared" si="35"/>
        <v>J</v>
      </c>
      <c r="AR28" s="28" t="str">
        <f t="shared" si="35"/>
        <v>K</v>
      </c>
      <c r="AS28" s="28" t="str">
        <f t="shared" si="35"/>
        <v>L</v>
      </c>
      <c r="AT28" s="28" t="str">
        <f t="shared" si="35"/>
        <v>M</v>
      </c>
      <c r="AU28" s="28" t="str">
        <f t="shared" si="35"/>
        <v>N</v>
      </c>
      <c r="AV28" s="28" t="str">
        <f t="shared" si="35"/>
        <v>O</v>
      </c>
      <c r="AW28" s="28" t="str">
        <f t="shared" si="35"/>
        <v>P</v>
      </c>
      <c r="AX28" s="28" t="str">
        <f t="shared" si="35"/>
        <v>Q</v>
      </c>
      <c r="AY28" s="28" t="str">
        <f t="shared" si="35"/>
        <v>R</v>
      </c>
      <c r="AZ28" s="28" t="str">
        <f t="shared" si="35"/>
        <v>S</v>
      </c>
      <c r="BA28" s="28" t="str">
        <f t="shared" si="35"/>
        <v>T</v>
      </c>
      <c r="BB28" s="28" t="str">
        <f t="shared" si="35"/>
        <v>U</v>
      </c>
      <c r="BC28" s="28" t="str">
        <f t="shared" si="35"/>
        <v>V</v>
      </c>
      <c r="BD28" s="28" t="str">
        <f t="shared" si="35"/>
        <v>W</v>
      </c>
      <c r="BE28" s="28" t="str">
        <f t="shared" si="35"/>
        <v>X</v>
      </c>
      <c r="BF28" s="28" t="str">
        <f t="shared" si="35"/>
        <v>Y</v>
      </c>
      <c r="BG28" s="28" t="str">
        <f t="shared" si="35"/>
        <v>Z</v>
      </c>
    </row>
    <row r="29" spans="1:59" x14ac:dyDescent="0.35">
      <c r="B29" s="22"/>
      <c r="C29" s="8"/>
      <c r="E29" t="s">
        <v>387</v>
      </c>
      <c r="F29" s="15" t="str">
        <f t="shared" ref="F29:AE29" si="36">IF(F26=1,VLOOKUP(nRotorL_Rev&amp;F28,nRotorRev,4,FALSE),"")</f>
        <v>A</v>
      </c>
      <c r="G29" s="15" t="str">
        <f t="shared" si="36"/>
        <v>D</v>
      </c>
      <c r="H29" s="15" t="str">
        <f t="shared" si="36"/>
        <v>F</v>
      </c>
      <c r="I29" s="15" t="str">
        <f t="shared" si="36"/>
        <v>P</v>
      </c>
      <c r="J29" s="15" t="str">
        <f t="shared" si="36"/>
        <v>V</v>
      </c>
      <c r="K29" s="15" t="str">
        <f t="shared" si="36"/>
        <v>Z</v>
      </c>
      <c r="L29" s="15" t="str">
        <f t="shared" si="36"/>
        <v>B</v>
      </c>
      <c r="M29" s="15" t="str">
        <f t="shared" si="36"/>
        <v>E</v>
      </c>
      <c r="N29" s="15" t="str">
        <f t="shared" si="36"/>
        <v>C</v>
      </c>
      <c r="O29" s="15" t="str">
        <f t="shared" si="36"/>
        <v>K</v>
      </c>
      <c r="P29" s="15" t="str">
        <f t="shared" si="36"/>
        <v>M</v>
      </c>
      <c r="Q29" s="15" t="str">
        <f t="shared" si="36"/>
        <v>T</v>
      </c>
      <c r="R29" s="15" t="str">
        <f t="shared" si="36"/>
        <v>H</v>
      </c>
      <c r="S29" s="15" t="str">
        <f t="shared" si="36"/>
        <v>X</v>
      </c>
      <c r="T29" s="15" t="str">
        <f t="shared" si="36"/>
        <v>S</v>
      </c>
      <c r="U29" s="15" t="str">
        <f t="shared" si="36"/>
        <v>L</v>
      </c>
      <c r="V29" s="15" t="str">
        <f t="shared" si="36"/>
        <v>R</v>
      </c>
      <c r="W29" s="15" t="str">
        <f t="shared" si="36"/>
        <v>I</v>
      </c>
      <c r="X29" s="15" t="str">
        <f t="shared" si="36"/>
        <v>N</v>
      </c>
      <c r="Y29" s="15" t="str">
        <f t="shared" si="36"/>
        <v>Q</v>
      </c>
      <c r="Z29" s="15" t="str">
        <f t="shared" si="36"/>
        <v>O</v>
      </c>
      <c r="AA29" s="15" t="str">
        <f t="shared" si="36"/>
        <v>J</v>
      </c>
      <c r="AB29" s="15" t="str">
        <f t="shared" si="36"/>
        <v>U</v>
      </c>
      <c r="AC29" s="15" t="str">
        <f t="shared" si="36"/>
        <v>W</v>
      </c>
      <c r="AD29" s="15" t="str">
        <f t="shared" si="36"/>
        <v>Y</v>
      </c>
      <c r="AE29" s="15" t="str">
        <f t="shared" si="36"/>
        <v>G</v>
      </c>
      <c r="AF29" s="10"/>
      <c r="AH29" s="28" t="str">
        <f t="shared" ref="AH29:BG29" si="37">IF(LEN(AH30)=2,RIGHT(AH30,1),"")</f>
        <v>W</v>
      </c>
      <c r="AI29" s="28" t="str">
        <f t="shared" si="37"/>
        <v>Z</v>
      </c>
      <c r="AJ29" s="28" t="str">
        <f t="shared" si="37"/>
        <v>B</v>
      </c>
      <c r="AK29" s="28" t="str">
        <f t="shared" si="37"/>
        <v>L</v>
      </c>
      <c r="AL29" s="28" t="str">
        <f t="shared" si="37"/>
        <v>R</v>
      </c>
      <c r="AM29" s="28" t="str">
        <f t="shared" si="37"/>
        <v>V</v>
      </c>
      <c r="AN29" s="28" t="str">
        <f t="shared" si="37"/>
        <v>X</v>
      </c>
      <c r="AO29" s="28" t="str">
        <f t="shared" si="37"/>
        <v>A</v>
      </c>
      <c r="AP29" s="28" t="str">
        <f t="shared" si="37"/>
        <v>Y</v>
      </c>
      <c r="AQ29" s="28" t="str">
        <f t="shared" si="37"/>
        <v>G</v>
      </c>
      <c r="AR29" s="28" t="str">
        <f t="shared" si="37"/>
        <v>I</v>
      </c>
      <c r="AS29" s="28" t="str">
        <f t="shared" si="37"/>
        <v>P</v>
      </c>
      <c r="AT29" s="28" t="str">
        <f t="shared" si="37"/>
        <v>D</v>
      </c>
      <c r="AU29" s="28" t="str">
        <f t="shared" si="37"/>
        <v>T</v>
      </c>
      <c r="AV29" s="28" t="str">
        <f t="shared" si="37"/>
        <v>O</v>
      </c>
      <c r="AW29" s="28" t="str">
        <f t="shared" si="37"/>
        <v>H</v>
      </c>
      <c r="AX29" s="28" t="str">
        <f t="shared" si="37"/>
        <v>N</v>
      </c>
      <c r="AY29" s="28" t="str">
        <f t="shared" si="37"/>
        <v>E</v>
      </c>
      <c r="AZ29" s="28" t="str">
        <f t="shared" si="37"/>
        <v>J</v>
      </c>
      <c r="BA29" s="28" t="str">
        <f t="shared" si="37"/>
        <v>M</v>
      </c>
      <c r="BB29" s="28" t="str">
        <f t="shared" si="37"/>
        <v>K</v>
      </c>
      <c r="BC29" s="28" t="str">
        <f t="shared" si="37"/>
        <v>F</v>
      </c>
      <c r="BD29" s="28" t="str">
        <f t="shared" si="37"/>
        <v>Q</v>
      </c>
      <c r="BE29" s="28" t="str">
        <f t="shared" si="37"/>
        <v>S</v>
      </c>
      <c r="BF29" s="28" t="str">
        <f t="shared" si="37"/>
        <v>U</v>
      </c>
      <c r="BG29" s="28" t="str">
        <f t="shared" si="37"/>
        <v>C</v>
      </c>
    </row>
    <row r="30" spans="1:59" ht="15" thickBot="1" x14ac:dyDescent="0.4">
      <c r="B30" s="23"/>
      <c r="C30" s="16"/>
      <c r="D30" s="17"/>
      <c r="E30" s="17" t="s">
        <v>388</v>
      </c>
      <c r="F30" s="18" t="str">
        <f t="shared" ref="F30:AE30" si="38">IF(F26=1,IF(CODE(F29)-CODE(F28)&lt;0,VLOOKUP((CODE(F29)-CODE(F28)+26)+(CODE(F25)-nCharOffset),nNum2Let,2,FALSE),VLOOKUP((CODE(F29)-CODE(F28))+(CODE(F25)-nCharOffset),nNum2Let,2,FALSE)),"")</f>
        <v>W</v>
      </c>
      <c r="G30" s="18" t="str">
        <f t="shared" si="38"/>
        <v>Z</v>
      </c>
      <c r="H30" s="18" t="str">
        <f t="shared" si="38"/>
        <v>B</v>
      </c>
      <c r="I30" s="18" t="str">
        <f t="shared" si="38"/>
        <v>L</v>
      </c>
      <c r="J30" s="18" t="str">
        <f t="shared" si="38"/>
        <v>R</v>
      </c>
      <c r="K30" s="18" t="str">
        <f t="shared" si="38"/>
        <v>V</v>
      </c>
      <c r="L30" s="18" t="str">
        <f t="shared" si="38"/>
        <v>X</v>
      </c>
      <c r="M30" s="18" t="str">
        <f t="shared" si="38"/>
        <v>A</v>
      </c>
      <c r="N30" s="18" t="str">
        <f t="shared" si="38"/>
        <v>Y</v>
      </c>
      <c r="O30" s="18" t="str">
        <f t="shared" si="38"/>
        <v>G</v>
      </c>
      <c r="P30" s="18" t="str">
        <f t="shared" si="38"/>
        <v>I</v>
      </c>
      <c r="Q30" s="18" t="str">
        <f t="shared" si="38"/>
        <v>P</v>
      </c>
      <c r="R30" s="18" t="str">
        <f t="shared" si="38"/>
        <v>D</v>
      </c>
      <c r="S30" s="18" t="str">
        <f t="shared" si="38"/>
        <v>T</v>
      </c>
      <c r="T30" s="18" t="str">
        <f t="shared" si="38"/>
        <v>O</v>
      </c>
      <c r="U30" s="18" t="str">
        <f t="shared" si="38"/>
        <v>H</v>
      </c>
      <c r="V30" s="18" t="str">
        <f t="shared" si="38"/>
        <v>N</v>
      </c>
      <c r="W30" s="18" t="str">
        <f t="shared" si="38"/>
        <v>E</v>
      </c>
      <c r="X30" s="18" t="str">
        <f t="shared" si="38"/>
        <v>J</v>
      </c>
      <c r="Y30" s="18" t="str">
        <f t="shared" si="38"/>
        <v>M</v>
      </c>
      <c r="Z30" s="18" t="str">
        <f t="shared" si="38"/>
        <v>K</v>
      </c>
      <c r="AA30" s="18" t="str">
        <f t="shared" si="38"/>
        <v>F</v>
      </c>
      <c r="AB30" s="18" t="str">
        <f t="shared" si="38"/>
        <v>Q</v>
      </c>
      <c r="AC30" s="18" t="str">
        <f t="shared" si="38"/>
        <v>S</v>
      </c>
      <c r="AD30" s="18" t="str">
        <f t="shared" si="38"/>
        <v>U</v>
      </c>
      <c r="AE30" s="18" t="str">
        <f t="shared" si="38"/>
        <v>C</v>
      </c>
      <c r="AF30" s="19" t="str">
        <f>CONCATENATE(F30,G30,H30,I30,J30,K30,L30,M30,N30,O30,P30,Q30,R30,S30,T30&amp;U30,V30,W30,X30,Y30,Z30,AA30,AB30,AC30,AD30,AE30)</f>
        <v>WZBLRVXAYGIPDTOHNEJMKFQSUC</v>
      </c>
      <c r="AH30" s="12" t="str">
        <f>F25&amp;F30</f>
        <v>AW</v>
      </c>
      <c r="AI30" s="12" t="str">
        <f t="shared" ref="AI30:BG30" si="39">G25&amp;G30</f>
        <v>BZ</v>
      </c>
      <c r="AJ30" s="12" t="str">
        <f t="shared" si="39"/>
        <v>CB</v>
      </c>
      <c r="AK30" s="12" t="str">
        <f t="shared" si="39"/>
        <v>DL</v>
      </c>
      <c r="AL30" s="12" t="str">
        <f t="shared" si="39"/>
        <v>ER</v>
      </c>
      <c r="AM30" s="12" t="str">
        <f t="shared" si="39"/>
        <v>FV</v>
      </c>
      <c r="AN30" s="12" t="str">
        <f t="shared" si="39"/>
        <v>GX</v>
      </c>
      <c r="AO30" s="12" t="str">
        <f t="shared" si="39"/>
        <v>HA</v>
      </c>
      <c r="AP30" s="12" t="str">
        <f t="shared" si="39"/>
        <v>IY</v>
      </c>
      <c r="AQ30" s="12" t="str">
        <f t="shared" si="39"/>
        <v>JG</v>
      </c>
      <c r="AR30" s="12" t="str">
        <f t="shared" si="39"/>
        <v>KI</v>
      </c>
      <c r="AS30" s="12" t="str">
        <f t="shared" si="39"/>
        <v>LP</v>
      </c>
      <c r="AT30" s="12" t="str">
        <f t="shared" si="39"/>
        <v>MD</v>
      </c>
      <c r="AU30" s="12" t="str">
        <f t="shared" si="39"/>
        <v>NT</v>
      </c>
      <c r="AV30" s="12" t="str">
        <f t="shared" si="39"/>
        <v>OO</v>
      </c>
      <c r="AW30" s="12" t="str">
        <f t="shared" si="39"/>
        <v>PH</v>
      </c>
      <c r="AX30" s="12" t="str">
        <f t="shared" si="39"/>
        <v>QN</v>
      </c>
      <c r="AY30" s="12" t="str">
        <f t="shared" si="39"/>
        <v>RE</v>
      </c>
      <c r="AZ30" s="12" t="str">
        <f t="shared" si="39"/>
        <v>SJ</v>
      </c>
      <c r="BA30" s="12" t="str">
        <f t="shared" si="39"/>
        <v>TM</v>
      </c>
      <c r="BB30" s="12" t="str">
        <f t="shared" si="39"/>
        <v>UK</v>
      </c>
      <c r="BC30" s="12" t="str">
        <f t="shared" si="39"/>
        <v>VF</v>
      </c>
      <c r="BD30" s="12" t="str">
        <f t="shared" si="39"/>
        <v>WQ</v>
      </c>
      <c r="BE30" s="12" t="str">
        <f t="shared" si="39"/>
        <v>XS</v>
      </c>
      <c r="BF30" s="12" t="str">
        <f t="shared" si="39"/>
        <v>YU</v>
      </c>
      <c r="BG30" s="12" t="str">
        <f t="shared" si="39"/>
        <v>ZC</v>
      </c>
    </row>
    <row r="31" spans="1:59" x14ac:dyDescent="0.35">
      <c r="B31" s="21"/>
      <c r="C31" s="4"/>
      <c r="D31" s="5"/>
      <c r="E31" s="5" t="s">
        <v>385</v>
      </c>
      <c r="F31" s="6" t="s">
        <v>0</v>
      </c>
      <c r="G31" s="6" t="s">
        <v>1</v>
      </c>
      <c r="H31" s="6" t="s">
        <v>2</v>
      </c>
      <c r="I31" s="6" t="s">
        <v>3</v>
      </c>
      <c r="J31" s="6" t="s">
        <v>4</v>
      </c>
      <c r="K31" s="6" t="s">
        <v>5</v>
      </c>
      <c r="L31" s="6" t="s">
        <v>6</v>
      </c>
      <c r="M31" s="6" t="s">
        <v>7</v>
      </c>
      <c r="N31" s="6" t="s">
        <v>8</v>
      </c>
      <c r="O31" s="6" t="s">
        <v>9</v>
      </c>
      <c r="P31" s="6" t="s">
        <v>10</v>
      </c>
      <c r="Q31" s="6" t="s">
        <v>11</v>
      </c>
      <c r="R31" s="6" t="s">
        <v>12</v>
      </c>
      <c r="S31" s="6" t="s">
        <v>13</v>
      </c>
      <c r="T31" s="6" t="s">
        <v>14</v>
      </c>
      <c r="U31" s="6" t="s">
        <v>15</v>
      </c>
      <c r="V31" s="6" t="s">
        <v>16</v>
      </c>
      <c r="W31" s="6" t="s">
        <v>17</v>
      </c>
      <c r="X31" s="6" t="s">
        <v>18</v>
      </c>
      <c r="Y31" s="6" t="s">
        <v>19</v>
      </c>
      <c r="Z31" s="6" t="s">
        <v>20</v>
      </c>
      <c r="AA31" s="6" t="s">
        <v>21</v>
      </c>
      <c r="AB31" s="6" t="s">
        <v>22</v>
      </c>
      <c r="AC31" s="6" t="s">
        <v>23</v>
      </c>
      <c r="AD31" s="6" t="s">
        <v>24</v>
      </c>
      <c r="AE31" s="6" t="s">
        <v>25</v>
      </c>
      <c r="AF31" s="7"/>
      <c r="AH31" s="28" t="str">
        <f>HLOOKUP(AH23,$AH28:$BG29,2,FALSE)</f>
        <v>E</v>
      </c>
      <c r="AI31" s="28" t="str">
        <f>HLOOKUP(AI23,$AH28:$BG29,2,FALSE)</f>
        <v>V</v>
      </c>
      <c r="AJ31" s="28" t="str">
        <f t="shared" ref="AJ31:BG31" si="40">HLOOKUP(AJ23,$AH28:$BG29,2,FALSE)</f>
        <v>B</v>
      </c>
      <c r="AK31" s="28" t="str">
        <f t="shared" si="40"/>
        <v>J</v>
      </c>
      <c r="AL31" s="28" t="str">
        <f t="shared" si="40"/>
        <v>L</v>
      </c>
      <c r="AM31" s="28" t="str">
        <f t="shared" si="40"/>
        <v>A</v>
      </c>
      <c r="AN31" s="28" t="str">
        <f t="shared" si="40"/>
        <v>T</v>
      </c>
      <c r="AO31" s="28" t="str">
        <f t="shared" si="40"/>
        <v>F</v>
      </c>
      <c r="AP31" s="28" t="str">
        <f t="shared" si="40"/>
        <v>X</v>
      </c>
      <c r="AQ31" s="28" t="str">
        <f t="shared" si="40"/>
        <v>K</v>
      </c>
      <c r="AR31" s="28" t="str">
        <f t="shared" si="40"/>
        <v>H</v>
      </c>
      <c r="AS31" s="28" t="str">
        <f t="shared" si="40"/>
        <v>Q</v>
      </c>
      <c r="AT31" s="28" t="str">
        <f t="shared" si="40"/>
        <v>S</v>
      </c>
      <c r="AU31" s="28" t="str">
        <f t="shared" si="40"/>
        <v>M</v>
      </c>
      <c r="AV31" s="28" t="str">
        <f t="shared" si="40"/>
        <v>I</v>
      </c>
      <c r="AW31" s="28" t="str">
        <f t="shared" si="40"/>
        <v>N</v>
      </c>
      <c r="AX31" s="28" t="str">
        <f t="shared" si="40"/>
        <v>P</v>
      </c>
      <c r="AY31" s="28" t="str">
        <f t="shared" si="40"/>
        <v>R</v>
      </c>
      <c r="AZ31" s="28" t="str">
        <f t="shared" si="40"/>
        <v>Y</v>
      </c>
      <c r="BA31" s="28" t="str">
        <f t="shared" si="40"/>
        <v>W</v>
      </c>
      <c r="BB31" s="28" t="str">
        <f t="shared" si="40"/>
        <v>D</v>
      </c>
      <c r="BC31" s="28" t="str">
        <f t="shared" si="40"/>
        <v>G</v>
      </c>
      <c r="BD31" s="28" t="str">
        <f t="shared" si="40"/>
        <v>C</v>
      </c>
      <c r="BE31" s="28" t="str">
        <f t="shared" si="40"/>
        <v>O</v>
      </c>
      <c r="BF31" s="28" t="str">
        <f t="shared" si="40"/>
        <v>Z</v>
      </c>
      <c r="BG31" s="28" t="str">
        <f t="shared" si="40"/>
        <v>U</v>
      </c>
    </row>
    <row r="32" spans="1:59" x14ac:dyDescent="0.35">
      <c r="B32" s="22"/>
      <c r="C32" s="8"/>
      <c r="F32" s="1">
        <f>IF(ISERROR(FIND(F31,$AF30)),0,1)</f>
        <v>1</v>
      </c>
      <c r="G32" s="1">
        <f t="shared" ref="G32:AE32" si="41">IF(ISERROR(FIND(G31,$AF30)),0,1)</f>
        <v>1</v>
      </c>
      <c r="H32" s="1">
        <f t="shared" si="41"/>
        <v>1</v>
      </c>
      <c r="I32" s="1">
        <f t="shared" si="41"/>
        <v>1</v>
      </c>
      <c r="J32" s="1">
        <f t="shared" si="41"/>
        <v>1</v>
      </c>
      <c r="K32" s="1">
        <f t="shared" si="41"/>
        <v>1</v>
      </c>
      <c r="L32" s="1">
        <f t="shared" si="41"/>
        <v>1</v>
      </c>
      <c r="M32" s="1">
        <f t="shared" si="41"/>
        <v>1</v>
      </c>
      <c r="N32" s="1">
        <f t="shared" si="41"/>
        <v>1</v>
      </c>
      <c r="O32" s="1">
        <f t="shared" si="41"/>
        <v>1</v>
      </c>
      <c r="P32" s="1">
        <f t="shared" si="41"/>
        <v>1</v>
      </c>
      <c r="Q32" s="1">
        <f t="shared" si="41"/>
        <v>1</v>
      </c>
      <c r="R32" s="1">
        <f t="shared" si="41"/>
        <v>1</v>
      </c>
      <c r="S32" s="1">
        <f t="shared" si="41"/>
        <v>1</v>
      </c>
      <c r="T32" s="1">
        <f t="shared" si="41"/>
        <v>1</v>
      </c>
      <c r="U32" s="1">
        <f t="shared" si="41"/>
        <v>1</v>
      </c>
      <c r="V32" s="1">
        <f t="shared" si="41"/>
        <v>1</v>
      </c>
      <c r="W32" s="1">
        <f t="shared" si="41"/>
        <v>1</v>
      </c>
      <c r="X32" s="1">
        <f t="shared" si="41"/>
        <v>1</v>
      </c>
      <c r="Y32" s="1">
        <f t="shared" si="41"/>
        <v>1</v>
      </c>
      <c r="Z32" s="1">
        <f t="shared" si="41"/>
        <v>1</v>
      </c>
      <c r="AA32" s="1">
        <f t="shared" si="41"/>
        <v>1</v>
      </c>
      <c r="AB32" s="1">
        <f t="shared" si="41"/>
        <v>1</v>
      </c>
      <c r="AC32" s="1">
        <f t="shared" si="41"/>
        <v>1</v>
      </c>
      <c r="AD32" s="1">
        <f t="shared" si="41"/>
        <v>1</v>
      </c>
      <c r="AE32" s="1">
        <f t="shared" si="41"/>
        <v>1</v>
      </c>
      <c r="AF32" s="10"/>
    </row>
    <row r="33" spans="2:59" x14ac:dyDescent="0.35">
      <c r="B33" s="22" t="s">
        <v>383</v>
      </c>
      <c r="C33" s="26" t="str">
        <f>"R"&amp;C12</f>
        <v>R4</v>
      </c>
      <c r="D33" s="11">
        <f>D12</f>
        <v>142</v>
      </c>
      <c r="E33" s="11">
        <f>E12</f>
        <v>12</v>
      </c>
      <c r="F33" s="12" t="str">
        <f>F12</f>
        <v>L</v>
      </c>
      <c r="G33" s="13" t="str">
        <f t="shared" ref="G33:AE33" si="42">VLOOKUP(F33,nNextLetter,2,FALSE)</f>
        <v>M</v>
      </c>
      <c r="H33" s="13" t="str">
        <f t="shared" si="42"/>
        <v>N</v>
      </c>
      <c r="I33" s="13" t="str">
        <f t="shared" si="42"/>
        <v>O</v>
      </c>
      <c r="J33" s="13" t="str">
        <f t="shared" si="42"/>
        <v>P</v>
      </c>
      <c r="K33" s="13" t="str">
        <f t="shared" si="42"/>
        <v>Q</v>
      </c>
      <c r="L33" s="13" t="str">
        <f t="shared" si="42"/>
        <v>R</v>
      </c>
      <c r="M33" s="13" t="str">
        <f t="shared" si="42"/>
        <v>S</v>
      </c>
      <c r="N33" s="13" t="str">
        <f t="shared" si="42"/>
        <v>T</v>
      </c>
      <c r="O33" s="13" t="str">
        <f t="shared" si="42"/>
        <v>U</v>
      </c>
      <c r="P33" s="13" t="str">
        <f t="shared" si="42"/>
        <v>V</v>
      </c>
      <c r="Q33" s="13" t="str">
        <f t="shared" si="42"/>
        <v>W</v>
      </c>
      <c r="R33" s="13" t="str">
        <f t="shared" si="42"/>
        <v>X</v>
      </c>
      <c r="S33" s="13" t="str">
        <f t="shared" si="42"/>
        <v>Y</v>
      </c>
      <c r="T33" s="13" t="str">
        <f t="shared" si="42"/>
        <v>Z</v>
      </c>
      <c r="U33" s="13" t="str">
        <f t="shared" si="42"/>
        <v>A</v>
      </c>
      <c r="V33" s="13" t="str">
        <f t="shared" si="42"/>
        <v>B</v>
      </c>
      <c r="W33" s="13" t="str">
        <f t="shared" si="42"/>
        <v>C</v>
      </c>
      <c r="X33" s="13" t="str">
        <f t="shared" si="42"/>
        <v>D</v>
      </c>
      <c r="Y33" s="13" t="str">
        <f t="shared" si="42"/>
        <v>E</v>
      </c>
      <c r="Z33" s="13" t="str">
        <f t="shared" si="42"/>
        <v>F</v>
      </c>
      <c r="AA33" s="13" t="str">
        <f t="shared" si="42"/>
        <v>G</v>
      </c>
      <c r="AB33" s="13" t="str">
        <f t="shared" si="42"/>
        <v>H</v>
      </c>
      <c r="AC33" s="13" t="str">
        <f t="shared" si="42"/>
        <v>I</v>
      </c>
      <c r="AD33" s="13" t="str">
        <f t="shared" si="42"/>
        <v>J</v>
      </c>
      <c r="AE33" s="13" t="str">
        <f t="shared" si="42"/>
        <v>K</v>
      </c>
      <c r="AF33" s="10"/>
    </row>
    <row r="34" spans="2:59" x14ac:dyDescent="0.35">
      <c r="B34" s="22"/>
      <c r="C34" s="8"/>
      <c r="E34" t="s">
        <v>386</v>
      </c>
      <c r="F34" s="14" t="str">
        <f t="shared" ref="F34:AE34" si="43">IF(F32=1,VLOOKUP(nCurPosM+nRingOffsetM+(CODE(F31)-nCharOffset)-1,nNum2Let,2,FALSE),"")</f>
        <v>L</v>
      </c>
      <c r="G34" s="14" t="str">
        <f t="shared" si="43"/>
        <v>M</v>
      </c>
      <c r="H34" s="14" t="str">
        <f t="shared" si="43"/>
        <v>N</v>
      </c>
      <c r="I34" s="14" t="str">
        <f t="shared" si="43"/>
        <v>O</v>
      </c>
      <c r="J34" s="14" t="str">
        <f t="shared" si="43"/>
        <v>P</v>
      </c>
      <c r="K34" s="14" t="str">
        <f t="shared" si="43"/>
        <v>Q</v>
      </c>
      <c r="L34" s="14" t="str">
        <f t="shared" si="43"/>
        <v>R</v>
      </c>
      <c r="M34" s="14" t="str">
        <f t="shared" si="43"/>
        <v>S</v>
      </c>
      <c r="N34" s="14" t="str">
        <f t="shared" si="43"/>
        <v>T</v>
      </c>
      <c r="O34" s="14" t="str">
        <f t="shared" si="43"/>
        <v>U</v>
      </c>
      <c r="P34" s="14" t="str">
        <f t="shared" si="43"/>
        <v>V</v>
      </c>
      <c r="Q34" s="14" t="str">
        <f t="shared" si="43"/>
        <v>W</v>
      </c>
      <c r="R34" s="14" t="str">
        <f t="shared" si="43"/>
        <v>X</v>
      </c>
      <c r="S34" s="14" t="str">
        <f t="shared" si="43"/>
        <v>Y</v>
      </c>
      <c r="T34" s="14" t="str">
        <f t="shared" si="43"/>
        <v>Z</v>
      </c>
      <c r="U34" s="14" t="str">
        <f t="shared" si="43"/>
        <v>A</v>
      </c>
      <c r="V34" s="14" t="str">
        <f t="shared" si="43"/>
        <v>B</v>
      </c>
      <c r="W34" s="14" t="str">
        <f t="shared" si="43"/>
        <v>C</v>
      </c>
      <c r="X34" s="14" t="str">
        <f t="shared" si="43"/>
        <v>D</v>
      </c>
      <c r="Y34" s="14" t="str">
        <f t="shared" si="43"/>
        <v>E</v>
      </c>
      <c r="Z34" s="14" t="str">
        <f t="shared" si="43"/>
        <v>F</v>
      </c>
      <c r="AA34" s="14" t="str">
        <f t="shared" si="43"/>
        <v>G</v>
      </c>
      <c r="AB34" s="14" t="str">
        <f t="shared" si="43"/>
        <v>H</v>
      </c>
      <c r="AC34" s="14" t="str">
        <f t="shared" si="43"/>
        <v>I</v>
      </c>
      <c r="AD34" s="14" t="str">
        <f t="shared" si="43"/>
        <v>J</v>
      </c>
      <c r="AE34" s="14" t="str">
        <f t="shared" si="43"/>
        <v>K</v>
      </c>
      <c r="AF34" s="10"/>
      <c r="AH34" s="28" t="str">
        <f t="shared" ref="AH34:BG34" si="44">IF(LEN(AH36)=2,LEFT(AH36,1),"")</f>
        <v>A</v>
      </c>
      <c r="AI34" s="28" t="str">
        <f t="shared" si="44"/>
        <v>B</v>
      </c>
      <c r="AJ34" s="28" t="str">
        <f t="shared" si="44"/>
        <v>C</v>
      </c>
      <c r="AK34" s="28" t="str">
        <f t="shared" si="44"/>
        <v>D</v>
      </c>
      <c r="AL34" s="28" t="str">
        <f t="shared" si="44"/>
        <v>E</v>
      </c>
      <c r="AM34" s="28" t="str">
        <f t="shared" si="44"/>
        <v>F</v>
      </c>
      <c r="AN34" s="28" t="str">
        <f t="shared" si="44"/>
        <v>G</v>
      </c>
      <c r="AO34" s="28" t="str">
        <f t="shared" si="44"/>
        <v>H</v>
      </c>
      <c r="AP34" s="28" t="str">
        <f t="shared" si="44"/>
        <v>I</v>
      </c>
      <c r="AQ34" s="28" t="str">
        <f t="shared" si="44"/>
        <v>J</v>
      </c>
      <c r="AR34" s="28" t="str">
        <f t="shared" si="44"/>
        <v>K</v>
      </c>
      <c r="AS34" s="28" t="str">
        <f t="shared" si="44"/>
        <v>L</v>
      </c>
      <c r="AT34" s="28" t="str">
        <f t="shared" si="44"/>
        <v>M</v>
      </c>
      <c r="AU34" s="28" t="str">
        <f t="shared" si="44"/>
        <v>N</v>
      </c>
      <c r="AV34" s="28" t="str">
        <f t="shared" si="44"/>
        <v>O</v>
      </c>
      <c r="AW34" s="28" t="str">
        <f t="shared" si="44"/>
        <v>P</v>
      </c>
      <c r="AX34" s="28" t="str">
        <f t="shared" si="44"/>
        <v>Q</v>
      </c>
      <c r="AY34" s="28" t="str">
        <f t="shared" si="44"/>
        <v>R</v>
      </c>
      <c r="AZ34" s="28" t="str">
        <f t="shared" si="44"/>
        <v>S</v>
      </c>
      <c r="BA34" s="28" t="str">
        <f t="shared" si="44"/>
        <v>T</v>
      </c>
      <c r="BB34" s="28" t="str">
        <f t="shared" si="44"/>
        <v>U</v>
      </c>
      <c r="BC34" s="28" t="str">
        <f t="shared" si="44"/>
        <v>V</v>
      </c>
      <c r="BD34" s="28" t="str">
        <f t="shared" si="44"/>
        <v>W</v>
      </c>
      <c r="BE34" s="28" t="str">
        <f t="shared" si="44"/>
        <v>X</v>
      </c>
      <c r="BF34" s="28" t="str">
        <f t="shared" si="44"/>
        <v>Y</v>
      </c>
      <c r="BG34" s="28" t="str">
        <f t="shared" si="44"/>
        <v>Z</v>
      </c>
    </row>
    <row r="35" spans="2:59" x14ac:dyDescent="0.35">
      <c r="B35" s="22"/>
      <c r="C35" s="8"/>
      <c r="E35" t="s">
        <v>387</v>
      </c>
      <c r="F35" s="15" t="str">
        <f t="shared" ref="F35:AE35" si="45">IF(F32=1,VLOOKUP(nRotorM_Rev&amp;F34,nRotorRev,4,FALSE),"")</f>
        <v>P</v>
      </c>
      <c r="G35" s="15" t="str">
        <f t="shared" si="45"/>
        <v>X</v>
      </c>
      <c r="H35" s="15" t="str">
        <f t="shared" si="45"/>
        <v>Q</v>
      </c>
      <c r="I35" s="15" t="str">
        <f t="shared" si="45"/>
        <v>C</v>
      </c>
      <c r="J35" s="15" t="str">
        <f t="shared" si="45"/>
        <v>E</v>
      </c>
      <c r="K35" s="15" t="str">
        <f t="shared" si="45"/>
        <v>J</v>
      </c>
      <c r="L35" s="15" t="str">
        <f t="shared" si="45"/>
        <v>M</v>
      </c>
      <c r="M35" s="15" t="str">
        <f t="shared" si="45"/>
        <v>B</v>
      </c>
      <c r="N35" s="15" t="str">
        <f t="shared" si="45"/>
        <v>S</v>
      </c>
      <c r="O35" s="15" t="str">
        <f t="shared" si="45"/>
        <v>K</v>
      </c>
      <c r="P35" s="15" t="str">
        <f t="shared" si="45"/>
        <v>D</v>
      </c>
      <c r="Q35" s="15" t="str">
        <f t="shared" si="45"/>
        <v>Y</v>
      </c>
      <c r="R35" s="15" t="str">
        <f t="shared" si="45"/>
        <v>O</v>
      </c>
      <c r="S35" s="15" t="str">
        <f t="shared" si="45"/>
        <v>I</v>
      </c>
      <c r="T35" s="15" t="str">
        <f t="shared" si="45"/>
        <v>F</v>
      </c>
      <c r="U35" s="15" t="str">
        <f t="shared" si="45"/>
        <v>H</v>
      </c>
      <c r="V35" s="15" t="str">
        <f t="shared" si="45"/>
        <v>Z</v>
      </c>
      <c r="W35" s="15" t="str">
        <f t="shared" si="45"/>
        <v>W</v>
      </c>
      <c r="X35" s="15" t="str">
        <f t="shared" si="45"/>
        <v>V</v>
      </c>
      <c r="Y35" s="15" t="str">
        <f t="shared" si="45"/>
        <v>A</v>
      </c>
      <c r="Z35" s="15" t="str">
        <f t="shared" si="45"/>
        <v>R</v>
      </c>
      <c r="AA35" s="15" t="str">
        <f t="shared" si="45"/>
        <v>T</v>
      </c>
      <c r="AB35" s="15" t="str">
        <f t="shared" si="45"/>
        <v>N</v>
      </c>
      <c r="AC35" s="15" t="str">
        <f t="shared" si="45"/>
        <v>L</v>
      </c>
      <c r="AD35" s="15" t="str">
        <f t="shared" si="45"/>
        <v>G</v>
      </c>
      <c r="AE35" s="15" t="str">
        <f t="shared" si="45"/>
        <v>U</v>
      </c>
      <c r="AF35" s="10"/>
      <c r="AH35" s="28" t="str">
        <f t="shared" ref="AH35:BG35" si="46">IF(LEN(AH36)=2,RIGHT(AH36,1),"")</f>
        <v>E</v>
      </c>
      <c r="AI35" s="28" t="str">
        <f t="shared" si="46"/>
        <v>M</v>
      </c>
      <c r="AJ35" s="28" t="str">
        <f t="shared" si="46"/>
        <v>F</v>
      </c>
      <c r="AK35" s="28" t="str">
        <f t="shared" si="46"/>
        <v>R</v>
      </c>
      <c r="AL35" s="28" t="str">
        <f t="shared" si="46"/>
        <v>T</v>
      </c>
      <c r="AM35" s="28" t="str">
        <f t="shared" si="46"/>
        <v>Y</v>
      </c>
      <c r="AN35" s="28" t="str">
        <f t="shared" si="46"/>
        <v>B</v>
      </c>
      <c r="AO35" s="28" t="str">
        <f t="shared" si="46"/>
        <v>Q</v>
      </c>
      <c r="AP35" s="28" t="str">
        <f t="shared" si="46"/>
        <v>H</v>
      </c>
      <c r="AQ35" s="28" t="str">
        <f t="shared" si="46"/>
        <v>Z</v>
      </c>
      <c r="AR35" s="28" t="str">
        <f t="shared" si="46"/>
        <v>S</v>
      </c>
      <c r="AS35" s="28" t="str">
        <f t="shared" si="46"/>
        <v>N</v>
      </c>
      <c r="AT35" s="28" t="str">
        <f t="shared" si="46"/>
        <v>D</v>
      </c>
      <c r="AU35" s="28" t="str">
        <f t="shared" si="46"/>
        <v>X</v>
      </c>
      <c r="AV35" s="28" t="str">
        <f t="shared" si="46"/>
        <v>U</v>
      </c>
      <c r="AW35" s="28" t="str">
        <f t="shared" si="46"/>
        <v>W</v>
      </c>
      <c r="AX35" s="28" t="str">
        <f t="shared" si="46"/>
        <v>O</v>
      </c>
      <c r="AY35" s="28" t="str">
        <f t="shared" si="46"/>
        <v>L</v>
      </c>
      <c r="AZ35" s="28" t="str">
        <f t="shared" si="46"/>
        <v>K</v>
      </c>
      <c r="BA35" s="28" t="str">
        <f t="shared" si="46"/>
        <v>P</v>
      </c>
      <c r="BB35" s="28" t="str">
        <f t="shared" si="46"/>
        <v>G</v>
      </c>
      <c r="BC35" s="28" t="str">
        <f t="shared" si="46"/>
        <v>I</v>
      </c>
      <c r="BD35" s="28" t="str">
        <f t="shared" si="46"/>
        <v>C</v>
      </c>
      <c r="BE35" s="28" t="str">
        <f t="shared" si="46"/>
        <v>A</v>
      </c>
      <c r="BF35" s="28" t="str">
        <f t="shared" si="46"/>
        <v>V</v>
      </c>
      <c r="BG35" s="28" t="str">
        <f t="shared" si="46"/>
        <v>J</v>
      </c>
    </row>
    <row r="36" spans="2:59" ht="15" thickBot="1" x14ac:dyDescent="0.4">
      <c r="B36" s="23"/>
      <c r="C36" s="16"/>
      <c r="D36" s="17"/>
      <c r="E36" s="17" t="s">
        <v>388</v>
      </c>
      <c r="F36" s="18" t="str">
        <f t="shared" ref="F36:AE36" si="47">IF(F32=1,IF(CODE(F35)-CODE(F34)&lt;0,VLOOKUP((CODE(F35)-CODE(F34)+26)+(CODE(F31)-nCharOffset),nNum2Let,2,FALSE),VLOOKUP((CODE(F35)-CODE(F34))+(CODE(F31)-nCharOffset),nNum2Let,2,FALSE)),"")</f>
        <v>E</v>
      </c>
      <c r="G36" s="18" t="str">
        <f t="shared" si="47"/>
        <v>M</v>
      </c>
      <c r="H36" s="18" t="str">
        <f t="shared" si="47"/>
        <v>F</v>
      </c>
      <c r="I36" s="18" t="str">
        <f t="shared" si="47"/>
        <v>R</v>
      </c>
      <c r="J36" s="18" t="str">
        <f t="shared" si="47"/>
        <v>T</v>
      </c>
      <c r="K36" s="18" t="str">
        <f t="shared" si="47"/>
        <v>Y</v>
      </c>
      <c r="L36" s="18" t="str">
        <f t="shared" si="47"/>
        <v>B</v>
      </c>
      <c r="M36" s="18" t="str">
        <f t="shared" si="47"/>
        <v>Q</v>
      </c>
      <c r="N36" s="18" t="str">
        <f t="shared" si="47"/>
        <v>H</v>
      </c>
      <c r="O36" s="18" t="str">
        <f t="shared" si="47"/>
        <v>Z</v>
      </c>
      <c r="P36" s="18" t="str">
        <f t="shared" si="47"/>
        <v>S</v>
      </c>
      <c r="Q36" s="18" t="str">
        <f t="shared" si="47"/>
        <v>N</v>
      </c>
      <c r="R36" s="18" t="str">
        <f t="shared" si="47"/>
        <v>D</v>
      </c>
      <c r="S36" s="18" t="str">
        <f t="shared" si="47"/>
        <v>X</v>
      </c>
      <c r="T36" s="18" t="str">
        <f t="shared" si="47"/>
        <v>U</v>
      </c>
      <c r="U36" s="18" t="str">
        <f t="shared" si="47"/>
        <v>W</v>
      </c>
      <c r="V36" s="18" t="str">
        <f t="shared" si="47"/>
        <v>O</v>
      </c>
      <c r="W36" s="18" t="str">
        <f t="shared" si="47"/>
        <v>L</v>
      </c>
      <c r="X36" s="18" t="str">
        <f t="shared" si="47"/>
        <v>K</v>
      </c>
      <c r="Y36" s="18" t="str">
        <f t="shared" si="47"/>
        <v>P</v>
      </c>
      <c r="Z36" s="18" t="str">
        <f t="shared" si="47"/>
        <v>G</v>
      </c>
      <c r="AA36" s="18" t="str">
        <f t="shared" si="47"/>
        <v>I</v>
      </c>
      <c r="AB36" s="18" t="str">
        <f t="shared" si="47"/>
        <v>C</v>
      </c>
      <c r="AC36" s="18" t="str">
        <f t="shared" si="47"/>
        <v>A</v>
      </c>
      <c r="AD36" s="18" t="str">
        <f t="shared" si="47"/>
        <v>V</v>
      </c>
      <c r="AE36" s="18" t="str">
        <f t="shared" si="47"/>
        <v>J</v>
      </c>
      <c r="AF36" s="19" t="str">
        <f>CONCATENATE(F36,G36,H36,I36,J36,K36,L36,M36,N36,O36,P36,Q36,R36,S36,T36&amp;U36,V36,W36,X36,Y36,Z36,AA36,AB36,AC36,AD36,AE36)</f>
        <v>EMFRTYBQHZSNDXUWOLKPGICAVJ</v>
      </c>
      <c r="AH36" s="12" t="str">
        <f>F31&amp;F36</f>
        <v>AE</v>
      </c>
      <c r="AI36" s="12" t="str">
        <f t="shared" ref="AI36:BG36" si="48">G31&amp;G36</f>
        <v>BM</v>
      </c>
      <c r="AJ36" s="12" t="str">
        <f t="shared" si="48"/>
        <v>CF</v>
      </c>
      <c r="AK36" s="12" t="str">
        <f t="shared" si="48"/>
        <v>DR</v>
      </c>
      <c r="AL36" s="12" t="str">
        <f t="shared" si="48"/>
        <v>ET</v>
      </c>
      <c r="AM36" s="12" t="str">
        <f t="shared" si="48"/>
        <v>FY</v>
      </c>
      <c r="AN36" s="12" t="str">
        <f t="shared" si="48"/>
        <v>GB</v>
      </c>
      <c r="AO36" s="12" t="str">
        <f t="shared" si="48"/>
        <v>HQ</v>
      </c>
      <c r="AP36" s="12" t="str">
        <f t="shared" si="48"/>
        <v>IH</v>
      </c>
      <c r="AQ36" s="12" t="str">
        <f t="shared" si="48"/>
        <v>JZ</v>
      </c>
      <c r="AR36" s="12" t="str">
        <f t="shared" si="48"/>
        <v>KS</v>
      </c>
      <c r="AS36" s="12" t="str">
        <f t="shared" si="48"/>
        <v>LN</v>
      </c>
      <c r="AT36" s="12" t="str">
        <f t="shared" si="48"/>
        <v>MD</v>
      </c>
      <c r="AU36" s="12" t="str">
        <f t="shared" si="48"/>
        <v>NX</v>
      </c>
      <c r="AV36" s="12" t="str">
        <f t="shared" si="48"/>
        <v>OU</v>
      </c>
      <c r="AW36" s="12" t="str">
        <f t="shared" si="48"/>
        <v>PW</v>
      </c>
      <c r="AX36" s="12" t="str">
        <f t="shared" si="48"/>
        <v>QO</v>
      </c>
      <c r="AY36" s="12" t="str">
        <f t="shared" si="48"/>
        <v>RL</v>
      </c>
      <c r="AZ36" s="12" t="str">
        <f t="shared" si="48"/>
        <v>SK</v>
      </c>
      <c r="BA36" s="12" t="str">
        <f t="shared" si="48"/>
        <v>TP</v>
      </c>
      <c r="BB36" s="12" t="str">
        <f t="shared" si="48"/>
        <v>UG</v>
      </c>
      <c r="BC36" s="12" t="str">
        <f t="shared" si="48"/>
        <v>VI</v>
      </c>
      <c r="BD36" s="12" t="str">
        <f t="shared" si="48"/>
        <v>WC</v>
      </c>
      <c r="BE36" s="12" t="str">
        <f t="shared" si="48"/>
        <v>XA</v>
      </c>
      <c r="BF36" s="12" t="str">
        <f t="shared" si="48"/>
        <v>YV</v>
      </c>
      <c r="BG36" s="12" t="str">
        <f t="shared" si="48"/>
        <v>ZJ</v>
      </c>
    </row>
    <row r="37" spans="2:59" x14ac:dyDescent="0.35">
      <c r="B37" s="21"/>
      <c r="C37" s="4"/>
      <c r="D37" s="5"/>
      <c r="E37" s="5" t="s">
        <v>385</v>
      </c>
      <c r="F37" s="6" t="s">
        <v>0</v>
      </c>
      <c r="G37" s="6" t="s">
        <v>1</v>
      </c>
      <c r="H37" s="6" t="s">
        <v>2</v>
      </c>
      <c r="I37" s="6" t="s">
        <v>3</v>
      </c>
      <c r="J37" s="6" t="s">
        <v>4</v>
      </c>
      <c r="K37" s="6" t="s">
        <v>5</v>
      </c>
      <c r="L37" s="6" t="s">
        <v>6</v>
      </c>
      <c r="M37" s="6" t="s">
        <v>7</v>
      </c>
      <c r="N37" s="6" t="s">
        <v>8</v>
      </c>
      <c r="O37" s="6" t="s">
        <v>9</v>
      </c>
      <c r="P37" s="6" t="s">
        <v>10</v>
      </c>
      <c r="Q37" s="6" t="s">
        <v>11</v>
      </c>
      <c r="R37" s="6" t="s">
        <v>12</v>
      </c>
      <c r="S37" s="6" t="s">
        <v>13</v>
      </c>
      <c r="T37" s="6" t="s">
        <v>14</v>
      </c>
      <c r="U37" s="6" t="s">
        <v>15</v>
      </c>
      <c r="V37" s="6" t="s">
        <v>16</v>
      </c>
      <c r="W37" s="6" t="s">
        <v>17</v>
      </c>
      <c r="X37" s="6" t="s">
        <v>18</v>
      </c>
      <c r="Y37" s="6" t="s">
        <v>19</v>
      </c>
      <c r="Z37" s="6" t="s">
        <v>20</v>
      </c>
      <c r="AA37" s="6" t="s">
        <v>21</v>
      </c>
      <c r="AB37" s="6" t="s">
        <v>22</v>
      </c>
      <c r="AC37" s="6" t="s">
        <v>23</v>
      </c>
      <c r="AD37" s="6" t="s">
        <v>24</v>
      </c>
      <c r="AE37" s="6" t="s">
        <v>25</v>
      </c>
      <c r="AF37" s="20"/>
      <c r="AH37" s="28" t="str">
        <f>HLOOKUP(AH31,$AH34:$BG35,2,FALSE)</f>
        <v>T</v>
      </c>
      <c r="AI37" s="28" t="str">
        <f>HLOOKUP(AI31,$AH34:$BG35,2,FALSE)</f>
        <v>I</v>
      </c>
      <c r="AJ37" s="28" t="str">
        <f>HLOOKUP(AJ31,$AH34:$BG35,2,FALSE)</f>
        <v>M</v>
      </c>
      <c r="AK37" s="28" t="str">
        <f t="shared" ref="AK37:BG37" si="49">HLOOKUP(AK31,$AH34:$BG35,2,FALSE)</f>
        <v>Z</v>
      </c>
      <c r="AL37" s="28" t="str">
        <f t="shared" si="49"/>
        <v>N</v>
      </c>
      <c r="AM37" s="28" t="str">
        <f t="shared" si="49"/>
        <v>E</v>
      </c>
      <c r="AN37" s="28" t="str">
        <f t="shared" si="49"/>
        <v>P</v>
      </c>
      <c r="AO37" s="28" t="str">
        <f t="shared" si="49"/>
        <v>Y</v>
      </c>
      <c r="AP37" s="28" t="str">
        <f t="shared" si="49"/>
        <v>A</v>
      </c>
      <c r="AQ37" s="28" t="str">
        <f t="shared" si="49"/>
        <v>S</v>
      </c>
      <c r="AR37" s="28" t="str">
        <f t="shared" si="49"/>
        <v>Q</v>
      </c>
      <c r="AS37" s="28" t="str">
        <f t="shared" si="49"/>
        <v>O</v>
      </c>
      <c r="AT37" s="28" t="str">
        <f t="shared" si="49"/>
        <v>K</v>
      </c>
      <c r="AU37" s="28" t="str">
        <f t="shared" si="49"/>
        <v>D</v>
      </c>
      <c r="AV37" s="28" t="str">
        <f t="shared" si="49"/>
        <v>H</v>
      </c>
      <c r="AW37" s="28" t="str">
        <f t="shared" si="49"/>
        <v>X</v>
      </c>
      <c r="AX37" s="28" t="str">
        <f t="shared" si="49"/>
        <v>W</v>
      </c>
      <c r="AY37" s="28" t="str">
        <f t="shared" si="49"/>
        <v>L</v>
      </c>
      <c r="AZ37" s="28" t="str">
        <f t="shared" si="49"/>
        <v>V</v>
      </c>
      <c r="BA37" s="28" t="str">
        <f t="shared" si="49"/>
        <v>C</v>
      </c>
      <c r="BB37" s="28" t="str">
        <f t="shared" si="49"/>
        <v>R</v>
      </c>
      <c r="BC37" s="28" t="str">
        <f t="shared" si="49"/>
        <v>B</v>
      </c>
      <c r="BD37" s="28" t="str">
        <f t="shared" si="49"/>
        <v>F</v>
      </c>
      <c r="BE37" s="28" t="str">
        <f t="shared" si="49"/>
        <v>U</v>
      </c>
      <c r="BF37" s="28" t="str">
        <f t="shared" si="49"/>
        <v>J</v>
      </c>
      <c r="BG37" s="28" t="str">
        <f t="shared" si="49"/>
        <v>G</v>
      </c>
    </row>
    <row r="38" spans="2:59" x14ac:dyDescent="0.35">
      <c r="B38" s="22"/>
      <c r="C38" s="8"/>
      <c r="F38" s="1">
        <f t="shared" ref="F38:AE38" si="50">IF(ISERROR(FIND(F37,$AF36)),0,1)</f>
        <v>1</v>
      </c>
      <c r="G38" s="1">
        <f t="shared" si="50"/>
        <v>1</v>
      </c>
      <c r="H38" s="1">
        <f t="shared" si="50"/>
        <v>1</v>
      </c>
      <c r="I38" s="1">
        <f t="shared" si="50"/>
        <v>1</v>
      </c>
      <c r="J38" s="1">
        <f t="shared" si="50"/>
        <v>1</v>
      </c>
      <c r="K38" s="1">
        <f t="shared" si="50"/>
        <v>1</v>
      </c>
      <c r="L38" s="1">
        <f t="shared" si="50"/>
        <v>1</v>
      </c>
      <c r="M38" s="1">
        <f t="shared" si="50"/>
        <v>1</v>
      </c>
      <c r="N38" s="1">
        <f t="shared" si="50"/>
        <v>1</v>
      </c>
      <c r="O38" s="1">
        <f t="shared" si="50"/>
        <v>1</v>
      </c>
      <c r="P38" s="1">
        <f t="shared" si="50"/>
        <v>1</v>
      </c>
      <c r="Q38" s="1">
        <f t="shared" si="50"/>
        <v>1</v>
      </c>
      <c r="R38" s="1">
        <f t="shared" si="50"/>
        <v>1</v>
      </c>
      <c r="S38" s="1">
        <f t="shared" si="50"/>
        <v>1</v>
      </c>
      <c r="T38" s="1">
        <f t="shared" si="50"/>
        <v>1</v>
      </c>
      <c r="U38" s="1">
        <f t="shared" si="50"/>
        <v>1</v>
      </c>
      <c r="V38" s="1">
        <f t="shared" si="50"/>
        <v>1</v>
      </c>
      <c r="W38" s="1">
        <f t="shared" si="50"/>
        <v>1</v>
      </c>
      <c r="X38" s="1">
        <f t="shared" si="50"/>
        <v>1</v>
      </c>
      <c r="Y38" s="1">
        <f t="shared" si="50"/>
        <v>1</v>
      </c>
      <c r="Z38" s="1">
        <f t="shared" si="50"/>
        <v>1</v>
      </c>
      <c r="AA38" s="1">
        <f t="shared" si="50"/>
        <v>1</v>
      </c>
      <c r="AB38" s="1">
        <f t="shared" si="50"/>
        <v>1</v>
      </c>
      <c r="AC38" s="1">
        <f t="shared" si="50"/>
        <v>1</v>
      </c>
      <c r="AD38" s="1">
        <f t="shared" si="50"/>
        <v>1</v>
      </c>
      <c r="AE38" s="1">
        <f t="shared" si="50"/>
        <v>1</v>
      </c>
      <c r="AF38" s="10"/>
    </row>
    <row r="39" spans="2:59" x14ac:dyDescent="0.35">
      <c r="B39" s="22" t="s">
        <v>384</v>
      </c>
      <c r="C39" s="26" t="str">
        <f>"R"&amp;C6</f>
        <v>R2</v>
      </c>
      <c r="D39" s="11">
        <f>D6</f>
        <v>3715</v>
      </c>
      <c r="E39" s="11">
        <f>E6</f>
        <v>23</v>
      </c>
      <c r="F39" s="12" t="str">
        <f>F6</f>
        <v>W</v>
      </c>
      <c r="G39" s="13" t="str">
        <f t="shared" ref="G39:AE39" si="51">VLOOKUP(F39,nNextLetter,2,FALSE)</f>
        <v>X</v>
      </c>
      <c r="H39" s="13" t="str">
        <f t="shared" si="51"/>
        <v>Y</v>
      </c>
      <c r="I39" s="13" t="str">
        <f t="shared" si="51"/>
        <v>Z</v>
      </c>
      <c r="J39" s="13" t="str">
        <f t="shared" si="51"/>
        <v>A</v>
      </c>
      <c r="K39" s="13" t="str">
        <f t="shared" si="51"/>
        <v>B</v>
      </c>
      <c r="L39" s="13" t="str">
        <f t="shared" si="51"/>
        <v>C</v>
      </c>
      <c r="M39" s="13" t="str">
        <f t="shared" si="51"/>
        <v>D</v>
      </c>
      <c r="N39" s="13" t="str">
        <f t="shared" si="51"/>
        <v>E</v>
      </c>
      <c r="O39" s="13" t="str">
        <f t="shared" si="51"/>
        <v>F</v>
      </c>
      <c r="P39" s="13" t="str">
        <f t="shared" si="51"/>
        <v>G</v>
      </c>
      <c r="Q39" s="13" t="str">
        <f t="shared" si="51"/>
        <v>H</v>
      </c>
      <c r="R39" s="13" t="str">
        <f t="shared" si="51"/>
        <v>I</v>
      </c>
      <c r="S39" s="13" t="str">
        <f t="shared" si="51"/>
        <v>J</v>
      </c>
      <c r="T39" s="13" t="str">
        <f t="shared" si="51"/>
        <v>K</v>
      </c>
      <c r="U39" s="13" t="str">
        <f t="shared" si="51"/>
        <v>L</v>
      </c>
      <c r="V39" s="13" t="str">
        <f t="shared" si="51"/>
        <v>M</v>
      </c>
      <c r="W39" s="13" t="str">
        <f t="shared" si="51"/>
        <v>N</v>
      </c>
      <c r="X39" s="13" t="str">
        <f t="shared" si="51"/>
        <v>O</v>
      </c>
      <c r="Y39" s="13" t="str">
        <f t="shared" si="51"/>
        <v>P</v>
      </c>
      <c r="Z39" s="13" t="str">
        <f t="shared" si="51"/>
        <v>Q</v>
      </c>
      <c r="AA39" s="13" t="str">
        <f t="shared" si="51"/>
        <v>R</v>
      </c>
      <c r="AB39" s="13" t="str">
        <f t="shared" si="51"/>
        <v>S</v>
      </c>
      <c r="AC39" s="13" t="str">
        <f t="shared" si="51"/>
        <v>T</v>
      </c>
      <c r="AD39" s="13" t="str">
        <f t="shared" si="51"/>
        <v>U</v>
      </c>
      <c r="AE39" s="13" t="str">
        <f t="shared" si="51"/>
        <v>V</v>
      </c>
      <c r="AF39" s="10"/>
    </row>
    <row r="40" spans="2:59" x14ac:dyDescent="0.35">
      <c r="B40" s="22"/>
      <c r="C40" s="8"/>
      <c r="E40" t="s">
        <v>386</v>
      </c>
      <c r="F40" s="14" t="str">
        <f t="shared" ref="F40:AE40" si="52">IF(F38=1,VLOOKUP(nCurPosR+nRingOffsetR+(CODE(F37)-nCharOffset)-1,nNum2Let,2,FALSE),"")</f>
        <v>W</v>
      </c>
      <c r="G40" s="14" t="str">
        <f t="shared" si="52"/>
        <v>X</v>
      </c>
      <c r="H40" s="14" t="str">
        <f t="shared" si="52"/>
        <v>Y</v>
      </c>
      <c r="I40" s="14" t="str">
        <f t="shared" si="52"/>
        <v>Z</v>
      </c>
      <c r="J40" s="14" t="str">
        <f t="shared" si="52"/>
        <v>A</v>
      </c>
      <c r="K40" s="14" t="str">
        <f t="shared" si="52"/>
        <v>B</v>
      </c>
      <c r="L40" s="14" t="str">
        <f t="shared" si="52"/>
        <v>C</v>
      </c>
      <c r="M40" s="14" t="str">
        <f t="shared" si="52"/>
        <v>D</v>
      </c>
      <c r="N40" s="14" t="str">
        <f t="shared" si="52"/>
        <v>E</v>
      </c>
      <c r="O40" s="14" t="str">
        <f t="shared" si="52"/>
        <v>F</v>
      </c>
      <c r="P40" s="14" t="str">
        <f t="shared" si="52"/>
        <v>G</v>
      </c>
      <c r="Q40" s="14" t="str">
        <f t="shared" si="52"/>
        <v>H</v>
      </c>
      <c r="R40" s="14" t="str">
        <f t="shared" si="52"/>
        <v>I</v>
      </c>
      <c r="S40" s="14" t="str">
        <f t="shared" si="52"/>
        <v>J</v>
      </c>
      <c r="T40" s="14" t="str">
        <f t="shared" si="52"/>
        <v>K</v>
      </c>
      <c r="U40" s="14" t="str">
        <f t="shared" si="52"/>
        <v>L</v>
      </c>
      <c r="V40" s="14" t="str">
        <f t="shared" si="52"/>
        <v>M</v>
      </c>
      <c r="W40" s="14" t="str">
        <f t="shared" si="52"/>
        <v>N</v>
      </c>
      <c r="X40" s="14" t="str">
        <f t="shared" si="52"/>
        <v>O</v>
      </c>
      <c r="Y40" s="14" t="str">
        <f t="shared" si="52"/>
        <v>P</v>
      </c>
      <c r="Z40" s="14" t="str">
        <f t="shared" si="52"/>
        <v>Q</v>
      </c>
      <c r="AA40" s="14" t="str">
        <f t="shared" si="52"/>
        <v>R</v>
      </c>
      <c r="AB40" s="14" t="str">
        <f t="shared" si="52"/>
        <v>S</v>
      </c>
      <c r="AC40" s="14" t="str">
        <f t="shared" si="52"/>
        <v>T</v>
      </c>
      <c r="AD40" s="14" t="str">
        <f t="shared" si="52"/>
        <v>U</v>
      </c>
      <c r="AE40" s="14" t="str">
        <f t="shared" si="52"/>
        <v>V</v>
      </c>
      <c r="AF40" s="10"/>
      <c r="AH40" s="28" t="str">
        <f t="shared" ref="AH40:BG40" si="53">IF(LEN(AH42)=2,LEFT(AH42,1),"")</f>
        <v>A</v>
      </c>
      <c r="AI40" s="28" t="str">
        <f t="shared" si="53"/>
        <v>B</v>
      </c>
      <c r="AJ40" s="28" t="str">
        <f t="shared" si="53"/>
        <v>C</v>
      </c>
      <c r="AK40" s="28" t="str">
        <f t="shared" si="53"/>
        <v>D</v>
      </c>
      <c r="AL40" s="28" t="str">
        <f t="shared" si="53"/>
        <v>E</v>
      </c>
      <c r="AM40" s="28" t="str">
        <f t="shared" si="53"/>
        <v>F</v>
      </c>
      <c r="AN40" s="28" t="str">
        <f t="shared" si="53"/>
        <v>G</v>
      </c>
      <c r="AO40" s="28" t="str">
        <f t="shared" si="53"/>
        <v>H</v>
      </c>
      <c r="AP40" s="28" t="str">
        <f t="shared" si="53"/>
        <v>I</v>
      </c>
      <c r="AQ40" s="28" t="str">
        <f t="shared" si="53"/>
        <v>J</v>
      </c>
      <c r="AR40" s="28" t="str">
        <f t="shared" si="53"/>
        <v>K</v>
      </c>
      <c r="AS40" s="28" t="str">
        <f t="shared" si="53"/>
        <v>L</v>
      </c>
      <c r="AT40" s="28" t="str">
        <f t="shared" si="53"/>
        <v>M</v>
      </c>
      <c r="AU40" s="28" t="str">
        <f t="shared" si="53"/>
        <v>N</v>
      </c>
      <c r="AV40" s="28" t="str">
        <f t="shared" si="53"/>
        <v>O</v>
      </c>
      <c r="AW40" s="28" t="str">
        <f t="shared" si="53"/>
        <v>P</v>
      </c>
      <c r="AX40" s="28" t="str">
        <f t="shared" si="53"/>
        <v>Q</v>
      </c>
      <c r="AY40" s="28" t="str">
        <f t="shared" si="53"/>
        <v>R</v>
      </c>
      <c r="AZ40" s="28" t="str">
        <f t="shared" si="53"/>
        <v>S</v>
      </c>
      <c r="BA40" s="28" t="str">
        <f t="shared" si="53"/>
        <v>T</v>
      </c>
      <c r="BB40" s="28" t="str">
        <f t="shared" si="53"/>
        <v>U</v>
      </c>
      <c r="BC40" s="28" t="str">
        <f t="shared" si="53"/>
        <v>V</v>
      </c>
      <c r="BD40" s="28" t="str">
        <f t="shared" si="53"/>
        <v>W</v>
      </c>
      <c r="BE40" s="28" t="str">
        <f t="shared" si="53"/>
        <v>X</v>
      </c>
      <c r="BF40" s="28" t="str">
        <f t="shared" si="53"/>
        <v>Y</v>
      </c>
      <c r="BG40" s="28" t="str">
        <f t="shared" si="53"/>
        <v>Z</v>
      </c>
    </row>
    <row r="41" spans="2:59" x14ac:dyDescent="0.35">
      <c r="B41" s="22"/>
      <c r="C41" s="8"/>
      <c r="E41" t="s">
        <v>387</v>
      </c>
      <c r="F41" s="15" t="str">
        <f t="shared" ref="F41:AE41" si="54">IF(F38=1,VLOOKUP(nRotorR_Rev&amp;F40,nRotorRev,4,FALSE),"")</f>
        <v>M</v>
      </c>
      <c r="G41" s="15" t="str">
        <f t="shared" si="54"/>
        <v>I</v>
      </c>
      <c r="H41" s="15" t="str">
        <f t="shared" si="54"/>
        <v>V</v>
      </c>
      <c r="I41" s="15" t="str">
        <f t="shared" si="54"/>
        <v>S</v>
      </c>
      <c r="J41" s="15" t="str">
        <f t="shared" si="54"/>
        <v>A</v>
      </c>
      <c r="K41" s="15" t="str">
        <f t="shared" si="54"/>
        <v>J</v>
      </c>
      <c r="L41" s="15" t="str">
        <f t="shared" si="54"/>
        <v>P</v>
      </c>
      <c r="M41" s="15" t="str">
        <f t="shared" si="54"/>
        <v>C</v>
      </c>
      <c r="N41" s="15" t="str">
        <f t="shared" si="54"/>
        <v>Z</v>
      </c>
      <c r="O41" s="15" t="str">
        <f t="shared" si="54"/>
        <v>W</v>
      </c>
      <c r="P41" s="15" t="str">
        <f t="shared" si="54"/>
        <v>R</v>
      </c>
      <c r="Q41" s="15" t="str">
        <f t="shared" si="54"/>
        <v>L</v>
      </c>
      <c r="R41" s="15" t="str">
        <f t="shared" si="54"/>
        <v>F</v>
      </c>
      <c r="S41" s="15" t="str">
        <f t="shared" si="54"/>
        <v>B</v>
      </c>
      <c r="T41" s="15" t="str">
        <f t="shared" si="54"/>
        <v>D</v>
      </c>
      <c r="U41" s="15" t="str">
        <f t="shared" si="54"/>
        <v>K</v>
      </c>
      <c r="V41" s="15" t="str">
        <f t="shared" si="54"/>
        <v>O</v>
      </c>
      <c r="W41" s="15" t="str">
        <f t="shared" si="54"/>
        <v>T</v>
      </c>
      <c r="X41" s="15" t="str">
        <f t="shared" si="54"/>
        <v>Y</v>
      </c>
      <c r="Y41" s="15" t="str">
        <f t="shared" si="54"/>
        <v>U</v>
      </c>
      <c r="Z41" s="15" t="str">
        <f t="shared" si="54"/>
        <v>Q</v>
      </c>
      <c r="AA41" s="15" t="str">
        <f t="shared" si="54"/>
        <v>G</v>
      </c>
      <c r="AB41" s="15" t="str">
        <f t="shared" si="54"/>
        <v>E</v>
      </c>
      <c r="AC41" s="15" t="str">
        <f t="shared" si="54"/>
        <v>N</v>
      </c>
      <c r="AD41" s="15" t="str">
        <f t="shared" si="54"/>
        <v>H</v>
      </c>
      <c r="AE41" s="15" t="str">
        <f t="shared" si="54"/>
        <v>X</v>
      </c>
      <c r="AF41" s="10"/>
      <c r="AH41" s="28" t="str">
        <f t="shared" ref="AH41:BG41" si="55">IF(LEN(AH42)=2,RIGHT(AH42,1),"")</f>
        <v>Q</v>
      </c>
      <c r="AI41" s="28" t="str">
        <f t="shared" si="55"/>
        <v>M</v>
      </c>
      <c r="AJ41" s="28" t="str">
        <f t="shared" si="55"/>
        <v>Z</v>
      </c>
      <c r="AK41" s="28" t="str">
        <f t="shared" si="55"/>
        <v>W</v>
      </c>
      <c r="AL41" s="28" t="str">
        <f t="shared" si="55"/>
        <v>E</v>
      </c>
      <c r="AM41" s="28" t="str">
        <f t="shared" si="55"/>
        <v>N</v>
      </c>
      <c r="AN41" s="28" t="str">
        <f t="shared" si="55"/>
        <v>T</v>
      </c>
      <c r="AO41" s="28" t="str">
        <f t="shared" si="55"/>
        <v>G</v>
      </c>
      <c r="AP41" s="28" t="str">
        <f t="shared" si="55"/>
        <v>D</v>
      </c>
      <c r="AQ41" s="28" t="str">
        <f t="shared" si="55"/>
        <v>A</v>
      </c>
      <c r="AR41" s="28" t="str">
        <f t="shared" si="55"/>
        <v>V</v>
      </c>
      <c r="AS41" s="28" t="str">
        <f t="shared" si="55"/>
        <v>P</v>
      </c>
      <c r="AT41" s="28" t="str">
        <f t="shared" si="55"/>
        <v>J</v>
      </c>
      <c r="AU41" s="28" t="str">
        <f t="shared" si="55"/>
        <v>F</v>
      </c>
      <c r="AV41" s="28" t="str">
        <f t="shared" si="55"/>
        <v>H</v>
      </c>
      <c r="AW41" s="28" t="str">
        <f t="shared" si="55"/>
        <v>O</v>
      </c>
      <c r="AX41" s="28" t="str">
        <f t="shared" si="55"/>
        <v>S</v>
      </c>
      <c r="AY41" s="28" t="str">
        <f t="shared" si="55"/>
        <v>X</v>
      </c>
      <c r="AZ41" s="28" t="str">
        <f t="shared" si="55"/>
        <v>C</v>
      </c>
      <c r="BA41" s="28" t="str">
        <f t="shared" si="55"/>
        <v>Y</v>
      </c>
      <c r="BB41" s="28" t="str">
        <f t="shared" si="55"/>
        <v>U</v>
      </c>
      <c r="BC41" s="28" t="str">
        <f t="shared" si="55"/>
        <v>K</v>
      </c>
      <c r="BD41" s="28" t="str">
        <f t="shared" si="55"/>
        <v>I</v>
      </c>
      <c r="BE41" s="28" t="str">
        <f t="shared" si="55"/>
        <v>R</v>
      </c>
      <c r="BF41" s="28" t="str">
        <f t="shared" si="55"/>
        <v>L</v>
      </c>
      <c r="BG41" s="28" t="str">
        <f t="shared" si="55"/>
        <v>B</v>
      </c>
    </row>
    <row r="42" spans="2:59" ht="15" thickBot="1" x14ac:dyDescent="0.4">
      <c r="B42" s="23"/>
      <c r="C42" s="16"/>
      <c r="D42" s="17"/>
      <c r="E42" s="17" t="s">
        <v>388</v>
      </c>
      <c r="F42" s="18" t="str">
        <f t="shared" ref="F42:AE42" si="56">IF(F38=1,IF(CODE(F41)-CODE(F40)&lt;0,VLOOKUP((CODE(F41)-CODE(F40)+26)+(CODE(F37)-nCharOffset),nNum2Let,2,FALSE),VLOOKUP((CODE(F41)-CODE(F40))+(CODE(F37)-nCharOffset),nNum2Let,2,FALSE)),"")</f>
        <v>Q</v>
      </c>
      <c r="G42" s="18" t="str">
        <f t="shared" si="56"/>
        <v>M</v>
      </c>
      <c r="H42" s="18" t="str">
        <f t="shared" si="56"/>
        <v>Z</v>
      </c>
      <c r="I42" s="18" t="str">
        <f t="shared" si="56"/>
        <v>W</v>
      </c>
      <c r="J42" s="18" t="str">
        <f t="shared" si="56"/>
        <v>E</v>
      </c>
      <c r="K42" s="18" t="str">
        <f t="shared" si="56"/>
        <v>N</v>
      </c>
      <c r="L42" s="18" t="str">
        <f t="shared" si="56"/>
        <v>T</v>
      </c>
      <c r="M42" s="18" t="str">
        <f t="shared" si="56"/>
        <v>G</v>
      </c>
      <c r="N42" s="18" t="str">
        <f t="shared" si="56"/>
        <v>D</v>
      </c>
      <c r="O42" s="18" t="str">
        <f t="shared" si="56"/>
        <v>A</v>
      </c>
      <c r="P42" s="18" t="str">
        <f t="shared" si="56"/>
        <v>V</v>
      </c>
      <c r="Q42" s="18" t="str">
        <f t="shared" si="56"/>
        <v>P</v>
      </c>
      <c r="R42" s="18" t="str">
        <f t="shared" si="56"/>
        <v>J</v>
      </c>
      <c r="S42" s="18" t="str">
        <f t="shared" si="56"/>
        <v>F</v>
      </c>
      <c r="T42" s="18" t="str">
        <f t="shared" si="56"/>
        <v>H</v>
      </c>
      <c r="U42" s="18" t="str">
        <f t="shared" si="56"/>
        <v>O</v>
      </c>
      <c r="V42" s="18" t="str">
        <f t="shared" si="56"/>
        <v>S</v>
      </c>
      <c r="W42" s="18" t="str">
        <f t="shared" si="56"/>
        <v>X</v>
      </c>
      <c r="X42" s="18" t="str">
        <f t="shared" si="56"/>
        <v>C</v>
      </c>
      <c r="Y42" s="18" t="str">
        <f t="shared" si="56"/>
        <v>Y</v>
      </c>
      <c r="Z42" s="18" t="str">
        <f t="shared" si="56"/>
        <v>U</v>
      </c>
      <c r="AA42" s="18" t="str">
        <f t="shared" si="56"/>
        <v>K</v>
      </c>
      <c r="AB42" s="18" t="str">
        <f t="shared" si="56"/>
        <v>I</v>
      </c>
      <c r="AC42" s="18" t="str">
        <f t="shared" si="56"/>
        <v>R</v>
      </c>
      <c r="AD42" s="18" t="str">
        <f t="shared" si="56"/>
        <v>L</v>
      </c>
      <c r="AE42" s="18" t="str">
        <f t="shared" si="56"/>
        <v>B</v>
      </c>
      <c r="AF42" s="19" t="str">
        <f>CONCATENATE(F42,G42,H42,I42,J42,K42,L42,M42,N42,O42,P42,Q42,R42,S42,T42&amp;U42,V42,W42,X42,Y42,Z42,AA42,AB42,AC42,AD42,AE42)</f>
        <v>QMZWENTGDAVPJFHOSXCYUKIRLB</v>
      </c>
      <c r="AH42" s="12" t="str">
        <f>F37&amp;F42</f>
        <v>AQ</v>
      </c>
      <c r="AI42" s="12" t="str">
        <f t="shared" ref="AI42:BG42" si="57">G37&amp;G42</f>
        <v>BM</v>
      </c>
      <c r="AJ42" s="12" t="str">
        <f t="shared" si="57"/>
        <v>CZ</v>
      </c>
      <c r="AK42" s="12" t="str">
        <f t="shared" si="57"/>
        <v>DW</v>
      </c>
      <c r="AL42" s="12" t="str">
        <f t="shared" si="57"/>
        <v>EE</v>
      </c>
      <c r="AM42" s="12" t="str">
        <f t="shared" si="57"/>
        <v>FN</v>
      </c>
      <c r="AN42" s="12" t="str">
        <f t="shared" si="57"/>
        <v>GT</v>
      </c>
      <c r="AO42" s="12" t="str">
        <f t="shared" si="57"/>
        <v>HG</v>
      </c>
      <c r="AP42" s="12" t="str">
        <f t="shared" si="57"/>
        <v>ID</v>
      </c>
      <c r="AQ42" s="12" t="str">
        <f t="shared" si="57"/>
        <v>JA</v>
      </c>
      <c r="AR42" s="12" t="str">
        <f t="shared" si="57"/>
        <v>KV</v>
      </c>
      <c r="AS42" s="12" t="str">
        <f t="shared" si="57"/>
        <v>LP</v>
      </c>
      <c r="AT42" s="12" t="str">
        <f t="shared" si="57"/>
        <v>MJ</v>
      </c>
      <c r="AU42" s="12" t="str">
        <f t="shared" si="57"/>
        <v>NF</v>
      </c>
      <c r="AV42" s="12" t="str">
        <f t="shared" si="57"/>
        <v>OH</v>
      </c>
      <c r="AW42" s="12" t="str">
        <f t="shared" si="57"/>
        <v>PO</v>
      </c>
      <c r="AX42" s="12" t="str">
        <f t="shared" si="57"/>
        <v>QS</v>
      </c>
      <c r="AY42" s="12" t="str">
        <f t="shared" si="57"/>
        <v>RX</v>
      </c>
      <c r="AZ42" s="12" t="str">
        <f t="shared" si="57"/>
        <v>SC</v>
      </c>
      <c r="BA42" s="12" t="str">
        <f t="shared" si="57"/>
        <v>TY</v>
      </c>
      <c r="BB42" s="12" t="str">
        <f t="shared" si="57"/>
        <v>UU</v>
      </c>
      <c r="BC42" s="12" t="str">
        <f t="shared" si="57"/>
        <v>VK</v>
      </c>
      <c r="BD42" s="12" t="str">
        <f t="shared" si="57"/>
        <v>WI</v>
      </c>
      <c r="BE42" s="12" t="str">
        <f t="shared" si="57"/>
        <v>XR</v>
      </c>
      <c r="BF42" s="12" t="str">
        <f t="shared" si="57"/>
        <v>YL</v>
      </c>
      <c r="BG42" s="12" t="str">
        <f t="shared" si="57"/>
        <v>ZB</v>
      </c>
    </row>
    <row r="43" spans="2:59" x14ac:dyDescent="0.35">
      <c r="F43" s="3" t="s">
        <v>0</v>
      </c>
      <c r="G43" s="3" t="s">
        <v>1</v>
      </c>
      <c r="H43" s="3" t="s">
        <v>2</v>
      </c>
      <c r="I43" s="3" t="s">
        <v>3</v>
      </c>
      <c r="J43" s="3" t="s">
        <v>4</v>
      </c>
      <c r="K43" s="3" t="s">
        <v>5</v>
      </c>
      <c r="L43" s="3" t="s">
        <v>6</v>
      </c>
      <c r="M43" s="3" t="s">
        <v>7</v>
      </c>
      <c r="N43" s="3" t="s">
        <v>8</v>
      </c>
      <c r="O43" s="3" t="s">
        <v>9</v>
      </c>
      <c r="P43" s="3" t="s">
        <v>10</v>
      </c>
      <c r="Q43" s="3" t="s">
        <v>11</v>
      </c>
      <c r="R43" s="3" t="s">
        <v>12</v>
      </c>
      <c r="S43" s="3" t="s">
        <v>13</v>
      </c>
      <c r="T43" s="3" t="s">
        <v>14</v>
      </c>
      <c r="U43" s="3" t="s">
        <v>15</v>
      </c>
      <c r="V43" s="3" t="s">
        <v>16</v>
      </c>
      <c r="W43" s="3" t="s">
        <v>17</v>
      </c>
      <c r="X43" s="3" t="s">
        <v>18</v>
      </c>
      <c r="Y43" s="3" t="s">
        <v>19</v>
      </c>
      <c r="Z43" s="3" t="s">
        <v>20</v>
      </c>
      <c r="AA43" s="3" t="s">
        <v>21</v>
      </c>
      <c r="AB43" s="3" t="s">
        <v>22</v>
      </c>
      <c r="AC43" s="3" t="s">
        <v>23</v>
      </c>
      <c r="AD43" s="3" t="s">
        <v>24</v>
      </c>
      <c r="AE43" s="3" t="s">
        <v>25</v>
      </c>
      <c r="AH43" s="42" t="str">
        <f>HLOOKUP(AH37,$AH40:$BG41,2,FALSE)</f>
        <v>Y</v>
      </c>
      <c r="AI43" s="42" t="str">
        <f>HLOOKUP(AI37,$AH40:$BG41,2,FALSE)</f>
        <v>D</v>
      </c>
      <c r="AJ43" s="42" t="str">
        <f t="shared" ref="AJ43:BG43" si="58">HLOOKUP(AJ37,$AH40:$BG41,2,FALSE)</f>
        <v>J</v>
      </c>
      <c r="AK43" s="42" t="str">
        <f t="shared" si="58"/>
        <v>B</v>
      </c>
      <c r="AL43" s="42" t="str">
        <f t="shared" si="58"/>
        <v>F</v>
      </c>
      <c r="AM43" s="42" t="str">
        <f t="shared" si="58"/>
        <v>E</v>
      </c>
      <c r="AN43" s="42" t="str">
        <f t="shared" si="58"/>
        <v>O</v>
      </c>
      <c r="AO43" s="42" t="str">
        <f t="shared" si="58"/>
        <v>L</v>
      </c>
      <c r="AP43" s="42" t="str">
        <f t="shared" si="58"/>
        <v>Q</v>
      </c>
      <c r="AQ43" s="42" t="str">
        <f t="shared" si="58"/>
        <v>C</v>
      </c>
      <c r="AR43" s="42" t="str">
        <f t="shared" si="58"/>
        <v>S</v>
      </c>
      <c r="AS43" s="42" t="str">
        <f t="shared" si="58"/>
        <v>H</v>
      </c>
      <c r="AT43" s="42" t="str">
        <f t="shared" si="58"/>
        <v>V</v>
      </c>
      <c r="AU43" s="42" t="str">
        <f t="shared" si="58"/>
        <v>W</v>
      </c>
      <c r="AV43" s="42" t="str">
        <f t="shared" si="58"/>
        <v>G</v>
      </c>
      <c r="AW43" s="42" t="str">
        <f t="shared" si="58"/>
        <v>R</v>
      </c>
      <c r="AX43" s="42" t="str">
        <f t="shared" si="58"/>
        <v>I</v>
      </c>
      <c r="AY43" s="42" t="str">
        <f t="shared" si="58"/>
        <v>P</v>
      </c>
      <c r="AZ43" s="42" t="str">
        <f t="shared" si="58"/>
        <v>K</v>
      </c>
      <c r="BA43" s="42" t="str">
        <f t="shared" si="58"/>
        <v>Z</v>
      </c>
      <c r="BB43" s="42" t="str">
        <f t="shared" si="58"/>
        <v>X</v>
      </c>
      <c r="BC43" s="42" t="str">
        <f t="shared" si="58"/>
        <v>M</v>
      </c>
      <c r="BD43" s="42" t="str">
        <f t="shared" si="58"/>
        <v>N</v>
      </c>
      <c r="BE43" s="42" t="str">
        <f t="shared" si="58"/>
        <v>U</v>
      </c>
      <c r="BF43" s="42" t="str">
        <f t="shared" si="58"/>
        <v>A</v>
      </c>
      <c r="BG43" s="42" t="str">
        <f t="shared" si="58"/>
        <v>T</v>
      </c>
    </row>
    <row r="44" spans="2:59" x14ac:dyDescent="0.35"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H44" s="95" t="s">
        <v>608</v>
      </c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U44" s="96"/>
      <c r="AV44" s="96"/>
      <c r="AW44" s="96"/>
      <c r="AX44" s="96"/>
      <c r="AY44" s="96"/>
      <c r="AZ44" s="96"/>
      <c r="BA44" s="96"/>
      <c r="BB44" s="96"/>
      <c r="BC44" s="96"/>
      <c r="BD44" s="96"/>
      <c r="BE44" s="96"/>
      <c r="BF44" s="96"/>
      <c r="BG44" s="97"/>
    </row>
  </sheetData>
  <sheetProtection sheet="1" objects="1" scenarios="1"/>
  <mergeCells count="2">
    <mergeCell ref="AH6:BG6"/>
    <mergeCell ref="AH44:BG44"/>
  </mergeCells>
  <pageMargins left="0.70866141732283472" right="0.70866141732283472" top="0.74803149606299213" bottom="0.74803149606299213" header="0.31496062992125984" footer="0.31496062992125984"/>
  <pageSetup paperSize="8" scale="6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>
    <pageSetUpPr fitToPage="1"/>
  </sheetPr>
  <dimension ref="A1:BG44"/>
  <sheetViews>
    <sheetView showGridLines="0" showRowColHeaders="0" zoomScale="80" zoomScaleNormal="80" workbookViewId="0"/>
  </sheetViews>
  <sheetFormatPr defaultRowHeight="14.5" x14ac:dyDescent="0.35"/>
  <cols>
    <col min="2" max="2" width="20.54296875" bestFit="1" customWidth="1"/>
    <col min="3" max="3" width="4.54296875" customWidth="1"/>
    <col min="4" max="4" width="8.1796875" bestFit="1" customWidth="1"/>
    <col min="5" max="5" width="15.54296875" bestFit="1" customWidth="1"/>
    <col min="6" max="6" width="3.453125" customWidth="1"/>
    <col min="7" max="7" width="4" customWidth="1"/>
    <col min="8" max="8" width="3.26953125" customWidth="1"/>
    <col min="9" max="9" width="4.1796875" customWidth="1"/>
    <col min="10" max="10" width="3.453125" customWidth="1"/>
    <col min="11" max="31" width="3.26953125" customWidth="1"/>
    <col min="32" max="32" width="32.26953125" bestFit="1" customWidth="1"/>
    <col min="34" max="59" width="3.453125" customWidth="1"/>
  </cols>
  <sheetData>
    <row r="1" spans="1:59" x14ac:dyDescent="0.35">
      <c r="B1" s="29" t="s">
        <v>378</v>
      </c>
      <c r="C1" s="75">
        <v>64</v>
      </c>
      <c r="D1" s="76" t="str">
        <f>nRotorL&amp;nRotorM&amp;nRotorR</f>
        <v>142</v>
      </c>
      <c r="E1" s="76" t="str">
        <f>F18&amp;F12&amp;F6</f>
        <v>ELX</v>
      </c>
      <c r="J1" s="44" t="s">
        <v>4</v>
      </c>
      <c r="K1" s="44" t="s">
        <v>13</v>
      </c>
      <c r="L1" s="44" t="s">
        <v>8</v>
      </c>
      <c r="M1" s="44" t="s">
        <v>6</v>
      </c>
      <c r="N1" s="44" t="s">
        <v>12</v>
      </c>
      <c r="O1" s="44" t="s">
        <v>0</v>
      </c>
      <c r="P1" s="44" t="s">
        <v>18</v>
      </c>
      <c r="Q1" s="44" t="s">
        <v>2</v>
      </c>
      <c r="R1" s="44" t="s">
        <v>17</v>
      </c>
      <c r="S1" s="44" t="s">
        <v>0</v>
      </c>
      <c r="T1" s="44" t="s">
        <v>12</v>
      </c>
      <c r="U1" s="44" t="s">
        <v>1</v>
      </c>
      <c r="V1" s="44" t="s">
        <v>11</v>
      </c>
      <c r="W1" s="44" t="s">
        <v>4</v>
      </c>
      <c r="X1" s="44" t="s">
        <v>17</v>
      </c>
      <c r="Y1" s="44">
        <v>0</v>
      </c>
      <c r="Z1" s="44">
        <v>9</v>
      </c>
    </row>
    <row r="2" spans="1:59" x14ac:dyDescent="0.35">
      <c r="D2" s="77">
        <f>nCounter</f>
        <v>3707</v>
      </c>
    </row>
    <row r="3" spans="1:59" ht="15" thickBot="1" x14ac:dyDescent="0.4">
      <c r="D3" s="78">
        <f>n_RO09</f>
        <v>9</v>
      </c>
      <c r="F3" s="1"/>
      <c r="AF3" s="79" t="s">
        <v>423</v>
      </c>
    </row>
    <row r="4" spans="1:59" x14ac:dyDescent="0.35">
      <c r="B4" s="21"/>
      <c r="C4" s="4"/>
      <c r="E4" s="5" t="s">
        <v>385</v>
      </c>
      <c r="F4" s="6" t="s">
        <v>0</v>
      </c>
      <c r="G4" s="6" t="s">
        <v>1</v>
      </c>
      <c r="H4" s="6" t="s">
        <v>2</v>
      </c>
      <c r="I4" s="6" t="s">
        <v>3</v>
      </c>
      <c r="J4" s="6" t="s">
        <v>4</v>
      </c>
      <c r="K4" s="6" t="s">
        <v>5</v>
      </c>
      <c r="L4" s="6" t="s">
        <v>6</v>
      </c>
      <c r="M4" s="6" t="s">
        <v>7</v>
      </c>
      <c r="N4" s="6" t="s">
        <v>8</v>
      </c>
      <c r="O4" s="6" t="s">
        <v>9</v>
      </c>
      <c r="P4" s="6" t="s">
        <v>10</v>
      </c>
      <c r="Q4" s="6" t="s">
        <v>11</v>
      </c>
      <c r="R4" s="6" t="s">
        <v>12</v>
      </c>
      <c r="S4" s="6" t="s">
        <v>13</v>
      </c>
      <c r="T4" s="6" t="s">
        <v>14</v>
      </c>
      <c r="U4" s="6" t="s">
        <v>15</v>
      </c>
      <c r="V4" s="6" t="s">
        <v>16</v>
      </c>
      <c r="W4" s="6" t="s">
        <v>17</v>
      </c>
      <c r="X4" s="6" t="s">
        <v>18</v>
      </c>
      <c r="Y4" s="6" t="s">
        <v>19</v>
      </c>
      <c r="Z4" s="6" t="s">
        <v>20</v>
      </c>
      <c r="AA4" s="6" t="s">
        <v>21</v>
      </c>
      <c r="AB4" s="6" t="s">
        <v>22</v>
      </c>
      <c r="AC4" s="6" t="s">
        <v>23</v>
      </c>
      <c r="AD4" s="6" t="s">
        <v>24</v>
      </c>
      <c r="AE4" s="6" t="s">
        <v>25</v>
      </c>
      <c r="AF4" s="10"/>
    </row>
    <row r="5" spans="1:59" x14ac:dyDescent="0.35">
      <c r="B5" s="22"/>
      <c r="C5" s="8"/>
      <c r="D5" s="9" t="s">
        <v>28</v>
      </c>
      <c r="E5" s="9" t="s">
        <v>27</v>
      </c>
      <c r="F5" s="1">
        <f t="shared" ref="F5:AE5" si="0">IF(ISERROR(FIND(F4,$AF3)),0,1)</f>
        <v>1</v>
      </c>
      <c r="G5" s="1">
        <f t="shared" si="0"/>
        <v>1</v>
      </c>
      <c r="H5" s="1">
        <f t="shared" si="0"/>
        <v>1</v>
      </c>
      <c r="I5" s="1">
        <f t="shared" si="0"/>
        <v>1</v>
      </c>
      <c r="J5" s="1">
        <f t="shared" si="0"/>
        <v>1</v>
      </c>
      <c r="K5" s="1">
        <f t="shared" si="0"/>
        <v>1</v>
      </c>
      <c r="L5" s="1">
        <f t="shared" si="0"/>
        <v>1</v>
      </c>
      <c r="M5" s="1">
        <f t="shared" si="0"/>
        <v>1</v>
      </c>
      <c r="N5" s="1">
        <f t="shared" si="0"/>
        <v>1</v>
      </c>
      <c r="O5" s="1">
        <f t="shared" si="0"/>
        <v>1</v>
      </c>
      <c r="P5" s="1">
        <f t="shared" si="0"/>
        <v>1</v>
      </c>
      <c r="Q5" s="1">
        <f t="shared" si="0"/>
        <v>1</v>
      </c>
      <c r="R5" s="1">
        <f t="shared" si="0"/>
        <v>1</v>
      </c>
      <c r="S5" s="1">
        <f t="shared" si="0"/>
        <v>1</v>
      </c>
      <c r="T5" s="1">
        <f t="shared" si="0"/>
        <v>1</v>
      </c>
      <c r="U5" s="1">
        <f t="shared" si="0"/>
        <v>1</v>
      </c>
      <c r="V5" s="1">
        <f t="shared" si="0"/>
        <v>1</v>
      </c>
      <c r="W5" s="1">
        <f t="shared" si="0"/>
        <v>1</v>
      </c>
      <c r="X5" s="1">
        <f t="shared" si="0"/>
        <v>1</v>
      </c>
      <c r="Y5" s="1">
        <f t="shared" si="0"/>
        <v>1</v>
      </c>
      <c r="Z5" s="1">
        <f t="shared" si="0"/>
        <v>1</v>
      </c>
      <c r="AA5" s="1">
        <f t="shared" si="0"/>
        <v>1</v>
      </c>
      <c r="AB5" s="1">
        <f t="shared" si="0"/>
        <v>1</v>
      </c>
      <c r="AC5" s="1">
        <f t="shared" si="0"/>
        <v>1</v>
      </c>
      <c r="AD5" s="1">
        <f t="shared" si="0"/>
        <v>1</v>
      </c>
      <c r="AE5" s="1">
        <f t="shared" si="0"/>
        <v>1</v>
      </c>
      <c r="AF5" s="10"/>
    </row>
    <row r="6" spans="1:59" x14ac:dyDescent="0.35">
      <c r="B6" s="22" t="s">
        <v>379</v>
      </c>
      <c r="C6" s="41">
        <f>n_RotorR</f>
        <v>2</v>
      </c>
      <c r="D6" s="11">
        <f>D3+D2</f>
        <v>3716</v>
      </c>
      <c r="E6" s="11">
        <f>IF(MOD(D6,26)=0,26,MOD(D6,26))</f>
        <v>24</v>
      </c>
      <c r="F6" s="12" t="str">
        <f>CHAR(E6+nCharOffset)</f>
        <v>X</v>
      </c>
      <c r="G6" s="13" t="str">
        <f t="shared" ref="G6:AE6" si="1">VLOOKUP(F6,nNextLetter,2,FALSE)</f>
        <v>Y</v>
      </c>
      <c r="H6" s="13" t="str">
        <f t="shared" si="1"/>
        <v>Z</v>
      </c>
      <c r="I6" s="13" t="str">
        <f t="shared" si="1"/>
        <v>A</v>
      </c>
      <c r="J6" s="13" t="str">
        <f t="shared" si="1"/>
        <v>B</v>
      </c>
      <c r="K6" s="13" t="str">
        <f t="shared" si="1"/>
        <v>C</v>
      </c>
      <c r="L6" s="13" t="str">
        <f t="shared" si="1"/>
        <v>D</v>
      </c>
      <c r="M6" s="13" t="str">
        <f t="shared" si="1"/>
        <v>E</v>
      </c>
      <c r="N6" s="13" t="str">
        <f t="shared" si="1"/>
        <v>F</v>
      </c>
      <c r="O6" s="13" t="str">
        <f t="shared" si="1"/>
        <v>G</v>
      </c>
      <c r="P6" s="13" t="str">
        <f t="shared" si="1"/>
        <v>H</v>
      </c>
      <c r="Q6" s="13" t="str">
        <f t="shared" si="1"/>
        <v>I</v>
      </c>
      <c r="R6" s="13" t="str">
        <f t="shared" si="1"/>
        <v>J</v>
      </c>
      <c r="S6" s="13" t="str">
        <f t="shared" si="1"/>
        <v>K</v>
      </c>
      <c r="T6" s="13" t="str">
        <f t="shared" si="1"/>
        <v>L</v>
      </c>
      <c r="U6" s="13" t="str">
        <f t="shared" si="1"/>
        <v>M</v>
      </c>
      <c r="V6" s="13" t="str">
        <f t="shared" si="1"/>
        <v>N</v>
      </c>
      <c r="W6" s="13" t="str">
        <f t="shared" si="1"/>
        <v>O</v>
      </c>
      <c r="X6" s="13" t="str">
        <f t="shared" si="1"/>
        <v>P</v>
      </c>
      <c r="Y6" s="13" t="str">
        <f t="shared" si="1"/>
        <v>Q</v>
      </c>
      <c r="Z6" s="13" t="str">
        <f t="shared" si="1"/>
        <v>R</v>
      </c>
      <c r="AA6" s="13" t="str">
        <f t="shared" si="1"/>
        <v>S</v>
      </c>
      <c r="AB6" s="13" t="str">
        <f t="shared" si="1"/>
        <v>T</v>
      </c>
      <c r="AC6" s="13" t="str">
        <f t="shared" si="1"/>
        <v>U</v>
      </c>
      <c r="AD6" s="13" t="str">
        <f t="shared" si="1"/>
        <v>V</v>
      </c>
      <c r="AE6" s="13" t="str">
        <f t="shared" si="1"/>
        <v>W</v>
      </c>
      <c r="AF6" s="10"/>
      <c r="AH6" s="95" t="s">
        <v>607</v>
      </c>
      <c r="AI6" s="96"/>
      <c r="AJ6" s="96"/>
      <c r="AK6" s="96"/>
      <c r="AL6" s="96"/>
      <c r="AM6" s="96"/>
      <c r="AN6" s="96"/>
      <c r="AO6" s="96"/>
      <c r="AP6" s="96"/>
      <c r="AQ6" s="96"/>
      <c r="AR6" s="96"/>
      <c r="AS6" s="96"/>
      <c r="AT6" s="96"/>
      <c r="AU6" s="96"/>
      <c r="AV6" s="96"/>
      <c r="AW6" s="96"/>
      <c r="AX6" s="96"/>
      <c r="AY6" s="96"/>
      <c r="AZ6" s="96"/>
      <c r="BA6" s="96"/>
      <c r="BB6" s="96"/>
      <c r="BC6" s="96"/>
      <c r="BD6" s="96"/>
      <c r="BE6" s="96"/>
      <c r="BF6" s="96"/>
      <c r="BG6" s="97"/>
    </row>
    <row r="7" spans="1:59" x14ac:dyDescent="0.35">
      <c r="B7" s="22" t="s">
        <v>389</v>
      </c>
      <c r="C7" s="41" t="str">
        <f>n_RingPosR</f>
        <v>A</v>
      </c>
      <c r="D7" s="11">
        <f>VLOOKUP(C7,nRingOffset,2,FALSE)</f>
        <v>0</v>
      </c>
      <c r="E7" t="s">
        <v>386</v>
      </c>
      <c r="F7" s="14" t="str">
        <f t="shared" ref="F7:AE7" si="2">IF(F5=1,VLOOKUP(nCurPosR+nRingOffsetR+(CODE(F4)-nCharOffset)-1,nNum2Let,2,FALSE),"")</f>
        <v>X</v>
      </c>
      <c r="G7" s="14" t="str">
        <f t="shared" si="2"/>
        <v>Y</v>
      </c>
      <c r="H7" s="14" t="str">
        <f t="shared" si="2"/>
        <v>Z</v>
      </c>
      <c r="I7" s="14" t="str">
        <f t="shared" si="2"/>
        <v>A</v>
      </c>
      <c r="J7" s="14" t="str">
        <f t="shared" si="2"/>
        <v>B</v>
      </c>
      <c r="K7" s="14" t="str">
        <f t="shared" si="2"/>
        <v>C</v>
      </c>
      <c r="L7" s="14" t="str">
        <f t="shared" si="2"/>
        <v>D</v>
      </c>
      <c r="M7" s="14" t="str">
        <f t="shared" si="2"/>
        <v>E</v>
      </c>
      <c r="N7" s="14" t="str">
        <f t="shared" si="2"/>
        <v>F</v>
      </c>
      <c r="O7" s="14" t="str">
        <f t="shared" si="2"/>
        <v>G</v>
      </c>
      <c r="P7" s="14" t="str">
        <f t="shared" si="2"/>
        <v>H</v>
      </c>
      <c r="Q7" s="14" t="str">
        <f t="shared" si="2"/>
        <v>I</v>
      </c>
      <c r="R7" s="14" t="str">
        <f t="shared" si="2"/>
        <v>J</v>
      </c>
      <c r="S7" s="14" t="str">
        <f t="shared" si="2"/>
        <v>K</v>
      </c>
      <c r="T7" s="14" t="str">
        <f t="shared" si="2"/>
        <v>L</v>
      </c>
      <c r="U7" s="14" t="str">
        <f t="shared" si="2"/>
        <v>M</v>
      </c>
      <c r="V7" s="14" t="str">
        <f t="shared" si="2"/>
        <v>N</v>
      </c>
      <c r="W7" s="14" t="str">
        <f t="shared" si="2"/>
        <v>O</v>
      </c>
      <c r="X7" s="14" t="str">
        <f t="shared" si="2"/>
        <v>P</v>
      </c>
      <c r="Y7" s="14" t="str">
        <f t="shared" si="2"/>
        <v>Q</v>
      </c>
      <c r="Z7" s="14" t="str">
        <f t="shared" si="2"/>
        <v>R</v>
      </c>
      <c r="AA7" s="14" t="str">
        <f t="shared" si="2"/>
        <v>S</v>
      </c>
      <c r="AB7" s="14" t="str">
        <f t="shared" si="2"/>
        <v>T</v>
      </c>
      <c r="AC7" s="14" t="str">
        <f t="shared" si="2"/>
        <v>U</v>
      </c>
      <c r="AD7" s="14" t="str">
        <f t="shared" si="2"/>
        <v>V</v>
      </c>
      <c r="AE7" s="14" t="str">
        <f t="shared" si="2"/>
        <v>W</v>
      </c>
      <c r="AF7" s="10"/>
      <c r="AH7" s="42" t="str">
        <f t="shared" ref="AH7:BG7" si="3">IF(LEN(AH9)=2,LEFT(AH9,1),"")</f>
        <v>A</v>
      </c>
      <c r="AI7" s="42" t="str">
        <f t="shared" si="3"/>
        <v>B</v>
      </c>
      <c r="AJ7" s="42" t="str">
        <f t="shared" si="3"/>
        <v>C</v>
      </c>
      <c r="AK7" s="42" t="str">
        <f t="shared" si="3"/>
        <v>D</v>
      </c>
      <c r="AL7" s="42" t="str">
        <f t="shared" si="3"/>
        <v>E</v>
      </c>
      <c r="AM7" s="42" t="str">
        <f t="shared" si="3"/>
        <v>F</v>
      </c>
      <c r="AN7" s="42" t="str">
        <f t="shared" si="3"/>
        <v>G</v>
      </c>
      <c r="AO7" s="42" t="str">
        <f t="shared" si="3"/>
        <v>H</v>
      </c>
      <c r="AP7" s="42" t="str">
        <f t="shared" si="3"/>
        <v>I</v>
      </c>
      <c r="AQ7" s="42" t="str">
        <f t="shared" si="3"/>
        <v>J</v>
      </c>
      <c r="AR7" s="42" t="str">
        <f t="shared" si="3"/>
        <v>K</v>
      </c>
      <c r="AS7" s="42" t="str">
        <f t="shared" si="3"/>
        <v>L</v>
      </c>
      <c r="AT7" s="42" t="str">
        <f t="shared" si="3"/>
        <v>M</v>
      </c>
      <c r="AU7" s="42" t="str">
        <f t="shared" si="3"/>
        <v>N</v>
      </c>
      <c r="AV7" s="42" t="str">
        <f t="shared" si="3"/>
        <v>O</v>
      </c>
      <c r="AW7" s="42" t="str">
        <f t="shared" si="3"/>
        <v>P</v>
      </c>
      <c r="AX7" s="42" t="str">
        <f t="shared" si="3"/>
        <v>Q</v>
      </c>
      <c r="AY7" s="42" t="str">
        <f t="shared" si="3"/>
        <v>R</v>
      </c>
      <c r="AZ7" s="42" t="str">
        <f t="shared" si="3"/>
        <v>S</v>
      </c>
      <c r="BA7" s="42" t="str">
        <f t="shared" si="3"/>
        <v>T</v>
      </c>
      <c r="BB7" s="42" t="str">
        <f t="shared" si="3"/>
        <v>U</v>
      </c>
      <c r="BC7" s="42" t="str">
        <f t="shared" si="3"/>
        <v>V</v>
      </c>
      <c r="BD7" s="42" t="str">
        <f t="shared" si="3"/>
        <v>W</v>
      </c>
      <c r="BE7" s="42" t="str">
        <f t="shared" si="3"/>
        <v>X</v>
      </c>
      <c r="BF7" s="42" t="str">
        <f t="shared" si="3"/>
        <v>Y</v>
      </c>
      <c r="BG7" s="42" t="str">
        <f t="shared" si="3"/>
        <v>Z</v>
      </c>
    </row>
    <row r="8" spans="1:59" x14ac:dyDescent="0.35">
      <c r="B8" s="22"/>
      <c r="C8" s="8"/>
      <c r="E8" t="s">
        <v>387</v>
      </c>
      <c r="F8" s="15" t="str">
        <f t="shared" ref="F8:AE8" si="4">IF(F5=1,VLOOKUP(nRotorR&amp;F7,nRotor,4,FALSE),"")</f>
        <v>V</v>
      </c>
      <c r="G8" s="15" t="str">
        <f t="shared" si="4"/>
        <v>O</v>
      </c>
      <c r="H8" s="15" t="str">
        <f t="shared" si="4"/>
        <v>E</v>
      </c>
      <c r="I8" s="15" t="str">
        <f t="shared" si="4"/>
        <v>A</v>
      </c>
      <c r="J8" s="15" t="str">
        <f t="shared" si="4"/>
        <v>J</v>
      </c>
      <c r="K8" s="15" t="str">
        <f t="shared" si="4"/>
        <v>D</v>
      </c>
      <c r="L8" s="15" t="str">
        <f t="shared" si="4"/>
        <v>K</v>
      </c>
      <c r="M8" s="15" t="str">
        <f t="shared" si="4"/>
        <v>S</v>
      </c>
      <c r="N8" s="15" t="str">
        <f t="shared" si="4"/>
        <v>I</v>
      </c>
      <c r="O8" s="15" t="str">
        <f t="shared" si="4"/>
        <v>R</v>
      </c>
      <c r="P8" s="15" t="str">
        <f t="shared" si="4"/>
        <v>U</v>
      </c>
      <c r="Q8" s="15" t="str">
        <f t="shared" si="4"/>
        <v>X</v>
      </c>
      <c r="R8" s="15" t="str">
        <f t="shared" si="4"/>
        <v>B</v>
      </c>
      <c r="S8" s="15" t="str">
        <f t="shared" si="4"/>
        <v>L</v>
      </c>
      <c r="T8" s="15" t="str">
        <f t="shared" si="4"/>
        <v>H</v>
      </c>
      <c r="U8" s="15" t="str">
        <f t="shared" si="4"/>
        <v>W</v>
      </c>
      <c r="V8" s="15" t="str">
        <f t="shared" si="4"/>
        <v>T</v>
      </c>
      <c r="W8" s="15" t="str">
        <f t="shared" si="4"/>
        <v>M</v>
      </c>
      <c r="X8" s="15" t="str">
        <f t="shared" si="4"/>
        <v>C</v>
      </c>
      <c r="Y8" s="15" t="str">
        <f t="shared" si="4"/>
        <v>Q</v>
      </c>
      <c r="Z8" s="15" t="str">
        <f t="shared" si="4"/>
        <v>G</v>
      </c>
      <c r="AA8" s="15" t="str">
        <f t="shared" si="4"/>
        <v>Z</v>
      </c>
      <c r="AB8" s="15" t="str">
        <f t="shared" si="4"/>
        <v>N</v>
      </c>
      <c r="AC8" s="15" t="str">
        <f t="shared" si="4"/>
        <v>P</v>
      </c>
      <c r="AD8" s="15" t="str">
        <f t="shared" si="4"/>
        <v>Y</v>
      </c>
      <c r="AE8" s="15" t="str">
        <f t="shared" si="4"/>
        <v>F</v>
      </c>
      <c r="AF8" s="10"/>
      <c r="AH8" s="28" t="str">
        <f t="shared" ref="AH8:BG8" si="5">IF(LEN(AH9)=2,RIGHT(AH9,1),"")</f>
        <v>Y</v>
      </c>
      <c r="AI8" s="28" t="str">
        <f t="shared" si="5"/>
        <v>R</v>
      </c>
      <c r="AJ8" s="28" t="str">
        <f t="shared" si="5"/>
        <v>H</v>
      </c>
      <c r="AK8" s="28" t="str">
        <f t="shared" si="5"/>
        <v>D</v>
      </c>
      <c r="AL8" s="28" t="str">
        <f t="shared" si="5"/>
        <v>M</v>
      </c>
      <c r="AM8" s="28" t="str">
        <f t="shared" si="5"/>
        <v>G</v>
      </c>
      <c r="AN8" s="28" t="str">
        <f t="shared" si="5"/>
        <v>N</v>
      </c>
      <c r="AO8" s="28" t="str">
        <f t="shared" si="5"/>
        <v>V</v>
      </c>
      <c r="AP8" s="28" t="str">
        <f t="shared" si="5"/>
        <v>L</v>
      </c>
      <c r="AQ8" s="28" t="str">
        <f t="shared" si="5"/>
        <v>U</v>
      </c>
      <c r="AR8" s="28" t="str">
        <f t="shared" si="5"/>
        <v>X</v>
      </c>
      <c r="AS8" s="28" t="str">
        <f t="shared" si="5"/>
        <v>A</v>
      </c>
      <c r="AT8" s="28" t="str">
        <f t="shared" si="5"/>
        <v>E</v>
      </c>
      <c r="AU8" s="28" t="str">
        <f t="shared" si="5"/>
        <v>O</v>
      </c>
      <c r="AV8" s="28" t="str">
        <f t="shared" si="5"/>
        <v>K</v>
      </c>
      <c r="AW8" s="28" t="str">
        <f t="shared" si="5"/>
        <v>Z</v>
      </c>
      <c r="AX8" s="28" t="str">
        <f t="shared" si="5"/>
        <v>W</v>
      </c>
      <c r="AY8" s="28" t="str">
        <f t="shared" si="5"/>
        <v>P</v>
      </c>
      <c r="AZ8" s="28" t="str">
        <f t="shared" si="5"/>
        <v>F</v>
      </c>
      <c r="BA8" s="28" t="str">
        <f t="shared" si="5"/>
        <v>T</v>
      </c>
      <c r="BB8" s="28" t="str">
        <f t="shared" si="5"/>
        <v>J</v>
      </c>
      <c r="BC8" s="28" t="str">
        <f t="shared" si="5"/>
        <v>C</v>
      </c>
      <c r="BD8" s="28" t="str">
        <f t="shared" si="5"/>
        <v>Q</v>
      </c>
      <c r="BE8" s="28" t="str">
        <f t="shared" si="5"/>
        <v>S</v>
      </c>
      <c r="BF8" s="28" t="str">
        <f t="shared" si="5"/>
        <v>B</v>
      </c>
      <c r="BG8" s="28" t="str">
        <f t="shared" si="5"/>
        <v>I</v>
      </c>
    </row>
    <row r="9" spans="1:59" ht="15" thickBot="1" x14ac:dyDescent="0.4">
      <c r="B9" s="23"/>
      <c r="C9" s="16"/>
      <c r="D9" s="17"/>
      <c r="E9" s="17" t="s">
        <v>388</v>
      </c>
      <c r="F9" s="18" t="str">
        <f t="shared" ref="F9:AE9" si="6">IF(F5=1,IF(CODE(F8)-CODE(F7)&lt;0,VLOOKUP((CODE(F8)-CODE(F7)+26)+(CODE(F4)-nCharOffset),nNum2Let,2,FALSE),VLOOKUP((CODE(F8)-CODE(F7))+(CODE(F4)-nCharOffset),nNum2Let,2,FALSE)),"")</f>
        <v>Y</v>
      </c>
      <c r="G9" s="18" t="str">
        <f t="shared" si="6"/>
        <v>R</v>
      </c>
      <c r="H9" s="18" t="str">
        <f t="shared" si="6"/>
        <v>H</v>
      </c>
      <c r="I9" s="18" t="str">
        <f t="shared" si="6"/>
        <v>D</v>
      </c>
      <c r="J9" s="18" t="str">
        <f t="shared" si="6"/>
        <v>M</v>
      </c>
      <c r="K9" s="18" t="str">
        <f t="shared" si="6"/>
        <v>G</v>
      </c>
      <c r="L9" s="18" t="str">
        <f t="shared" si="6"/>
        <v>N</v>
      </c>
      <c r="M9" s="18" t="str">
        <f t="shared" si="6"/>
        <v>V</v>
      </c>
      <c r="N9" s="18" t="str">
        <f t="shared" si="6"/>
        <v>L</v>
      </c>
      <c r="O9" s="18" t="str">
        <f t="shared" si="6"/>
        <v>U</v>
      </c>
      <c r="P9" s="18" t="str">
        <f t="shared" si="6"/>
        <v>X</v>
      </c>
      <c r="Q9" s="18" t="str">
        <f t="shared" si="6"/>
        <v>A</v>
      </c>
      <c r="R9" s="18" t="str">
        <f t="shared" si="6"/>
        <v>E</v>
      </c>
      <c r="S9" s="18" t="str">
        <f t="shared" si="6"/>
        <v>O</v>
      </c>
      <c r="T9" s="18" t="str">
        <f t="shared" si="6"/>
        <v>K</v>
      </c>
      <c r="U9" s="18" t="str">
        <f t="shared" si="6"/>
        <v>Z</v>
      </c>
      <c r="V9" s="18" t="str">
        <f t="shared" si="6"/>
        <v>W</v>
      </c>
      <c r="W9" s="18" t="str">
        <f t="shared" si="6"/>
        <v>P</v>
      </c>
      <c r="X9" s="18" t="str">
        <f t="shared" si="6"/>
        <v>F</v>
      </c>
      <c r="Y9" s="18" t="str">
        <f t="shared" si="6"/>
        <v>T</v>
      </c>
      <c r="Z9" s="18" t="str">
        <f t="shared" si="6"/>
        <v>J</v>
      </c>
      <c r="AA9" s="18" t="str">
        <f t="shared" si="6"/>
        <v>C</v>
      </c>
      <c r="AB9" s="18" t="str">
        <f t="shared" si="6"/>
        <v>Q</v>
      </c>
      <c r="AC9" s="18" t="str">
        <f t="shared" si="6"/>
        <v>S</v>
      </c>
      <c r="AD9" s="18" t="str">
        <f t="shared" si="6"/>
        <v>B</v>
      </c>
      <c r="AE9" s="18" t="str">
        <f t="shared" si="6"/>
        <v>I</v>
      </c>
      <c r="AF9" s="19" t="str">
        <f>CONCATENATE(F9,G9,H9,I9,J9,K9,L9,M9,N9,O9,P9,Q9,R9,S9,T9&amp;U9,V9,W9,X9,Y9,Z9,AA9,AB9,AC9,AD9,AE9)</f>
        <v>YRHDMGNVLUXAEOKZWPFTJCQSBI</v>
      </c>
      <c r="AH9" s="12" t="str">
        <f>F4&amp;F9</f>
        <v>AY</v>
      </c>
      <c r="AI9" s="12" t="str">
        <f t="shared" ref="AI9:BG9" si="7">G4&amp;G9</f>
        <v>BR</v>
      </c>
      <c r="AJ9" s="12" t="str">
        <f t="shared" si="7"/>
        <v>CH</v>
      </c>
      <c r="AK9" s="12" t="str">
        <f t="shared" si="7"/>
        <v>DD</v>
      </c>
      <c r="AL9" s="12" t="str">
        <f t="shared" si="7"/>
        <v>EM</v>
      </c>
      <c r="AM9" s="12" t="str">
        <f t="shared" si="7"/>
        <v>FG</v>
      </c>
      <c r="AN9" s="12" t="str">
        <f t="shared" si="7"/>
        <v>GN</v>
      </c>
      <c r="AO9" s="12" t="str">
        <f t="shared" si="7"/>
        <v>HV</v>
      </c>
      <c r="AP9" s="12" t="str">
        <f t="shared" si="7"/>
        <v>IL</v>
      </c>
      <c r="AQ9" s="12" t="str">
        <f t="shared" si="7"/>
        <v>JU</v>
      </c>
      <c r="AR9" s="12" t="str">
        <f t="shared" si="7"/>
        <v>KX</v>
      </c>
      <c r="AS9" s="12" t="str">
        <f t="shared" si="7"/>
        <v>LA</v>
      </c>
      <c r="AT9" s="12" t="str">
        <f t="shared" si="7"/>
        <v>ME</v>
      </c>
      <c r="AU9" s="12" t="str">
        <f t="shared" si="7"/>
        <v>NO</v>
      </c>
      <c r="AV9" s="12" t="str">
        <f t="shared" si="7"/>
        <v>OK</v>
      </c>
      <c r="AW9" s="12" t="str">
        <f t="shared" si="7"/>
        <v>PZ</v>
      </c>
      <c r="AX9" s="12" t="str">
        <f t="shared" si="7"/>
        <v>QW</v>
      </c>
      <c r="AY9" s="12" t="str">
        <f t="shared" si="7"/>
        <v>RP</v>
      </c>
      <c r="AZ9" s="12" t="str">
        <f t="shared" si="7"/>
        <v>SF</v>
      </c>
      <c r="BA9" s="12" t="str">
        <f t="shared" si="7"/>
        <v>TT</v>
      </c>
      <c r="BB9" s="12" t="str">
        <f t="shared" si="7"/>
        <v>UJ</v>
      </c>
      <c r="BC9" s="12" t="str">
        <f t="shared" si="7"/>
        <v>VC</v>
      </c>
      <c r="BD9" s="12" t="str">
        <f t="shared" si="7"/>
        <v>WQ</v>
      </c>
      <c r="BE9" s="12" t="str">
        <f t="shared" si="7"/>
        <v>XS</v>
      </c>
      <c r="BF9" s="12" t="str">
        <f t="shared" si="7"/>
        <v>YB</v>
      </c>
      <c r="BG9" s="12" t="str">
        <f t="shared" si="7"/>
        <v>ZI</v>
      </c>
    </row>
    <row r="10" spans="1:59" x14ac:dyDescent="0.35">
      <c r="B10" s="21"/>
      <c r="C10" s="4"/>
      <c r="D10" s="5"/>
      <c r="E10" s="5" t="s">
        <v>385</v>
      </c>
      <c r="F10" s="6" t="s">
        <v>0</v>
      </c>
      <c r="G10" s="6" t="s">
        <v>1</v>
      </c>
      <c r="H10" s="6" t="s">
        <v>2</v>
      </c>
      <c r="I10" s="6" t="s">
        <v>3</v>
      </c>
      <c r="J10" s="6" t="s">
        <v>4</v>
      </c>
      <c r="K10" s="6" t="s">
        <v>5</v>
      </c>
      <c r="L10" s="6" t="s">
        <v>6</v>
      </c>
      <c r="M10" s="6" t="s">
        <v>7</v>
      </c>
      <c r="N10" s="6" t="s">
        <v>8</v>
      </c>
      <c r="O10" s="6" t="s">
        <v>9</v>
      </c>
      <c r="P10" s="6" t="s">
        <v>10</v>
      </c>
      <c r="Q10" s="6" t="s">
        <v>11</v>
      </c>
      <c r="R10" s="6" t="s">
        <v>12</v>
      </c>
      <c r="S10" s="6" t="s">
        <v>13</v>
      </c>
      <c r="T10" s="6" t="s">
        <v>14</v>
      </c>
      <c r="U10" s="6" t="s">
        <v>15</v>
      </c>
      <c r="V10" s="6" t="s">
        <v>16</v>
      </c>
      <c r="W10" s="6" t="s">
        <v>17</v>
      </c>
      <c r="X10" s="6" t="s">
        <v>18</v>
      </c>
      <c r="Y10" s="6" t="s">
        <v>19</v>
      </c>
      <c r="Z10" s="6" t="s">
        <v>20</v>
      </c>
      <c r="AA10" s="6" t="s">
        <v>21</v>
      </c>
      <c r="AB10" s="6" t="s">
        <v>22</v>
      </c>
      <c r="AC10" s="6" t="s">
        <v>23</v>
      </c>
      <c r="AD10" s="6" t="s">
        <v>24</v>
      </c>
      <c r="AE10" s="6" t="s">
        <v>25</v>
      </c>
      <c r="AF10" s="20"/>
    </row>
    <row r="11" spans="1:59" x14ac:dyDescent="0.35">
      <c r="A11" s="43">
        <f>INT(D2/26)</f>
        <v>142</v>
      </c>
      <c r="B11" s="10"/>
      <c r="C11" s="8"/>
      <c r="F11" s="1">
        <f>IF(ISERROR(FIND(F10,$AF9)),0,1)</f>
        <v>1</v>
      </c>
      <c r="G11" s="1">
        <f t="shared" ref="G11:AE11" si="8">IF(ISERROR(FIND(G10,$AF9)),0,1)</f>
        <v>1</v>
      </c>
      <c r="H11" s="1">
        <f t="shared" si="8"/>
        <v>1</v>
      </c>
      <c r="I11" s="1">
        <f t="shared" si="8"/>
        <v>1</v>
      </c>
      <c r="J11" s="1">
        <f t="shared" si="8"/>
        <v>1</v>
      </c>
      <c r="K11" s="1">
        <f t="shared" si="8"/>
        <v>1</v>
      </c>
      <c r="L11" s="1">
        <f t="shared" si="8"/>
        <v>1</v>
      </c>
      <c r="M11" s="1">
        <f t="shared" si="8"/>
        <v>1</v>
      </c>
      <c r="N11" s="1">
        <f t="shared" si="8"/>
        <v>1</v>
      </c>
      <c r="O11" s="1">
        <f t="shared" si="8"/>
        <v>1</v>
      </c>
      <c r="P11" s="1">
        <f t="shared" si="8"/>
        <v>1</v>
      </c>
      <c r="Q11" s="1">
        <f t="shared" si="8"/>
        <v>1</v>
      </c>
      <c r="R11" s="1">
        <f t="shared" si="8"/>
        <v>1</v>
      </c>
      <c r="S11" s="1">
        <f t="shared" si="8"/>
        <v>1</v>
      </c>
      <c r="T11" s="1">
        <f t="shared" si="8"/>
        <v>1</v>
      </c>
      <c r="U11" s="1">
        <f t="shared" si="8"/>
        <v>1</v>
      </c>
      <c r="V11" s="1">
        <f t="shared" si="8"/>
        <v>1</v>
      </c>
      <c r="W11" s="1">
        <f t="shared" si="8"/>
        <v>1</v>
      </c>
      <c r="X11" s="1">
        <f t="shared" si="8"/>
        <v>1</v>
      </c>
      <c r="Y11" s="1">
        <f t="shared" si="8"/>
        <v>1</v>
      </c>
      <c r="Z11" s="1">
        <f t="shared" si="8"/>
        <v>1</v>
      </c>
      <c r="AA11" s="1">
        <f t="shared" si="8"/>
        <v>1</v>
      </c>
      <c r="AB11" s="1">
        <f t="shared" si="8"/>
        <v>1</v>
      </c>
      <c r="AC11" s="1">
        <f t="shared" si="8"/>
        <v>1</v>
      </c>
      <c r="AD11" s="1">
        <f t="shared" si="8"/>
        <v>1</v>
      </c>
      <c r="AE11" s="1">
        <f t="shared" si="8"/>
        <v>1</v>
      </c>
      <c r="AF11" s="10"/>
    </row>
    <row r="12" spans="1:59" x14ac:dyDescent="0.35">
      <c r="A12" s="43">
        <f>IF(A11=0,26,A11)</f>
        <v>142</v>
      </c>
      <c r="B12" s="10" t="s">
        <v>380</v>
      </c>
      <c r="C12" s="41">
        <f>n_RotorM</f>
        <v>4</v>
      </c>
      <c r="D12" s="11">
        <f>A12</f>
        <v>142</v>
      </c>
      <c r="E12" s="11">
        <f>IF(MOD(D12,26)=0,26,MOD(D12,26))</f>
        <v>12</v>
      </c>
      <c r="F12" s="12" t="str">
        <f>CHAR(E12+nCharOffset)</f>
        <v>L</v>
      </c>
      <c r="G12" s="13" t="str">
        <f t="shared" ref="G12:AE12" si="9">VLOOKUP(F12,nNextLetter,2,FALSE)</f>
        <v>M</v>
      </c>
      <c r="H12" s="13" t="str">
        <f t="shared" si="9"/>
        <v>N</v>
      </c>
      <c r="I12" s="13" t="str">
        <f t="shared" si="9"/>
        <v>O</v>
      </c>
      <c r="J12" s="13" t="str">
        <f t="shared" si="9"/>
        <v>P</v>
      </c>
      <c r="K12" s="13" t="str">
        <f t="shared" si="9"/>
        <v>Q</v>
      </c>
      <c r="L12" s="13" t="str">
        <f t="shared" si="9"/>
        <v>R</v>
      </c>
      <c r="M12" s="13" t="str">
        <f t="shared" si="9"/>
        <v>S</v>
      </c>
      <c r="N12" s="13" t="str">
        <f t="shared" si="9"/>
        <v>T</v>
      </c>
      <c r="O12" s="13" t="str">
        <f t="shared" si="9"/>
        <v>U</v>
      </c>
      <c r="P12" s="13" t="str">
        <f t="shared" si="9"/>
        <v>V</v>
      </c>
      <c r="Q12" s="13" t="str">
        <f t="shared" si="9"/>
        <v>W</v>
      </c>
      <c r="R12" s="13" t="str">
        <f t="shared" si="9"/>
        <v>X</v>
      </c>
      <c r="S12" s="13" t="str">
        <f t="shared" si="9"/>
        <v>Y</v>
      </c>
      <c r="T12" s="13" t="str">
        <f t="shared" si="9"/>
        <v>Z</v>
      </c>
      <c r="U12" s="13" t="str">
        <f t="shared" si="9"/>
        <v>A</v>
      </c>
      <c r="V12" s="13" t="str">
        <f t="shared" si="9"/>
        <v>B</v>
      </c>
      <c r="W12" s="13" t="str">
        <f t="shared" si="9"/>
        <v>C</v>
      </c>
      <c r="X12" s="13" t="str">
        <f t="shared" si="9"/>
        <v>D</v>
      </c>
      <c r="Y12" s="13" t="str">
        <f t="shared" si="9"/>
        <v>E</v>
      </c>
      <c r="Z12" s="13" t="str">
        <f t="shared" si="9"/>
        <v>F</v>
      </c>
      <c r="AA12" s="13" t="str">
        <f t="shared" si="9"/>
        <v>G</v>
      </c>
      <c r="AB12" s="13" t="str">
        <f t="shared" si="9"/>
        <v>H</v>
      </c>
      <c r="AC12" s="13" t="str">
        <f t="shared" si="9"/>
        <v>I</v>
      </c>
      <c r="AD12" s="13" t="str">
        <f t="shared" si="9"/>
        <v>J</v>
      </c>
      <c r="AE12" s="13" t="str">
        <f t="shared" si="9"/>
        <v>K</v>
      </c>
      <c r="AF12" s="10"/>
    </row>
    <row r="13" spans="1:59" x14ac:dyDescent="0.35">
      <c r="B13" s="22" t="s">
        <v>390</v>
      </c>
      <c r="C13" s="41" t="str">
        <f>n_RingPosM</f>
        <v>A</v>
      </c>
      <c r="D13" s="11">
        <f>VLOOKUP(C13,nRingOffset,2,FALSE)</f>
        <v>0</v>
      </c>
      <c r="E13" t="s">
        <v>386</v>
      </c>
      <c r="F13" s="14" t="str">
        <f t="shared" ref="F13:AE13" si="10">IF(F11=1,VLOOKUP(nCurPosM+nRingOffsetM+(CODE(F10)-nCharOffset)-1,nNum2Let,2,FALSE),"")</f>
        <v>L</v>
      </c>
      <c r="G13" s="14" t="str">
        <f t="shared" si="10"/>
        <v>M</v>
      </c>
      <c r="H13" s="14" t="str">
        <f t="shared" si="10"/>
        <v>N</v>
      </c>
      <c r="I13" s="14" t="str">
        <f t="shared" si="10"/>
        <v>O</v>
      </c>
      <c r="J13" s="14" t="str">
        <f t="shared" si="10"/>
        <v>P</v>
      </c>
      <c r="K13" s="14" t="str">
        <f t="shared" si="10"/>
        <v>Q</v>
      </c>
      <c r="L13" s="14" t="str">
        <f t="shared" si="10"/>
        <v>R</v>
      </c>
      <c r="M13" s="14" t="str">
        <f t="shared" si="10"/>
        <v>S</v>
      </c>
      <c r="N13" s="14" t="str">
        <f t="shared" si="10"/>
        <v>T</v>
      </c>
      <c r="O13" s="14" t="str">
        <f t="shared" si="10"/>
        <v>U</v>
      </c>
      <c r="P13" s="14" t="str">
        <f t="shared" si="10"/>
        <v>V</v>
      </c>
      <c r="Q13" s="14" t="str">
        <f t="shared" si="10"/>
        <v>W</v>
      </c>
      <c r="R13" s="14" t="str">
        <f t="shared" si="10"/>
        <v>X</v>
      </c>
      <c r="S13" s="14" t="str">
        <f t="shared" si="10"/>
        <v>Y</v>
      </c>
      <c r="T13" s="14" t="str">
        <f t="shared" si="10"/>
        <v>Z</v>
      </c>
      <c r="U13" s="14" t="str">
        <f t="shared" si="10"/>
        <v>A</v>
      </c>
      <c r="V13" s="14" t="str">
        <f t="shared" si="10"/>
        <v>B</v>
      </c>
      <c r="W13" s="14" t="str">
        <f t="shared" si="10"/>
        <v>C</v>
      </c>
      <c r="X13" s="14" t="str">
        <f t="shared" si="10"/>
        <v>D</v>
      </c>
      <c r="Y13" s="14" t="str">
        <f t="shared" si="10"/>
        <v>E</v>
      </c>
      <c r="Z13" s="14" t="str">
        <f t="shared" si="10"/>
        <v>F</v>
      </c>
      <c r="AA13" s="14" t="str">
        <f t="shared" si="10"/>
        <v>G</v>
      </c>
      <c r="AB13" s="14" t="str">
        <f t="shared" si="10"/>
        <v>H</v>
      </c>
      <c r="AC13" s="14" t="str">
        <f t="shared" si="10"/>
        <v>I</v>
      </c>
      <c r="AD13" s="14" t="str">
        <f t="shared" si="10"/>
        <v>J</v>
      </c>
      <c r="AE13" s="14" t="str">
        <f t="shared" si="10"/>
        <v>K</v>
      </c>
      <c r="AF13" s="10"/>
      <c r="AH13" s="28" t="str">
        <f t="shared" ref="AH13:BG13" si="11">IF(LEN(AH15)=2,LEFT(AH15,1),"")</f>
        <v>A</v>
      </c>
      <c r="AI13" s="28" t="str">
        <f t="shared" si="11"/>
        <v>B</v>
      </c>
      <c r="AJ13" s="28" t="str">
        <f t="shared" si="11"/>
        <v>C</v>
      </c>
      <c r="AK13" s="28" t="str">
        <f t="shared" si="11"/>
        <v>D</v>
      </c>
      <c r="AL13" s="28" t="str">
        <f t="shared" si="11"/>
        <v>E</v>
      </c>
      <c r="AM13" s="28" t="str">
        <f t="shared" si="11"/>
        <v>F</v>
      </c>
      <c r="AN13" s="28" t="str">
        <f t="shared" si="11"/>
        <v>G</v>
      </c>
      <c r="AO13" s="28" t="str">
        <f t="shared" si="11"/>
        <v>H</v>
      </c>
      <c r="AP13" s="28" t="str">
        <f t="shared" si="11"/>
        <v>I</v>
      </c>
      <c r="AQ13" s="28" t="str">
        <f t="shared" si="11"/>
        <v>J</v>
      </c>
      <c r="AR13" s="28" t="str">
        <f t="shared" si="11"/>
        <v>K</v>
      </c>
      <c r="AS13" s="28" t="str">
        <f t="shared" si="11"/>
        <v>L</v>
      </c>
      <c r="AT13" s="28" t="str">
        <f t="shared" si="11"/>
        <v>M</v>
      </c>
      <c r="AU13" s="28" t="str">
        <f t="shared" si="11"/>
        <v>N</v>
      </c>
      <c r="AV13" s="28" t="str">
        <f t="shared" si="11"/>
        <v>O</v>
      </c>
      <c r="AW13" s="28" t="str">
        <f t="shared" si="11"/>
        <v>P</v>
      </c>
      <c r="AX13" s="28" t="str">
        <f t="shared" si="11"/>
        <v>Q</v>
      </c>
      <c r="AY13" s="28" t="str">
        <f t="shared" si="11"/>
        <v>R</v>
      </c>
      <c r="AZ13" s="28" t="str">
        <f t="shared" si="11"/>
        <v>S</v>
      </c>
      <c r="BA13" s="28" t="str">
        <f t="shared" si="11"/>
        <v>T</v>
      </c>
      <c r="BB13" s="28" t="str">
        <f t="shared" si="11"/>
        <v>U</v>
      </c>
      <c r="BC13" s="28" t="str">
        <f t="shared" si="11"/>
        <v>V</v>
      </c>
      <c r="BD13" s="28" t="str">
        <f t="shared" si="11"/>
        <v>W</v>
      </c>
      <c r="BE13" s="28" t="str">
        <f t="shared" si="11"/>
        <v>X</v>
      </c>
      <c r="BF13" s="28" t="str">
        <f t="shared" si="11"/>
        <v>Y</v>
      </c>
      <c r="BG13" s="28" t="str">
        <f t="shared" si="11"/>
        <v>Z</v>
      </c>
    </row>
    <row r="14" spans="1:59" x14ac:dyDescent="0.35">
      <c r="B14" s="22"/>
      <c r="C14" s="8"/>
      <c r="E14" t="s">
        <v>387</v>
      </c>
      <c r="F14" s="15" t="str">
        <f t="shared" ref="F14:AE14" si="12">IF(F11=1,VLOOKUP(nRotorM&amp;F13,nRotor,4,FALSE),"")</f>
        <v>I</v>
      </c>
      <c r="G14" s="15" t="str">
        <f t="shared" si="12"/>
        <v>R</v>
      </c>
      <c r="H14" s="15" t="str">
        <f t="shared" si="12"/>
        <v>H</v>
      </c>
      <c r="I14" s="15" t="str">
        <f t="shared" si="12"/>
        <v>X</v>
      </c>
      <c r="J14" s="15" t="str">
        <f t="shared" si="12"/>
        <v>L</v>
      </c>
      <c r="K14" s="15" t="str">
        <f t="shared" si="12"/>
        <v>N</v>
      </c>
      <c r="L14" s="15" t="str">
        <f t="shared" si="12"/>
        <v>F</v>
      </c>
      <c r="M14" s="15" t="str">
        <f t="shared" si="12"/>
        <v>T</v>
      </c>
      <c r="N14" s="15" t="str">
        <f t="shared" si="12"/>
        <v>G</v>
      </c>
      <c r="O14" s="15" t="str">
        <f t="shared" si="12"/>
        <v>K</v>
      </c>
      <c r="P14" s="15" t="str">
        <f t="shared" si="12"/>
        <v>D</v>
      </c>
      <c r="Q14" s="15" t="str">
        <f t="shared" si="12"/>
        <v>C</v>
      </c>
      <c r="R14" s="15" t="str">
        <f t="shared" si="12"/>
        <v>M</v>
      </c>
      <c r="S14" s="15" t="str">
        <f t="shared" si="12"/>
        <v>W</v>
      </c>
      <c r="T14" s="15" t="str">
        <f t="shared" si="12"/>
        <v>B</v>
      </c>
      <c r="U14" s="15" t="str">
        <f t="shared" si="12"/>
        <v>E</v>
      </c>
      <c r="V14" s="15" t="str">
        <f t="shared" si="12"/>
        <v>S</v>
      </c>
      <c r="W14" s="15" t="str">
        <f t="shared" si="12"/>
        <v>O</v>
      </c>
      <c r="X14" s="15" t="str">
        <f t="shared" si="12"/>
        <v>V</v>
      </c>
      <c r="Y14" s="15" t="str">
        <f t="shared" si="12"/>
        <v>P</v>
      </c>
      <c r="Z14" s="15" t="str">
        <f t="shared" si="12"/>
        <v>Z</v>
      </c>
      <c r="AA14" s="15" t="str">
        <f t="shared" si="12"/>
        <v>J</v>
      </c>
      <c r="AB14" s="15" t="str">
        <f t="shared" si="12"/>
        <v>A</v>
      </c>
      <c r="AC14" s="15" t="str">
        <f t="shared" si="12"/>
        <v>Y</v>
      </c>
      <c r="AD14" s="15" t="str">
        <f t="shared" si="12"/>
        <v>Q</v>
      </c>
      <c r="AE14" s="15" t="str">
        <f t="shared" si="12"/>
        <v>U</v>
      </c>
      <c r="AF14" s="10"/>
      <c r="AH14" s="28" t="str">
        <f t="shared" ref="AH14:BG14" si="13">IF(LEN(AH15)=2,RIGHT(AH15,1),"")</f>
        <v>X</v>
      </c>
      <c r="AI14" s="28" t="str">
        <f t="shared" si="13"/>
        <v>G</v>
      </c>
      <c r="AJ14" s="28" t="str">
        <f t="shared" si="13"/>
        <v>W</v>
      </c>
      <c r="AK14" s="28" t="str">
        <f t="shared" si="13"/>
        <v>M</v>
      </c>
      <c r="AL14" s="28" t="str">
        <f t="shared" si="13"/>
        <v>A</v>
      </c>
      <c r="AM14" s="28" t="str">
        <f t="shared" si="13"/>
        <v>C</v>
      </c>
      <c r="AN14" s="28" t="str">
        <f t="shared" si="13"/>
        <v>U</v>
      </c>
      <c r="AO14" s="28" t="str">
        <f t="shared" si="13"/>
        <v>I</v>
      </c>
      <c r="AP14" s="28" t="str">
        <f t="shared" si="13"/>
        <v>V</v>
      </c>
      <c r="AQ14" s="28" t="str">
        <f t="shared" si="13"/>
        <v>Z</v>
      </c>
      <c r="AR14" s="28" t="str">
        <f t="shared" si="13"/>
        <v>S</v>
      </c>
      <c r="AS14" s="28" t="str">
        <f t="shared" si="13"/>
        <v>R</v>
      </c>
      <c r="AT14" s="28" t="str">
        <f t="shared" si="13"/>
        <v>B</v>
      </c>
      <c r="AU14" s="28" t="str">
        <f t="shared" si="13"/>
        <v>L</v>
      </c>
      <c r="AV14" s="28" t="str">
        <f t="shared" si="13"/>
        <v>Q</v>
      </c>
      <c r="AW14" s="28" t="str">
        <f t="shared" si="13"/>
        <v>T</v>
      </c>
      <c r="AX14" s="28" t="str">
        <f t="shared" si="13"/>
        <v>H</v>
      </c>
      <c r="AY14" s="28" t="str">
        <f t="shared" si="13"/>
        <v>D</v>
      </c>
      <c r="AZ14" s="28" t="str">
        <f t="shared" si="13"/>
        <v>K</v>
      </c>
      <c r="BA14" s="28" t="str">
        <f t="shared" si="13"/>
        <v>E</v>
      </c>
      <c r="BB14" s="28" t="str">
        <f t="shared" si="13"/>
        <v>O</v>
      </c>
      <c r="BC14" s="28" t="str">
        <f t="shared" si="13"/>
        <v>Y</v>
      </c>
      <c r="BD14" s="28" t="str">
        <f t="shared" si="13"/>
        <v>P</v>
      </c>
      <c r="BE14" s="28" t="str">
        <f t="shared" si="13"/>
        <v>N</v>
      </c>
      <c r="BF14" s="28" t="str">
        <f t="shared" si="13"/>
        <v>F</v>
      </c>
      <c r="BG14" s="28" t="str">
        <f t="shared" si="13"/>
        <v>J</v>
      </c>
    </row>
    <row r="15" spans="1:59" ht="15" thickBot="1" x14ac:dyDescent="0.4">
      <c r="B15" s="23"/>
      <c r="C15" s="16"/>
      <c r="D15" s="17"/>
      <c r="E15" s="17" t="s">
        <v>388</v>
      </c>
      <c r="F15" s="18" t="str">
        <f t="shared" ref="F15:AE15" si="14">IF(F11=1,IF(CODE(F14)-CODE(F13)&lt;0,VLOOKUP((CODE(F14)-CODE(F13)+26)+(CODE(F10)-nCharOffset),nNum2Let,2,FALSE),VLOOKUP((CODE(F14)-CODE(F13))+(CODE(F10)-nCharOffset),nNum2Let,2,FALSE)),"")</f>
        <v>X</v>
      </c>
      <c r="G15" s="18" t="str">
        <f t="shared" si="14"/>
        <v>G</v>
      </c>
      <c r="H15" s="18" t="str">
        <f t="shared" si="14"/>
        <v>W</v>
      </c>
      <c r="I15" s="18" t="str">
        <f t="shared" si="14"/>
        <v>M</v>
      </c>
      <c r="J15" s="18" t="str">
        <f t="shared" si="14"/>
        <v>A</v>
      </c>
      <c r="K15" s="18" t="str">
        <f t="shared" si="14"/>
        <v>C</v>
      </c>
      <c r="L15" s="18" t="str">
        <f t="shared" si="14"/>
        <v>U</v>
      </c>
      <c r="M15" s="18" t="str">
        <f t="shared" si="14"/>
        <v>I</v>
      </c>
      <c r="N15" s="18" t="str">
        <f t="shared" si="14"/>
        <v>V</v>
      </c>
      <c r="O15" s="18" t="str">
        <f t="shared" si="14"/>
        <v>Z</v>
      </c>
      <c r="P15" s="18" t="str">
        <f t="shared" si="14"/>
        <v>S</v>
      </c>
      <c r="Q15" s="18" t="str">
        <f t="shared" si="14"/>
        <v>R</v>
      </c>
      <c r="R15" s="18" t="str">
        <f t="shared" si="14"/>
        <v>B</v>
      </c>
      <c r="S15" s="18" t="str">
        <f t="shared" si="14"/>
        <v>L</v>
      </c>
      <c r="T15" s="18" t="str">
        <f t="shared" si="14"/>
        <v>Q</v>
      </c>
      <c r="U15" s="18" t="str">
        <f t="shared" si="14"/>
        <v>T</v>
      </c>
      <c r="V15" s="18" t="str">
        <f t="shared" si="14"/>
        <v>H</v>
      </c>
      <c r="W15" s="18" t="str">
        <f t="shared" si="14"/>
        <v>D</v>
      </c>
      <c r="X15" s="18" t="str">
        <f t="shared" si="14"/>
        <v>K</v>
      </c>
      <c r="Y15" s="18" t="str">
        <f t="shared" si="14"/>
        <v>E</v>
      </c>
      <c r="Z15" s="18" t="str">
        <f t="shared" si="14"/>
        <v>O</v>
      </c>
      <c r="AA15" s="18" t="str">
        <f t="shared" si="14"/>
        <v>Y</v>
      </c>
      <c r="AB15" s="18" t="str">
        <f t="shared" si="14"/>
        <v>P</v>
      </c>
      <c r="AC15" s="18" t="str">
        <f t="shared" si="14"/>
        <v>N</v>
      </c>
      <c r="AD15" s="18" t="str">
        <f t="shared" si="14"/>
        <v>F</v>
      </c>
      <c r="AE15" s="18" t="str">
        <f t="shared" si="14"/>
        <v>J</v>
      </c>
      <c r="AF15" s="19" t="str">
        <f>CONCATENATE(F15,G15,H15,I15,J15,K15,L15,M15,N15,O15,P15,Q15,R15,S15,T15&amp;U15,V15,W15,X15,Y15,Z15,AA15,AB15,AC15,AD15,AE15)</f>
        <v>XGWMACUIVZSRBLQTHDKEOYPNFJ</v>
      </c>
      <c r="AH15" s="12" t="str">
        <f>F10&amp;F15</f>
        <v>AX</v>
      </c>
      <c r="AI15" s="12" t="str">
        <f t="shared" ref="AI15:BG15" si="15">G10&amp;G15</f>
        <v>BG</v>
      </c>
      <c r="AJ15" s="12" t="str">
        <f t="shared" si="15"/>
        <v>CW</v>
      </c>
      <c r="AK15" s="12" t="str">
        <f t="shared" si="15"/>
        <v>DM</v>
      </c>
      <c r="AL15" s="12" t="str">
        <f t="shared" si="15"/>
        <v>EA</v>
      </c>
      <c r="AM15" s="12" t="str">
        <f t="shared" si="15"/>
        <v>FC</v>
      </c>
      <c r="AN15" s="12" t="str">
        <f t="shared" si="15"/>
        <v>GU</v>
      </c>
      <c r="AO15" s="12" t="str">
        <f t="shared" si="15"/>
        <v>HI</v>
      </c>
      <c r="AP15" s="12" t="str">
        <f t="shared" si="15"/>
        <v>IV</v>
      </c>
      <c r="AQ15" s="12" t="str">
        <f t="shared" si="15"/>
        <v>JZ</v>
      </c>
      <c r="AR15" s="12" t="str">
        <f t="shared" si="15"/>
        <v>KS</v>
      </c>
      <c r="AS15" s="12" t="str">
        <f t="shared" si="15"/>
        <v>LR</v>
      </c>
      <c r="AT15" s="12" t="str">
        <f t="shared" si="15"/>
        <v>MB</v>
      </c>
      <c r="AU15" s="12" t="str">
        <f t="shared" si="15"/>
        <v>NL</v>
      </c>
      <c r="AV15" s="12" t="str">
        <f t="shared" si="15"/>
        <v>OQ</v>
      </c>
      <c r="AW15" s="12" t="str">
        <f t="shared" si="15"/>
        <v>PT</v>
      </c>
      <c r="AX15" s="12" t="str">
        <f t="shared" si="15"/>
        <v>QH</v>
      </c>
      <c r="AY15" s="12" t="str">
        <f t="shared" si="15"/>
        <v>RD</v>
      </c>
      <c r="AZ15" s="12" t="str">
        <f t="shared" si="15"/>
        <v>SK</v>
      </c>
      <c r="BA15" s="12" t="str">
        <f t="shared" si="15"/>
        <v>TE</v>
      </c>
      <c r="BB15" s="12" t="str">
        <f t="shared" si="15"/>
        <v>UO</v>
      </c>
      <c r="BC15" s="12" t="str">
        <f t="shared" si="15"/>
        <v>VY</v>
      </c>
      <c r="BD15" s="12" t="str">
        <f t="shared" si="15"/>
        <v>WP</v>
      </c>
      <c r="BE15" s="12" t="str">
        <f t="shared" si="15"/>
        <v>XN</v>
      </c>
      <c r="BF15" s="12" t="str">
        <f t="shared" si="15"/>
        <v>YF</v>
      </c>
      <c r="BG15" s="12" t="str">
        <f t="shared" si="15"/>
        <v>ZJ</v>
      </c>
    </row>
    <row r="16" spans="1:59" x14ac:dyDescent="0.35">
      <c r="B16" s="21"/>
      <c r="C16" s="4"/>
      <c r="D16" s="5"/>
      <c r="E16" s="5" t="s">
        <v>385</v>
      </c>
      <c r="F16" s="6" t="s">
        <v>0</v>
      </c>
      <c r="G16" s="6" t="s">
        <v>1</v>
      </c>
      <c r="H16" s="6" t="s">
        <v>2</v>
      </c>
      <c r="I16" s="6" t="s">
        <v>3</v>
      </c>
      <c r="J16" s="6" t="s">
        <v>4</v>
      </c>
      <c r="K16" s="6" t="s">
        <v>5</v>
      </c>
      <c r="L16" s="6" t="s">
        <v>6</v>
      </c>
      <c r="M16" s="6" t="s">
        <v>7</v>
      </c>
      <c r="N16" s="6" t="s">
        <v>8</v>
      </c>
      <c r="O16" s="6" t="s">
        <v>9</v>
      </c>
      <c r="P16" s="6" t="s">
        <v>10</v>
      </c>
      <c r="Q16" s="6" t="s">
        <v>11</v>
      </c>
      <c r="R16" s="6" t="s">
        <v>12</v>
      </c>
      <c r="S16" s="6" t="s">
        <v>13</v>
      </c>
      <c r="T16" s="6" t="s">
        <v>14</v>
      </c>
      <c r="U16" s="6" t="s">
        <v>15</v>
      </c>
      <c r="V16" s="6" t="s">
        <v>16</v>
      </c>
      <c r="W16" s="6" t="s">
        <v>17</v>
      </c>
      <c r="X16" s="6" t="s">
        <v>18</v>
      </c>
      <c r="Y16" s="6" t="s">
        <v>19</v>
      </c>
      <c r="Z16" s="6" t="s">
        <v>20</v>
      </c>
      <c r="AA16" s="6" t="s">
        <v>21</v>
      </c>
      <c r="AB16" s="6" t="s">
        <v>22</v>
      </c>
      <c r="AC16" s="6" t="s">
        <v>23</v>
      </c>
      <c r="AD16" s="6" t="s">
        <v>24</v>
      </c>
      <c r="AE16" s="6" t="s">
        <v>25</v>
      </c>
      <c r="AF16" s="7"/>
      <c r="AH16" s="28" t="str">
        <f>HLOOKUP(AH8,$AH13:$BG14,2,FALSE)</f>
        <v>F</v>
      </c>
      <c r="AI16" s="28" t="str">
        <f>HLOOKUP(AI8,$AH13:$BG14,2,FALSE)</f>
        <v>D</v>
      </c>
      <c r="AJ16" s="28" t="str">
        <f>HLOOKUP(AJ8,$AH13:$BG14,2,FALSE)</f>
        <v>I</v>
      </c>
      <c r="AK16" s="28" t="str">
        <f t="shared" ref="AK16:BG16" si="16">HLOOKUP(AK8,$AH13:$BG14,2,FALSE)</f>
        <v>M</v>
      </c>
      <c r="AL16" s="28" t="str">
        <f t="shared" si="16"/>
        <v>B</v>
      </c>
      <c r="AM16" s="28" t="str">
        <f t="shared" si="16"/>
        <v>U</v>
      </c>
      <c r="AN16" s="28" t="str">
        <f t="shared" si="16"/>
        <v>L</v>
      </c>
      <c r="AO16" s="28" t="str">
        <f t="shared" si="16"/>
        <v>Y</v>
      </c>
      <c r="AP16" s="28" t="str">
        <f t="shared" si="16"/>
        <v>R</v>
      </c>
      <c r="AQ16" s="28" t="str">
        <f t="shared" si="16"/>
        <v>O</v>
      </c>
      <c r="AR16" s="28" t="str">
        <f t="shared" si="16"/>
        <v>N</v>
      </c>
      <c r="AS16" s="28" t="str">
        <f t="shared" si="16"/>
        <v>X</v>
      </c>
      <c r="AT16" s="28" t="str">
        <f t="shared" si="16"/>
        <v>A</v>
      </c>
      <c r="AU16" s="28" t="str">
        <f t="shared" si="16"/>
        <v>Q</v>
      </c>
      <c r="AV16" s="28" t="str">
        <f t="shared" si="16"/>
        <v>S</v>
      </c>
      <c r="AW16" s="28" t="str">
        <f t="shared" si="16"/>
        <v>J</v>
      </c>
      <c r="AX16" s="28" t="str">
        <f t="shared" si="16"/>
        <v>P</v>
      </c>
      <c r="AY16" s="28" t="str">
        <f t="shared" si="16"/>
        <v>T</v>
      </c>
      <c r="AZ16" s="28" t="str">
        <f t="shared" si="16"/>
        <v>C</v>
      </c>
      <c r="BA16" s="28" t="str">
        <f t="shared" si="16"/>
        <v>E</v>
      </c>
      <c r="BB16" s="28" t="str">
        <f t="shared" si="16"/>
        <v>Z</v>
      </c>
      <c r="BC16" s="28" t="str">
        <f t="shared" si="16"/>
        <v>W</v>
      </c>
      <c r="BD16" s="28" t="str">
        <f t="shared" si="16"/>
        <v>H</v>
      </c>
      <c r="BE16" s="28" t="str">
        <f t="shared" si="16"/>
        <v>K</v>
      </c>
      <c r="BF16" s="28" t="str">
        <f t="shared" si="16"/>
        <v>G</v>
      </c>
      <c r="BG16" s="28" t="str">
        <f t="shared" si="16"/>
        <v>V</v>
      </c>
    </row>
    <row r="17" spans="1:59" x14ac:dyDescent="0.35">
      <c r="A17" s="43">
        <f>INT(D2/676)</f>
        <v>5</v>
      </c>
      <c r="B17" s="10"/>
      <c r="C17" s="8"/>
      <c r="F17" s="1">
        <f>IF(ISERROR(FIND(F16,$AF15)),0,1)</f>
        <v>1</v>
      </c>
      <c r="G17" s="1">
        <f t="shared" ref="G17:AE17" si="17">IF(ISERROR(FIND(G16,$AF15)),0,1)</f>
        <v>1</v>
      </c>
      <c r="H17" s="1">
        <f t="shared" si="17"/>
        <v>1</v>
      </c>
      <c r="I17" s="1">
        <f t="shared" si="17"/>
        <v>1</v>
      </c>
      <c r="J17" s="1">
        <f t="shared" si="17"/>
        <v>1</v>
      </c>
      <c r="K17" s="1">
        <f t="shared" si="17"/>
        <v>1</v>
      </c>
      <c r="L17" s="1">
        <f t="shared" si="17"/>
        <v>1</v>
      </c>
      <c r="M17" s="1">
        <f t="shared" si="17"/>
        <v>1</v>
      </c>
      <c r="N17" s="1">
        <f t="shared" si="17"/>
        <v>1</v>
      </c>
      <c r="O17" s="1">
        <f t="shared" si="17"/>
        <v>1</v>
      </c>
      <c r="P17" s="1">
        <f t="shared" si="17"/>
        <v>1</v>
      </c>
      <c r="Q17" s="1">
        <f t="shared" si="17"/>
        <v>1</v>
      </c>
      <c r="R17" s="1">
        <f t="shared" si="17"/>
        <v>1</v>
      </c>
      <c r="S17" s="1">
        <f t="shared" si="17"/>
        <v>1</v>
      </c>
      <c r="T17" s="1">
        <f t="shared" si="17"/>
        <v>1</v>
      </c>
      <c r="U17" s="1">
        <f t="shared" si="17"/>
        <v>1</v>
      </c>
      <c r="V17" s="1">
        <f t="shared" si="17"/>
        <v>1</v>
      </c>
      <c r="W17" s="1">
        <f t="shared" si="17"/>
        <v>1</v>
      </c>
      <c r="X17" s="1">
        <f t="shared" si="17"/>
        <v>1</v>
      </c>
      <c r="Y17" s="1">
        <f t="shared" si="17"/>
        <v>1</v>
      </c>
      <c r="Z17" s="1">
        <f t="shared" si="17"/>
        <v>1</v>
      </c>
      <c r="AA17" s="1">
        <f t="shared" si="17"/>
        <v>1</v>
      </c>
      <c r="AB17" s="1">
        <f t="shared" si="17"/>
        <v>1</v>
      </c>
      <c r="AC17" s="1">
        <f t="shared" si="17"/>
        <v>1</v>
      </c>
      <c r="AD17" s="1">
        <f t="shared" si="17"/>
        <v>1</v>
      </c>
      <c r="AE17" s="1">
        <f t="shared" si="17"/>
        <v>1</v>
      </c>
      <c r="AF17" s="10"/>
    </row>
    <row r="18" spans="1:59" x14ac:dyDescent="0.35">
      <c r="A18" s="43">
        <f>IF(A17=0,26,A17)</f>
        <v>5</v>
      </c>
      <c r="B18" s="10" t="s">
        <v>381</v>
      </c>
      <c r="C18" s="41">
        <f>n_RotorL</f>
        <v>1</v>
      </c>
      <c r="D18" s="11">
        <f>A18</f>
        <v>5</v>
      </c>
      <c r="E18" s="11">
        <f>IF(MOD(D18,26)=0,26,MOD(D18,26))</f>
        <v>5</v>
      </c>
      <c r="F18" s="12" t="str">
        <f>CHAR(E18+nCharOffset)</f>
        <v>E</v>
      </c>
      <c r="G18" s="13" t="str">
        <f t="shared" ref="G18:AE18" si="18">VLOOKUP(F18,nNextLetter,2,FALSE)</f>
        <v>F</v>
      </c>
      <c r="H18" s="13" t="str">
        <f t="shared" si="18"/>
        <v>G</v>
      </c>
      <c r="I18" s="13" t="str">
        <f t="shared" si="18"/>
        <v>H</v>
      </c>
      <c r="J18" s="13" t="str">
        <f t="shared" si="18"/>
        <v>I</v>
      </c>
      <c r="K18" s="13" t="str">
        <f t="shared" si="18"/>
        <v>J</v>
      </c>
      <c r="L18" s="13" t="str">
        <f t="shared" si="18"/>
        <v>K</v>
      </c>
      <c r="M18" s="13" t="str">
        <f t="shared" si="18"/>
        <v>L</v>
      </c>
      <c r="N18" s="13" t="str">
        <f t="shared" si="18"/>
        <v>M</v>
      </c>
      <c r="O18" s="13" t="str">
        <f t="shared" si="18"/>
        <v>N</v>
      </c>
      <c r="P18" s="13" t="str">
        <f t="shared" si="18"/>
        <v>O</v>
      </c>
      <c r="Q18" s="13" t="str">
        <f t="shared" si="18"/>
        <v>P</v>
      </c>
      <c r="R18" s="13" t="str">
        <f t="shared" si="18"/>
        <v>Q</v>
      </c>
      <c r="S18" s="13" t="str">
        <f t="shared" si="18"/>
        <v>R</v>
      </c>
      <c r="T18" s="13" t="str">
        <f t="shared" si="18"/>
        <v>S</v>
      </c>
      <c r="U18" s="13" t="str">
        <f t="shared" si="18"/>
        <v>T</v>
      </c>
      <c r="V18" s="13" t="str">
        <f t="shared" si="18"/>
        <v>U</v>
      </c>
      <c r="W18" s="13" t="str">
        <f t="shared" si="18"/>
        <v>V</v>
      </c>
      <c r="X18" s="13" t="str">
        <f t="shared" si="18"/>
        <v>W</v>
      </c>
      <c r="Y18" s="13" t="str">
        <f t="shared" si="18"/>
        <v>X</v>
      </c>
      <c r="Z18" s="13" t="str">
        <f t="shared" si="18"/>
        <v>Y</v>
      </c>
      <c r="AA18" s="13" t="str">
        <f t="shared" si="18"/>
        <v>Z</v>
      </c>
      <c r="AB18" s="13" t="str">
        <f t="shared" si="18"/>
        <v>A</v>
      </c>
      <c r="AC18" s="13" t="str">
        <f t="shared" si="18"/>
        <v>B</v>
      </c>
      <c r="AD18" s="13" t="str">
        <f t="shared" si="18"/>
        <v>C</v>
      </c>
      <c r="AE18" s="13" t="str">
        <f t="shared" si="18"/>
        <v>D</v>
      </c>
      <c r="AF18" s="10"/>
    </row>
    <row r="19" spans="1:59" x14ac:dyDescent="0.35">
      <c r="B19" s="22" t="s">
        <v>391</v>
      </c>
      <c r="C19" s="41" t="str">
        <f>n_RingPosL</f>
        <v>A</v>
      </c>
      <c r="D19" s="11">
        <f>VLOOKUP(C19,nRingOffset,2,FALSE)</f>
        <v>0</v>
      </c>
      <c r="E19" t="s">
        <v>386</v>
      </c>
      <c r="F19" s="14" t="str">
        <f t="shared" ref="F19:AE19" si="19">IF(F17=1,VLOOKUP(nCurPosL+nRingOffsetL+(CODE(F16)-nCharOffset)-1,nNum2Let,2,FALSE),"")</f>
        <v>E</v>
      </c>
      <c r="G19" s="14" t="str">
        <f t="shared" si="19"/>
        <v>F</v>
      </c>
      <c r="H19" s="14" t="str">
        <f t="shared" si="19"/>
        <v>G</v>
      </c>
      <c r="I19" s="14" t="str">
        <f t="shared" si="19"/>
        <v>H</v>
      </c>
      <c r="J19" s="14" t="str">
        <f t="shared" si="19"/>
        <v>I</v>
      </c>
      <c r="K19" s="14" t="str">
        <f t="shared" si="19"/>
        <v>J</v>
      </c>
      <c r="L19" s="14" t="str">
        <f t="shared" si="19"/>
        <v>K</v>
      </c>
      <c r="M19" s="14" t="str">
        <f t="shared" si="19"/>
        <v>L</v>
      </c>
      <c r="N19" s="14" t="str">
        <f t="shared" si="19"/>
        <v>M</v>
      </c>
      <c r="O19" s="14" t="str">
        <f t="shared" si="19"/>
        <v>N</v>
      </c>
      <c r="P19" s="14" t="str">
        <f t="shared" si="19"/>
        <v>O</v>
      </c>
      <c r="Q19" s="14" t="str">
        <f t="shared" si="19"/>
        <v>P</v>
      </c>
      <c r="R19" s="14" t="str">
        <f t="shared" si="19"/>
        <v>Q</v>
      </c>
      <c r="S19" s="14" t="str">
        <f t="shared" si="19"/>
        <v>R</v>
      </c>
      <c r="T19" s="14" t="str">
        <f t="shared" si="19"/>
        <v>S</v>
      </c>
      <c r="U19" s="14" t="str">
        <f t="shared" si="19"/>
        <v>T</v>
      </c>
      <c r="V19" s="14" t="str">
        <f t="shared" si="19"/>
        <v>U</v>
      </c>
      <c r="W19" s="14" t="str">
        <f t="shared" si="19"/>
        <v>V</v>
      </c>
      <c r="X19" s="14" t="str">
        <f t="shared" si="19"/>
        <v>W</v>
      </c>
      <c r="Y19" s="14" t="str">
        <f t="shared" si="19"/>
        <v>X</v>
      </c>
      <c r="Z19" s="14" t="str">
        <f t="shared" si="19"/>
        <v>Y</v>
      </c>
      <c r="AA19" s="14" t="str">
        <f t="shared" si="19"/>
        <v>Z</v>
      </c>
      <c r="AB19" s="14" t="str">
        <f t="shared" si="19"/>
        <v>A</v>
      </c>
      <c r="AC19" s="14" t="str">
        <f t="shared" si="19"/>
        <v>B</v>
      </c>
      <c r="AD19" s="14" t="str">
        <f t="shared" si="19"/>
        <v>C</v>
      </c>
      <c r="AE19" s="14" t="str">
        <f t="shared" si="19"/>
        <v>D</v>
      </c>
      <c r="AF19" s="10"/>
      <c r="AH19" s="28" t="str">
        <f t="shared" ref="AH19:BG19" si="20">IF(LEN(AH21)=2,LEFT(AH21,1),"")</f>
        <v>A</v>
      </c>
      <c r="AI19" s="28" t="str">
        <f t="shared" si="20"/>
        <v>B</v>
      </c>
      <c r="AJ19" s="28" t="str">
        <f t="shared" si="20"/>
        <v>C</v>
      </c>
      <c r="AK19" s="28" t="str">
        <f t="shared" si="20"/>
        <v>D</v>
      </c>
      <c r="AL19" s="28" t="str">
        <f t="shared" si="20"/>
        <v>E</v>
      </c>
      <c r="AM19" s="28" t="str">
        <f t="shared" si="20"/>
        <v>F</v>
      </c>
      <c r="AN19" s="28" t="str">
        <f t="shared" si="20"/>
        <v>G</v>
      </c>
      <c r="AO19" s="28" t="str">
        <f t="shared" si="20"/>
        <v>H</v>
      </c>
      <c r="AP19" s="28" t="str">
        <f t="shared" si="20"/>
        <v>I</v>
      </c>
      <c r="AQ19" s="28" t="str">
        <f t="shared" si="20"/>
        <v>J</v>
      </c>
      <c r="AR19" s="28" t="str">
        <f t="shared" si="20"/>
        <v>K</v>
      </c>
      <c r="AS19" s="28" t="str">
        <f t="shared" si="20"/>
        <v>L</v>
      </c>
      <c r="AT19" s="28" t="str">
        <f t="shared" si="20"/>
        <v>M</v>
      </c>
      <c r="AU19" s="28" t="str">
        <f t="shared" si="20"/>
        <v>N</v>
      </c>
      <c r="AV19" s="28" t="str">
        <f t="shared" si="20"/>
        <v>O</v>
      </c>
      <c r="AW19" s="28" t="str">
        <f t="shared" si="20"/>
        <v>P</v>
      </c>
      <c r="AX19" s="28" t="str">
        <f t="shared" si="20"/>
        <v>Q</v>
      </c>
      <c r="AY19" s="28" t="str">
        <f t="shared" si="20"/>
        <v>R</v>
      </c>
      <c r="AZ19" s="28" t="str">
        <f t="shared" si="20"/>
        <v>S</v>
      </c>
      <c r="BA19" s="28" t="str">
        <f t="shared" si="20"/>
        <v>T</v>
      </c>
      <c r="BB19" s="28" t="str">
        <f t="shared" si="20"/>
        <v>U</v>
      </c>
      <c r="BC19" s="28" t="str">
        <f t="shared" si="20"/>
        <v>V</v>
      </c>
      <c r="BD19" s="28" t="str">
        <f t="shared" si="20"/>
        <v>W</v>
      </c>
      <c r="BE19" s="28" t="str">
        <f t="shared" si="20"/>
        <v>X</v>
      </c>
      <c r="BF19" s="28" t="str">
        <f t="shared" si="20"/>
        <v>Y</v>
      </c>
      <c r="BG19" s="28" t="str">
        <f t="shared" si="20"/>
        <v>Z</v>
      </c>
    </row>
    <row r="20" spans="1:59" x14ac:dyDescent="0.35">
      <c r="B20" s="22"/>
      <c r="C20" s="8"/>
      <c r="E20" t="s">
        <v>387</v>
      </c>
      <c r="F20" s="15" t="str">
        <f t="shared" ref="F20:AE20" si="21">IF(F17=1,VLOOKUP(nRotorL&amp;F19,nRotor,4,FALSE),"")</f>
        <v>L</v>
      </c>
      <c r="G20" s="15" t="str">
        <f t="shared" si="21"/>
        <v>G</v>
      </c>
      <c r="H20" s="15" t="str">
        <f t="shared" si="21"/>
        <v>D</v>
      </c>
      <c r="I20" s="15" t="str">
        <f t="shared" si="21"/>
        <v>Q</v>
      </c>
      <c r="J20" s="15" t="str">
        <f t="shared" si="21"/>
        <v>V</v>
      </c>
      <c r="K20" s="15" t="str">
        <f t="shared" si="21"/>
        <v>Z</v>
      </c>
      <c r="L20" s="15" t="str">
        <f t="shared" si="21"/>
        <v>N</v>
      </c>
      <c r="M20" s="15" t="str">
        <f t="shared" si="21"/>
        <v>T</v>
      </c>
      <c r="N20" s="15" t="str">
        <f t="shared" si="21"/>
        <v>O</v>
      </c>
      <c r="O20" s="15" t="str">
        <f t="shared" si="21"/>
        <v>W</v>
      </c>
      <c r="P20" s="15" t="str">
        <f t="shared" si="21"/>
        <v>Y</v>
      </c>
      <c r="Q20" s="15" t="str">
        <f t="shared" si="21"/>
        <v>H</v>
      </c>
      <c r="R20" s="15" t="str">
        <f t="shared" si="21"/>
        <v>X</v>
      </c>
      <c r="S20" s="15" t="str">
        <f t="shared" si="21"/>
        <v>U</v>
      </c>
      <c r="T20" s="15" t="str">
        <f t="shared" si="21"/>
        <v>S</v>
      </c>
      <c r="U20" s="15" t="str">
        <f t="shared" si="21"/>
        <v>P</v>
      </c>
      <c r="V20" s="15" t="str">
        <f t="shared" si="21"/>
        <v>A</v>
      </c>
      <c r="W20" s="15" t="str">
        <f t="shared" si="21"/>
        <v>I</v>
      </c>
      <c r="X20" s="15" t="str">
        <f t="shared" si="21"/>
        <v>B</v>
      </c>
      <c r="Y20" s="15" t="str">
        <f t="shared" si="21"/>
        <v>R</v>
      </c>
      <c r="Z20" s="15" t="str">
        <f t="shared" si="21"/>
        <v>C</v>
      </c>
      <c r="AA20" s="15" t="str">
        <f t="shared" si="21"/>
        <v>J</v>
      </c>
      <c r="AB20" s="15" t="str">
        <f t="shared" si="21"/>
        <v>E</v>
      </c>
      <c r="AC20" s="15" t="str">
        <f t="shared" si="21"/>
        <v>K</v>
      </c>
      <c r="AD20" s="15" t="str">
        <f t="shared" si="21"/>
        <v>M</v>
      </c>
      <c r="AE20" s="15" t="str">
        <f t="shared" si="21"/>
        <v>F</v>
      </c>
      <c r="AF20" s="10"/>
      <c r="AH20" s="28" t="str">
        <f t="shared" ref="AH20:BG20" si="22">IF(LEN(AH21)=2,RIGHT(AH21,1),"")</f>
        <v>H</v>
      </c>
      <c r="AI20" s="28" t="str">
        <f t="shared" si="22"/>
        <v>C</v>
      </c>
      <c r="AJ20" s="28" t="str">
        <f t="shared" si="22"/>
        <v>Z</v>
      </c>
      <c r="AK20" s="28" t="str">
        <f t="shared" si="22"/>
        <v>M</v>
      </c>
      <c r="AL20" s="28" t="str">
        <f t="shared" si="22"/>
        <v>R</v>
      </c>
      <c r="AM20" s="28" t="str">
        <f t="shared" si="22"/>
        <v>V</v>
      </c>
      <c r="AN20" s="28" t="str">
        <f t="shared" si="22"/>
        <v>J</v>
      </c>
      <c r="AO20" s="28" t="str">
        <f t="shared" si="22"/>
        <v>P</v>
      </c>
      <c r="AP20" s="28" t="str">
        <f t="shared" si="22"/>
        <v>K</v>
      </c>
      <c r="AQ20" s="28" t="str">
        <f t="shared" si="22"/>
        <v>S</v>
      </c>
      <c r="AR20" s="28" t="str">
        <f t="shared" si="22"/>
        <v>U</v>
      </c>
      <c r="AS20" s="28" t="str">
        <f t="shared" si="22"/>
        <v>D</v>
      </c>
      <c r="AT20" s="28" t="str">
        <f t="shared" si="22"/>
        <v>T</v>
      </c>
      <c r="AU20" s="28" t="str">
        <f t="shared" si="22"/>
        <v>Q</v>
      </c>
      <c r="AV20" s="28" t="str">
        <f t="shared" si="22"/>
        <v>O</v>
      </c>
      <c r="AW20" s="28" t="str">
        <f t="shared" si="22"/>
        <v>L</v>
      </c>
      <c r="AX20" s="28" t="str">
        <f t="shared" si="22"/>
        <v>W</v>
      </c>
      <c r="AY20" s="28" t="str">
        <f t="shared" si="22"/>
        <v>E</v>
      </c>
      <c r="AZ20" s="28" t="str">
        <f t="shared" si="22"/>
        <v>X</v>
      </c>
      <c r="BA20" s="28" t="str">
        <f t="shared" si="22"/>
        <v>N</v>
      </c>
      <c r="BB20" s="28" t="str">
        <f t="shared" si="22"/>
        <v>Y</v>
      </c>
      <c r="BC20" s="28" t="str">
        <f t="shared" si="22"/>
        <v>F</v>
      </c>
      <c r="BD20" s="28" t="str">
        <f t="shared" si="22"/>
        <v>A</v>
      </c>
      <c r="BE20" s="28" t="str">
        <f t="shared" si="22"/>
        <v>G</v>
      </c>
      <c r="BF20" s="28" t="str">
        <f t="shared" si="22"/>
        <v>I</v>
      </c>
      <c r="BG20" s="28" t="str">
        <f t="shared" si="22"/>
        <v>B</v>
      </c>
    </row>
    <row r="21" spans="1:59" ht="15" thickBot="1" x14ac:dyDescent="0.4">
      <c r="B21" s="23"/>
      <c r="C21" s="16"/>
      <c r="D21" s="17"/>
      <c r="E21" s="17" t="s">
        <v>388</v>
      </c>
      <c r="F21" s="18" t="str">
        <f t="shared" ref="F21:AE21" si="23">IF(F17=1,IF(CODE(F20)-CODE(F19)&lt;0,VLOOKUP((CODE(F20)-CODE(F19)+26)+(CODE(F16)-nCharOffset),nNum2Let,2,FALSE),VLOOKUP((CODE(F20)-CODE(F19))+(CODE(F16)-nCharOffset),nNum2Let,2,FALSE)),"")</f>
        <v>H</v>
      </c>
      <c r="G21" s="18" t="str">
        <f t="shared" si="23"/>
        <v>C</v>
      </c>
      <c r="H21" s="18" t="str">
        <f t="shared" si="23"/>
        <v>Z</v>
      </c>
      <c r="I21" s="18" t="str">
        <f t="shared" si="23"/>
        <v>M</v>
      </c>
      <c r="J21" s="18" t="str">
        <f t="shared" si="23"/>
        <v>R</v>
      </c>
      <c r="K21" s="18" t="str">
        <f t="shared" si="23"/>
        <v>V</v>
      </c>
      <c r="L21" s="18" t="str">
        <f t="shared" si="23"/>
        <v>J</v>
      </c>
      <c r="M21" s="18" t="str">
        <f t="shared" si="23"/>
        <v>P</v>
      </c>
      <c r="N21" s="18" t="str">
        <f t="shared" si="23"/>
        <v>K</v>
      </c>
      <c r="O21" s="18" t="str">
        <f t="shared" si="23"/>
        <v>S</v>
      </c>
      <c r="P21" s="18" t="str">
        <f t="shared" si="23"/>
        <v>U</v>
      </c>
      <c r="Q21" s="18" t="str">
        <f t="shared" si="23"/>
        <v>D</v>
      </c>
      <c r="R21" s="18" t="str">
        <f t="shared" si="23"/>
        <v>T</v>
      </c>
      <c r="S21" s="18" t="str">
        <f t="shared" si="23"/>
        <v>Q</v>
      </c>
      <c r="T21" s="18" t="str">
        <f t="shared" si="23"/>
        <v>O</v>
      </c>
      <c r="U21" s="18" t="str">
        <f t="shared" si="23"/>
        <v>L</v>
      </c>
      <c r="V21" s="18" t="str">
        <f t="shared" si="23"/>
        <v>W</v>
      </c>
      <c r="W21" s="18" t="str">
        <f t="shared" si="23"/>
        <v>E</v>
      </c>
      <c r="X21" s="18" t="str">
        <f t="shared" si="23"/>
        <v>X</v>
      </c>
      <c r="Y21" s="18" t="str">
        <f t="shared" si="23"/>
        <v>N</v>
      </c>
      <c r="Z21" s="18" t="str">
        <f t="shared" si="23"/>
        <v>Y</v>
      </c>
      <c r="AA21" s="18" t="str">
        <f t="shared" si="23"/>
        <v>F</v>
      </c>
      <c r="AB21" s="18" t="str">
        <f t="shared" si="23"/>
        <v>A</v>
      </c>
      <c r="AC21" s="18" t="str">
        <f t="shared" si="23"/>
        <v>G</v>
      </c>
      <c r="AD21" s="18" t="str">
        <f t="shared" si="23"/>
        <v>I</v>
      </c>
      <c r="AE21" s="18" t="str">
        <f t="shared" si="23"/>
        <v>B</v>
      </c>
      <c r="AF21" s="19" t="str">
        <f>CONCATENATE(F21,G21,H21,I21,J21,K21,L21,M21,N21,O21,P21,Q21,R21,S21,T21&amp;U21,V21,W21,X21,Y21,Z21,AA21,AB21,AC21,AD21,AE21)</f>
        <v>HCZMRVJPKSUDTQOLWEXNYFAGIB</v>
      </c>
      <c r="AH21" s="12" t="str">
        <f>F16&amp;F21</f>
        <v>AH</v>
      </c>
      <c r="AI21" s="12" t="str">
        <f t="shared" ref="AI21:BG21" si="24">G16&amp;G21</f>
        <v>BC</v>
      </c>
      <c r="AJ21" s="12" t="str">
        <f t="shared" si="24"/>
        <v>CZ</v>
      </c>
      <c r="AK21" s="12" t="str">
        <f t="shared" si="24"/>
        <v>DM</v>
      </c>
      <c r="AL21" s="12" t="str">
        <f t="shared" si="24"/>
        <v>ER</v>
      </c>
      <c r="AM21" s="12" t="str">
        <f t="shared" si="24"/>
        <v>FV</v>
      </c>
      <c r="AN21" s="12" t="str">
        <f t="shared" si="24"/>
        <v>GJ</v>
      </c>
      <c r="AO21" s="12" t="str">
        <f t="shared" si="24"/>
        <v>HP</v>
      </c>
      <c r="AP21" s="12" t="str">
        <f t="shared" si="24"/>
        <v>IK</v>
      </c>
      <c r="AQ21" s="12" t="str">
        <f t="shared" si="24"/>
        <v>JS</v>
      </c>
      <c r="AR21" s="12" t="str">
        <f t="shared" si="24"/>
        <v>KU</v>
      </c>
      <c r="AS21" s="12" t="str">
        <f t="shared" si="24"/>
        <v>LD</v>
      </c>
      <c r="AT21" s="12" t="str">
        <f t="shared" si="24"/>
        <v>MT</v>
      </c>
      <c r="AU21" s="12" t="str">
        <f t="shared" si="24"/>
        <v>NQ</v>
      </c>
      <c r="AV21" s="12" t="str">
        <f t="shared" si="24"/>
        <v>OO</v>
      </c>
      <c r="AW21" s="12" t="str">
        <f t="shared" si="24"/>
        <v>PL</v>
      </c>
      <c r="AX21" s="12" t="str">
        <f t="shared" si="24"/>
        <v>QW</v>
      </c>
      <c r="AY21" s="12" t="str">
        <f t="shared" si="24"/>
        <v>RE</v>
      </c>
      <c r="AZ21" s="12" t="str">
        <f t="shared" si="24"/>
        <v>SX</v>
      </c>
      <c r="BA21" s="12" t="str">
        <f t="shared" si="24"/>
        <v>TN</v>
      </c>
      <c r="BB21" s="12" t="str">
        <f t="shared" si="24"/>
        <v>UY</v>
      </c>
      <c r="BC21" s="12" t="str">
        <f t="shared" si="24"/>
        <v>VF</v>
      </c>
      <c r="BD21" s="12" t="str">
        <f t="shared" si="24"/>
        <v>WA</v>
      </c>
      <c r="BE21" s="12" t="str">
        <f t="shared" si="24"/>
        <v>XG</v>
      </c>
      <c r="BF21" s="12" t="str">
        <f t="shared" si="24"/>
        <v>YI</v>
      </c>
      <c r="BG21" s="12" t="str">
        <f t="shared" si="24"/>
        <v>ZB</v>
      </c>
    </row>
    <row r="22" spans="1:59" x14ac:dyDescent="0.35">
      <c r="B22" s="21"/>
      <c r="C22" s="5"/>
      <c r="D22" s="5"/>
      <c r="E22" s="5" t="s">
        <v>385</v>
      </c>
      <c r="F22" s="6" t="s">
        <v>0</v>
      </c>
      <c r="G22" s="6" t="s">
        <v>1</v>
      </c>
      <c r="H22" s="6" t="s">
        <v>2</v>
      </c>
      <c r="I22" s="6" t="s">
        <v>3</v>
      </c>
      <c r="J22" s="6" t="s">
        <v>4</v>
      </c>
      <c r="K22" s="6" t="s">
        <v>5</v>
      </c>
      <c r="L22" s="6" t="s">
        <v>6</v>
      </c>
      <c r="M22" s="6" t="s">
        <v>7</v>
      </c>
      <c r="N22" s="6" t="s">
        <v>8</v>
      </c>
      <c r="O22" s="6" t="s">
        <v>9</v>
      </c>
      <c r="P22" s="6" t="s">
        <v>10</v>
      </c>
      <c r="Q22" s="6" t="s">
        <v>11</v>
      </c>
      <c r="R22" s="6" t="s">
        <v>12</v>
      </c>
      <c r="S22" s="6" t="s">
        <v>13</v>
      </c>
      <c r="T22" s="6" t="s">
        <v>14</v>
      </c>
      <c r="U22" s="6" t="s">
        <v>15</v>
      </c>
      <c r="V22" s="6" t="s">
        <v>16</v>
      </c>
      <c r="W22" s="6" t="s">
        <v>17</v>
      </c>
      <c r="X22" s="6" t="s">
        <v>18</v>
      </c>
      <c r="Y22" s="6" t="s">
        <v>19</v>
      </c>
      <c r="Z22" s="6" t="s">
        <v>20</v>
      </c>
      <c r="AA22" s="6" t="s">
        <v>21</v>
      </c>
      <c r="AB22" s="6" t="s">
        <v>22</v>
      </c>
      <c r="AC22" s="6" t="s">
        <v>23</v>
      </c>
      <c r="AD22" s="6" t="s">
        <v>24</v>
      </c>
      <c r="AE22" s="6" t="s">
        <v>25</v>
      </c>
      <c r="AF22" s="7"/>
      <c r="AH22" s="28" t="str">
        <f>HLOOKUP(AH16,$AH19:$BG20,2,FALSE)</f>
        <v>V</v>
      </c>
      <c r="AI22" s="28" t="str">
        <f>HLOOKUP(AI16,$AH19:$BG20,2,FALSE)</f>
        <v>M</v>
      </c>
      <c r="AJ22" s="28" t="str">
        <f t="shared" ref="AJ22:BG22" si="25">HLOOKUP(AJ16,$AH19:$BG20,2,FALSE)</f>
        <v>K</v>
      </c>
      <c r="AK22" s="28" t="str">
        <f t="shared" si="25"/>
        <v>T</v>
      </c>
      <c r="AL22" s="28" t="str">
        <f t="shared" si="25"/>
        <v>C</v>
      </c>
      <c r="AM22" s="28" t="str">
        <f t="shared" si="25"/>
        <v>Y</v>
      </c>
      <c r="AN22" s="28" t="str">
        <f t="shared" si="25"/>
        <v>D</v>
      </c>
      <c r="AO22" s="28" t="str">
        <f t="shared" si="25"/>
        <v>I</v>
      </c>
      <c r="AP22" s="28" t="str">
        <f t="shared" si="25"/>
        <v>E</v>
      </c>
      <c r="AQ22" s="28" t="str">
        <f t="shared" si="25"/>
        <v>O</v>
      </c>
      <c r="AR22" s="28" t="str">
        <f t="shared" si="25"/>
        <v>Q</v>
      </c>
      <c r="AS22" s="28" t="str">
        <f t="shared" si="25"/>
        <v>G</v>
      </c>
      <c r="AT22" s="28" t="str">
        <f t="shared" si="25"/>
        <v>H</v>
      </c>
      <c r="AU22" s="28" t="str">
        <f t="shared" si="25"/>
        <v>W</v>
      </c>
      <c r="AV22" s="28" t="str">
        <f t="shared" si="25"/>
        <v>X</v>
      </c>
      <c r="AW22" s="28" t="str">
        <f t="shared" si="25"/>
        <v>S</v>
      </c>
      <c r="AX22" s="28" t="str">
        <f t="shared" si="25"/>
        <v>L</v>
      </c>
      <c r="AY22" s="28" t="str">
        <f t="shared" si="25"/>
        <v>N</v>
      </c>
      <c r="AZ22" s="28" t="str">
        <f t="shared" si="25"/>
        <v>Z</v>
      </c>
      <c r="BA22" s="28" t="str">
        <f t="shared" si="25"/>
        <v>R</v>
      </c>
      <c r="BB22" s="28" t="str">
        <f t="shared" si="25"/>
        <v>B</v>
      </c>
      <c r="BC22" s="28" t="str">
        <f t="shared" si="25"/>
        <v>A</v>
      </c>
      <c r="BD22" s="28" t="str">
        <f t="shared" si="25"/>
        <v>P</v>
      </c>
      <c r="BE22" s="28" t="str">
        <f t="shared" si="25"/>
        <v>U</v>
      </c>
      <c r="BF22" s="28" t="str">
        <f t="shared" si="25"/>
        <v>J</v>
      </c>
      <c r="BG22" s="28" t="str">
        <f t="shared" si="25"/>
        <v>F</v>
      </c>
    </row>
    <row r="23" spans="1:59" x14ac:dyDescent="0.35">
      <c r="B23" s="22" t="s">
        <v>26</v>
      </c>
      <c r="C23" s="41" t="str">
        <f>n_Reflector</f>
        <v>B</v>
      </c>
      <c r="D23" s="11" t="str">
        <f>"Wide"&amp;C23</f>
        <v>WideB</v>
      </c>
      <c r="F23" s="1">
        <f>IF(ISERROR(FIND(F22,$AF21)),0,1)</f>
        <v>1</v>
      </c>
      <c r="G23" s="1">
        <f t="shared" ref="G23:AE23" si="26">IF(ISERROR(FIND(G22,$AF21)),0,1)</f>
        <v>1</v>
      </c>
      <c r="H23" s="1">
        <f t="shared" si="26"/>
        <v>1</v>
      </c>
      <c r="I23" s="1">
        <f t="shared" si="26"/>
        <v>1</v>
      </c>
      <c r="J23" s="1">
        <f t="shared" si="26"/>
        <v>1</v>
      </c>
      <c r="K23" s="1">
        <f t="shared" si="26"/>
        <v>1</v>
      </c>
      <c r="L23" s="1">
        <f t="shared" si="26"/>
        <v>1</v>
      </c>
      <c r="M23" s="1">
        <f t="shared" si="26"/>
        <v>1</v>
      </c>
      <c r="N23" s="1">
        <f t="shared" si="26"/>
        <v>1</v>
      </c>
      <c r="O23" s="1">
        <f t="shared" si="26"/>
        <v>1</v>
      </c>
      <c r="P23" s="1">
        <f t="shared" si="26"/>
        <v>1</v>
      </c>
      <c r="Q23" s="1">
        <f t="shared" si="26"/>
        <v>1</v>
      </c>
      <c r="R23" s="1">
        <f t="shared" si="26"/>
        <v>1</v>
      </c>
      <c r="S23" s="1">
        <f t="shared" si="26"/>
        <v>1</v>
      </c>
      <c r="T23" s="1">
        <f t="shared" si="26"/>
        <v>1</v>
      </c>
      <c r="U23" s="1">
        <f t="shared" si="26"/>
        <v>1</v>
      </c>
      <c r="V23" s="1">
        <f t="shared" si="26"/>
        <v>1</v>
      </c>
      <c r="W23" s="1">
        <f t="shared" si="26"/>
        <v>1</v>
      </c>
      <c r="X23" s="1">
        <f t="shared" si="26"/>
        <v>1</v>
      </c>
      <c r="Y23" s="1">
        <f t="shared" si="26"/>
        <v>1</v>
      </c>
      <c r="Z23" s="1">
        <f t="shared" si="26"/>
        <v>1</v>
      </c>
      <c r="AA23" s="1">
        <f t="shared" si="26"/>
        <v>1</v>
      </c>
      <c r="AB23" s="1">
        <f t="shared" si="26"/>
        <v>1</v>
      </c>
      <c r="AC23" s="1">
        <f t="shared" si="26"/>
        <v>1</v>
      </c>
      <c r="AD23" s="1">
        <f t="shared" si="26"/>
        <v>1</v>
      </c>
      <c r="AE23" s="1">
        <f t="shared" si="26"/>
        <v>1</v>
      </c>
      <c r="AF23" s="10"/>
      <c r="AH23" s="28" t="str">
        <f>HLOOKUP(AH22,$AH25:$BG26,2,FALSE)</f>
        <v>W</v>
      </c>
      <c r="AI23" s="28" t="str">
        <f t="shared" ref="AI23:BG23" si="27">HLOOKUP(AI22,$AH25:$BG26,2,FALSE)</f>
        <v>O</v>
      </c>
      <c r="AJ23" s="28" t="str">
        <f t="shared" si="27"/>
        <v>N</v>
      </c>
      <c r="AK23" s="28" t="str">
        <f t="shared" si="27"/>
        <v>Z</v>
      </c>
      <c r="AL23" s="28" t="str">
        <f t="shared" si="27"/>
        <v>U</v>
      </c>
      <c r="AM23" s="28" t="str">
        <f t="shared" si="27"/>
        <v>A</v>
      </c>
      <c r="AN23" s="28" t="str">
        <f t="shared" si="27"/>
        <v>H</v>
      </c>
      <c r="AO23" s="28" t="str">
        <f t="shared" si="27"/>
        <v>P</v>
      </c>
      <c r="AP23" s="28" t="str">
        <f t="shared" si="27"/>
        <v>Q</v>
      </c>
      <c r="AQ23" s="28" t="str">
        <f t="shared" si="27"/>
        <v>M</v>
      </c>
      <c r="AR23" s="28" t="str">
        <f t="shared" si="27"/>
        <v>E</v>
      </c>
      <c r="AS23" s="28" t="str">
        <f t="shared" si="27"/>
        <v>L</v>
      </c>
      <c r="AT23" s="28" t="str">
        <f t="shared" si="27"/>
        <v>D</v>
      </c>
      <c r="AU23" s="28" t="str">
        <f t="shared" si="27"/>
        <v>V</v>
      </c>
      <c r="AV23" s="28" t="str">
        <f t="shared" si="27"/>
        <v>J</v>
      </c>
      <c r="AW23" s="28" t="str">
        <f t="shared" si="27"/>
        <v>F</v>
      </c>
      <c r="AX23" s="28" t="str">
        <f t="shared" si="27"/>
        <v>G</v>
      </c>
      <c r="AY23" s="28" t="str">
        <f t="shared" si="27"/>
        <v>K</v>
      </c>
      <c r="AZ23" s="28" t="str">
        <f t="shared" si="27"/>
        <v>T</v>
      </c>
      <c r="BA23" s="28" t="str">
        <f t="shared" si="27"/>
        <v>B</v>
      </c>
      <c r="BB23" s="28" t="str">
        <f t="shared" si="27"/>
        <v>R</v>
      </c>
      <c r="BC23" s="28" t="str">
        <f t="shared" si="27"/>
        <v>Y</v>
      </c>
      <c r="BD23" s="28" t="str">
        <f t="shared" si="27"/>
        <v>I</v>
      </c>
      <c r="BE23" s="28" t="str">
        <f t="shared" si="27"/>
        <v>C</v>
      </c>
      <c r="BF23" s="28" t="str">
        <f t="shared" si="27"/>
        <v>X</v>
      </c>
      <c r="BG23" s="28" t="str">
        <f t="shared" si="27"/>
        <v>S</v>
      </c>
    </row>
    <row r="24" spans="1:59" ht="15" thickBot="1" x14ac:dyDescent="0.4">
      <c r="B24" s="23"/>
      <c r="C24" s="17"/>
      <c r="D24" s="17"/>
      <c r="E24" s="17"/>
      <c r="F24" s="24" t="str">
        <f t="shared" ref="F24:AE24" si="28">IF(F23=1,VLOOKUP(nReflector&amp;"_"&amp;F22,nReflectorWide,4,FALSE),"")</f>
        <v>Y</v>
      </c>
      <c r="G24" s="24" t="str">
        <f t="shared" si="28"/>
        <v>R</v>
      </c>
      <c r="H24" s="24" t="str">
        <f t="shared" si="28"/>
        <v>U</v>
      </c>
      <c r="I24" s="24" t="str">
        <f t="shared" si="28"/>
        <v>H</v>
      </c>
      <c r="J24" s="24" t="str">
        <f t="shared" si="28"/>
        <v>Q</v>
      </c>
      <c r="K24" s="24" t="str">
        <f t="shared" si="28"/>
        <v>S</v>
      </c>
      <c r="L24" s="24" t="str">
        <f t="shared" si="28"/>
        <v>L</v>
      </c>
      <c r="M24" s="24" t="str">
        <f t="shared" si="28"/>
        <v>D</v>
      </c>
      <c r="N24" s="24" t="str">
        <f t="shared" si="28"/>
        <v>P</v>
      </c>
      <c r="O24" s="24" t="str">
        <f t="shared" si="28"/>
        <v>X</v>
      </c>
      <c r="P24" s="24" t="str">
        <f t="shared" si="28"/>
        <v>N</v>
      </c>
      <c r="Q24" s="24" t="str">
        <f t="shared" si="28"/>
        <v>G</v>
      </c>
      <c r="R24" s="24" t="str">
        <f t="shared" si="28"/>
        <v>O</v>
      </c>
      <c r="S24" s="24" t="str">
        <f t="shared" si="28"/>
        <v>K</v>
      </c>
      <c r="T24" s="24" t="str">
        <f t="shared" si="28"/>
        <v>M</v>
      </c>
      <c r="U24" s="24" t="str">
        <f t="shared" si="28"/>
        <v>I</v>
      </c>
      <c r="V24" s="24" t="str">
        <f t="shared" si="28"/>
        <v>E</v>
      </c>
      <c r="W24" s="24" t="str">
        <f t="shared" si="28"/>
        <v>B</v>
      </c>
      <c r="X24" s="24" t="str">
        <f t="shared" si="28"/>
        <v>F</v>
      </c>
      <c r="Y24" s="24" t="str">
        <f t="shared" si="28"/>
        <v>Z</v>
      </c>
      <c r="Z24" s="24" t="str">
        <f t="shared" si="28"/>
        <v>C</v>
      </c>
      <c r="AA24" s="24" t="str">
        <f t="shared" si="28"/>
        <v>W</v>
      </c>
      <c r="AB24" s="24" t="str">
        <f t="shared" si="28"/>
        <v>V</v>
      </c>
      <c r="AC24" s="24" t="str">
        <f t="shared" si="28"/>
        <v>J</v>
      </c>
      <c r="AD24" s="24" t="str">
        <f t="shared" si="28"/>
        <v>A</v>
      </c>
      <c r="AE24" s="24" t="str">
        <f t="shared" si="28"/>
        <v>T</v>
      </c>
      <c r="AF24" s="25" t="str">
        <f>CONCATENATE(F24,G24,H24,I24,J24,K24,L24,M24,N24,O24,P24,Q24,R24,S24,T24&amp;U24,V24,W24,X24,Y24,Z24,AA24,AB24,AC24,AD24,AE24)</f>
        <v>YRUHQSLDPXNGOKMIEBFZCWVJAT</v>
      </c>
      <c r="AH24" s="27" t="str">
        <f>F22&amp;F24</f>
        <v>AY</v>
      </c>
      <c r="AI24" s="27" t="str">
        <f t="shared" ref="AI24:BG24" si="29">G22&amp;G24</f>
        <v>BR</v>
      </c>
      <c r="AJ24" s="27" t="str">
        <f t="shared" si="29"/>
        <v>CU</v>
      </c>
      <c r="AK24" s="27" t="str">
        <f t="shared" si="29"/>
        <v>DH</v>
      </c>
      <c r="AL24" s="27" t="str">
        <f t="shared" si="29"/>
        <v>EQ</v>
      </c>
      <c r="AM24" s="27" t="str">
        <f t="shared" si="29"/>
        <v>FS</v>
      </c>
      <c r="AN24" s="27" t="str">
        <f t="shared" si="29"/>
        <v>GL</v>
      </c>
      <c r="AO24" s="27" t="str">
        <f t="shared" si="29"/>
        <v>HD</v>
      </c>
      <c r="AP24" s="27" t="str">
        <f t="shared" si="29"/>
        <v>IP</v>
      </c>
      <c r="AQ24" s="27" t="str">
        <f t="shared" si="29"/>
        <v>JX</v>
      </c>
      <c r="AR24" s="27" t="str">
        <f t="shared" si="29"/>
        <v>KN</v>
      </c>
      <c r="AS24" s="27" t="str">
        <f t="shared" si="29"/>
        <v>LG</v>
      </c>
      <c r="AT24" s="27" t="str">
        <f t="shared" si="29"/>
        <v>MO</v>
      </c>
      <c r="AU24" s="27" t="str">
        <f t="shared" si="29"/>
        <v>NK</v>
      </c>
      <c r="AV24" s="27" t="str">
        <f t="shared" si="29"/>
        <v>OM</v>
      </c>
      <c r="AW24" s="27" t="str">
        <f t="shared" si="29"/>
        <v>PI</v>
      </c>
      <c r="AX24" s="27" t="str">
        <f t="shared" si="29"/>
        <v>QE</v>
      </c>
      <c r="AY24" s="27" t="str">
        <f t="shared" si="29"/>
        <v>RB</v>
      </c>
      <c r="AZ24" s="27" t="str">
        <f t="shared" si="29"/>
        <v>SF</v>
      </c>
      <c r="BA24" s="27" t="str">
        <f t="shared" si="29"/>
        <v>TZ</v>
      </c>
      <c r="BB24" s="27" t="str">
        <f t="shared" si="29"/>
        <v>UC</v>
      </c>
      <c r="BC24" s="27" t="str">
        <f t="shared" si="29"/>
        <v>VW</v>
      </c>
      <c r="BD24" s="27" t="str">
        <f t="shared" si="29"/>
        <v>WV</v>
      </c>
      <c r="BE24" s="27" t="str">
        <f t="shared" si="29"/>
        <v>XJ</v>
      </c>
      <c r="BF24" s="27" t="str">
        <f t="shared" si="29"/>
        <v>YA</v>
      </c>
      <c r="BG24" s="27" t="str">
        <f t="shared" si="29"/>
        <v>ZT</v>
      </c>
    </row>
    <row r="25" spans="1:59" x14ac:dyDescent="0.35">
      <c r="B25" s="21"/>
      <c r="C25" s="4"/>
      <c r="D25" s="5"/>
      <c r="E25" s="5" t="s">
        <v>385</v>
      </c>
      <c r="F25" s="6" t="s">
        <v>0</v>
      </c>
      <c r="G25" s="6" t="s">
        <v>1</v>
      </c>
      <c r="H25" s="6" t="s">
        <v>2</v>
      </c>
      <c r="I25" s="6" t="s">
        <v>3</v>
      </c>
      <c r="J25" s="6" t="s">
        <v>4</v>
      </c>
      <c r="K25" s="6" t="s">
        <v>5</v>
      </c>
      <c r="L25" s="6" t="s">
        <v>6</v>
      </c>
      <c r="M25" s="6" t="s">
        <v>7</v>
      </c>
      <c r="N25" s="6" t="s">
        <v>8</v>
      </c>
      <c r="O25" s="6" t="s">
        <v>9</v>
      </c>
      <c r="P25" s="6" t="s">
        <v>10</v>
      </c>
      <c r="Q25" s="6" t="s">
        <v>11</v>
      </c>
      <c r="R25" s="6" t="s">
        <v>12</v>
      </c>
      <c r="S25" s="6" t="s">
        <v>13</v>
      </c>
      <c r="T25" s="6" t="s">
        <v>14</v>
      </c>
      <c r="U25" s="6" t="s">
        <v>15</v>
      </c>
      <c r="V25" s="6" t="s">
        <v>16</v>
      </c>
      <c r="W25" s="6" t="s">
        <v>17</v>
      </c>
      <c r="X25" s="6" t="s">
        <v>18</v>
      </c>
      <c r="Y25" s="6" t="s">
        <v>19</v>
      </c>
      <c r="Z25" s="6" t="s">
        <v>20</v>
      </c>
      <c r="AA25" s="6" t="s">
        <v>21</v>
      </c>
      <c r="AB25" s="6" t="s">
        <v>22</v>
      </c>
      <c r="AC25" s="6" t="s">
        <v>23</v>
      </c>
      <c r="AD25" s="6" t="s">
        <v>24</v>
      </c>
      <c r="AE25" s="6" t="s">
        <v>25</v>
      </c>
      <c r="AF25" s="7"/>
      <c r="AH25" s="28" t="str">
        <f>IF(LEN(AH24)=2,LEFT(AH24,1),"")</f>
        <v>A</v>
      </c>
      <c r="AI25" s="28" t="str">
        <f t="shared" ref="AI25:BG25" si="30">IF(LEN(AI24)=2,LEFT(AI24,1),"")</f>
        <v>B</v>
      </c>
      <c r="AJ25" s="28" t="str">
        <f t="shared" si="30"/>
        <v>C</v>
      </c>
      <c r="AK25" s="28" t="str">
        <f t="shared" si="30"/>
        <v>D</v>
      </c>
      <c r="AL25" s="28" t="str">
        <f t="shared" si="30"/>
        <v>E</v>
      </c>
      <c r="AM25" s="28" t="str">
        <f t="shared" si="30"/>
        <v>F</v>
      </c>
      <c r="AN25" s="28" t="str">
        <f t="shared" si="30"/>
        <v>G</v>
      </c>
      <c r="AO25" s="28" t="str">
        <f t="shared" si="30"/>
        <v>H</v>
      </c>
      <c r="AP25" s="28" t="str">
        <f t="shared" si="30"/>
        <v>I</v>
      </c>
      <c r="AQ25" s="28" t="str">
        <f t="shared" si="30"/>
        <v>J</v>
      </c>
      <c r="AR25" s="28" t="str">
        <f t="shared" si="30"/>
        <v>K</v>
      </c>
      <c r="AS25" s="28" t="str">
        <f t="shared" si="30"/>
        <v>L</v>
      </c>
      <c r="AT25" s="28" t="str">
        <f t="shared" si="30"/>
        <v>M</v>
      </c>
      <c r="AU25" s="28" t="str">
        <f t="shared" si="30"/>
        <v>N</v>
      </c>
      <c r="AV25" s="28" t="str">
        <f t="shared" si="30"/>
        <v>O</v>
      </c>
      <c r="AW25" s="28" t="str">
        <f t="shared" si="30"/>
        <v>P</v>
      </c>
      <c r="AX25" s="28" t="str">
        <f t="shared" si="30"/>
        <v>Q</v>
      </c>
      <c r="AY25" s="28" t="str">
        <f t="shared" si="30"/>
        <v>R</v>
      </c>
      <c r="AZ25" s="28" t="str">
        <f t="shared" si="30"/>
        <v>S</v>
      </c>
      <c r="BA25" s="28" t="str">
        <f t="shared" si="30"/>
        <v>T</v>
      </c>
      <c r="BB25" s="28" t="str">
        <f t="shared" si="30"/>
        <v>U</v>
      </c>
      <c r="BC25" s="28" t="str">
        <f t="shared" si="30"/>
        <v>V</v>
      </c>
      <c r="BD25" s="28" t="str">
        <f t="shared" si="30"/>
        <v>W</v>
      </c>
      <c r="BE25" s="28" t="str">
        <f t="shared" si="30"/>
        <v>X</v>
      </c>
      <c r="BF25" s="28" t="str">
        <f t="shared" si="30"/>
        <v>Y</v>
      </c>
      <c r="BG25" s="28" t="str">
        <f t="shared" si="30"/>
        <v>Z</v>
      </c>
    </row>
    <row r="26" spans="1:59" x14ac:dyDescent="0.35">
      <c r="B26" s="22"/>
      <c r="C26" s="8"/>
      <c r="F26" s="1">
        <f t="shared" ref="F26:AE26" si="31">IF(ISERROR(FIND(F25,$AF24)),0,1)</f>
        <v>1</v>
      </c>
      <c r="G26" s="1">
        <f t="shared" si="31"/>
        <v>1</v>
      </c>
      <c r="H26" s="1">
        <f t="shared" si="31"/>
        <v>1</v>
      </c>
      <c r="I26" s="1">
        <f t="shared" si="31"/>
        <v>1</v>
      </c>
      <c r="J26" s="1">
        <f t="shared" si="31"/>
        <v>1</v>
      </c>
      <c r="K26" s="1">
        <f t="shared" si="31"/>
        <v>1</v>
      </c>
      <c r="L26" s="1">
        <f t="shared" si="31"/>
        <v>1</v>
      </c>
      <c r="M26" s="1">
        <f t="shared" si="31"/>
        <v>1</v>
      </c>
      <c r="N26" s="1">
        <f t="shared" si="31"/>
        <v>1</v>
      </c>
      <c r="O26" s="1">
        <f t="shared" si="31"/>
        <v>1</v>
      </c>
      <c r="P26" s="1">
        <f t="shared" si="31"/>
        <v>1</v>
      </c>
      <c r="Q26" s="1">
        <f t="shared" si="31"/>
        <v>1</v>
      </c>
      <c r="R26" s="1">
        <f t="shared" si="31"/>
        <v>1</v>
      </c>
      <c r="S26" s="1">
        <f t="shared" si="31"/>
        <v>1</v>
      </c>
      <c r="T26" s="1">
        <f t="shared" si="31"/>
        <v>1</v>
      </c>
      <c r="U26" s="1">
        <f t="shared" si="31"/>
        <v>1</v>
      </c>
      <c r="V26" s="1">
        <f t="shared" si="31"/>
        <v>1</v>
      </c>
      <c r="W26" s="1">
        <f t="shared" si="31"/>
        <v>1</v>
      </c>
      <c r="X26" s="1">
        <f t="shared" si="31"/>
        <v>1</v>
      </c>
      <c r="Y26" s="1">
        <f t="shared" si="31"/>
        <v>1</v>
      </c>
      <c r="Z26" s="1">
        <f t="shared" si="31"/>
        <v>1</v>
      </c>
      <c r="AA26" s="1">
        <f t="shared" si="31"/>
        <v>1</v>
      </c>
      <c r="AB26" s="1">
        <f t="shared" si="31"/>
        <v>1</v>
      </c>
      <c r="AC26" s="1">
        <f t="shared" si="31"/>
        <v>1</v>
      </c>
      <c r="AD26" s="1">
        <f t="shared" si="31"/>
        <v>1</v>
      </c>
      <c r="AE26" s="1">
        <f t="shared" si="31"/>
        <v>1</v>
      </c>
      <c r="AF26" s="10"/>
      <c r="AH26" s="28" t="str">
        <f>IF(LEN(AH24)=2,RIGHT(AH24,1),"")</f>
        <v>Y</v>
      </c>
      <c r="AI26" s="28" t="str">
        <f t="shared" ref="AI26:BG26" si="32">IF(LEN(AI24)=2,RIGHT(AI24,1),"")</f>
        <v>R</v>
      </c>
      <c r="AJ26" s="28" t="str">
        <f t="shared" si="32"/>
        <v>U</v>
      </c>
      <c r="AK26" s="28" t="str">
        <f t="shared" si="32"/>
        <v>H</v>
      </c>
      <c r="AL26" s="28" t="str">
        <f t="shared" si="32"/>
        <v>Q</v>
      </c>
      <c r="AM26" s="28" t="str">
        <f t="shared" si="32"/>
        <v>S</v>
      </c>
      <c r="AN26" s="28" t="str">
        <f t="shared" si="32"/>
        <v>L</v>
      </c>
      <c r="AO26" s="28" t="str">
        <f t="shared" si="32"/>
        <v>D</v>
      </c>
      <c r="AP26" s="28" t="str">
        <f t="shared" si="32"/>
        <v>P</v>
      </c>
      <c r="AQ26" s="28" t="str">
        <f t="shared" si="32"/>
        <v>X</v>
      </c>
      <c r="AR26" s="28" t="str">
        <f t="shared" si="32"/>
        <v>N</v>
      </c>
      <c r="AS26" s="28" t="str">
        <f t="shared" si="32"/>
        <v>G</v>
      </c>
      <c r="AT26" s="28" t="str">
        <f t="shared" si="32"/>
        <v>O</v>
      </c>
      <c r="AU26" s="28" t="str">
        <f t="shared" si="32"/>
        <v>K</v>
      </c>
      <c r="AV26" s="28" t="str">
        <f t="shared" si="32"/>
        <v>M</v>
      </c>
      <c r="AW26" s="28" t="str">
        <f t="shared" si="32"/>
        <v>I</v>
      </c>
      <c r="AX26" s="28" t="str">
        <f t="shared" si="32"/>
        <v>E</v>
      </c>
      <c r="AY26" s="28" t="str">
        <f t="shared" si="32"/>
        <v>B</v>
      </c>
      <c r="AZ26" s="28" t="str">
        <f t="shared" si="32"/>
        <v>F</v>
      </c>
      <c r="BA26" s="28" t="str">
        <f t="shared" si="32"/>
        <v>Z</v>
      </c>
      <c r="BB26" s="28" t="str">
        <f t="shared" si="32"/>
        <v>C</v>
      </c>
      <c r="BC26" s="28" t="str">
        <f t="shared" si="32"/>
        <v>W</v>
      </c>
      <c r="BD26" s="28" t="str">
        <f t="shared" si="32"/>
        <v>V</v>
      </c>
      <c r="BE26" s="28" t="str">
        <f t="shared" si="32"/>
        <v>J</v>
      </c>
      <c r="BF26" s="28" t="str">
        <f t="shared" si="32"/>
        <v>A</v>
      </c>
      <c r="BG26" s="28" t="str">
        <f t="shared" si="32"/>
        <v>T</v>
      </c>
    </row>
    <row r="27" spans="1:59" x14ac:dyDescent="0.35">
      <c r="B27" s="22" t="s">
        <v>382</v>
      </c>
      <c r="C27" s="26" t="str">
        <f>"R"&amp;C18</f>
        <v>R1</v>
      </c>
      <c r="D27" s="11">
        <f>D18</f>
        <v>5</v>
      </c>
      <c r="E27" s="11">
        <f>E18</f>
        <v>5</v>
      </c>
      <c r="F27" s="12" t="str">
        <f>F18</f>
        <v>E</v>
      </c>
      <c r="G27" s="13" t="str">
        <f t="shared" ref="G27:AE27" si="33">VLOOKUP(F27,nNextLetter,2,FALSE)</f>
        <v>F</v>
      </c>
      <c r="H27" s="13" t="str">
        <f t="shared" si="33"/>
        <v>G</v>
      </c>
      <c r="I27" s="13" t="str">
        <f t="shared" si="33"/>
        <v>H</v>
      </c>
      <c r="J27" s="13" t="str">
        <f t="shared" si="33"/>
        <v>I</v>
      </c>
      <c r="K27" s="13" t="str">
        <f t="shared" si="33"/>
        <v>J</v>
      </c>
      <c r="L27" s="13" t="str">
        <f t="shared" si="33"/>
        <v>K</v>
      </c>
      <c r="M27" s="13" t="str">
        <f t="shared" si="33"/>
        <v>L</v>
      </c>
      <c r="N27" s="13" t="str">
        <f t="shared" si="33"/>
        <v>M</v>
      </c>
      <c r="O27" s="13" t="str">
        <f t="shared" si="33"/>
        <v>N</v>
      </c>
      <c r="P27" s="13" t="str">
        <f t="shared" si="33"/>
        <v>O</v>
      </c>
      <c r="Q27" s="13" t="str">
        <f t="shared" si="33"/>
        <v>P</v>
      </c>
      <c r="R27" s="13" t="str">
        <f t="shared" si="33"/>
        <v>Q</v>
      </c>
      <c r="S27" s="13" t="str">
        <f t="shared" si="33"/>
        <v>R</v>
      </c>
      <c r="T27" s="13" t="str">
        <f t="shared" si="33"/>
        <v>S</v>
      </c>
      <c r="U27" s="13" t="str">
        <f t="shared" si="33"/>
        <v>T</v>
      </c>
      <c r="V27" s="13" t="str">
        <f t="shared" si="33"/>
        <v>U</v>
      </c>
      <c r="W27" s="13" t="str">
        <f t="shared" si="33"/>
        <v>V</v>
      </c>
      <c r="X27" s="13" t="str">
        <f t="shared" si="33"/>
        <v>W</v>
      </c>
      <c r="Y27" s="13" t="str">
        <f t="shared" si="33"/>
        <v>X</v>
      </c>
      <c r="Z27" s="13" t="str">
        <f t="shared" si="33"/>
        <v>Y</v>
      </c>
      <c r="AA27" s="13" t="str">
        <f t="shared" si="33"/>
        <v>Z</v>
      </c>
      <c r="AB27" s="13" t="str">
        <f t="shared" si="33"/>
        <v>A</v>
      </c>
      <c r="AC27" s="13" t="str">
        <f t="shared" si="33"/>
        <v>B</v>
      </c>
      <c r="AD27" s="13" t="str">
        <f t="shared" si="33"/>
        <v>C</v>
      </c>
      <c r="AE27" s="13" t="str">
        <f t="shared" si="33"/>
        <v>D</v>
      </c>
      <c r="AF27" s="10"/>
    </row>
    <row r="28" spans="1:59" x14ac:dyDescent="0.35">
      <c r="B28" s="22"/>
      <c r="C28" s="8"/>
      <c r="E28" t="s">
        <v>386</v>
      </c>
      <c r="F28" s="14" t="str">
        <f t="shared" ref="F28:AE28" si="34">IF(F26=1,VLOOKUP(nCurPosL+nRingOffsetL+(CODE(F25)-nCharOffset)-1,nNum2Let,2,FALSE),"")</f>
        <v>E</v>
      </c>
      <c r="G28" s="14" t="str">
        <f t="shared" si="34"/>
        <v>F</v>
      </c>
      <c r="H28" s="14" t="str">
        <f t="shared" si="34"/>
        <v>G</v>
      </c>
      <c r="I28" s="14" t="str">
        <f t="shared" si="34"/>
        <v>H</v>
      </c>
      <c r="J28" s="14" t="str">
        <f t="shared" si="34"/>
        <v>I</v>
      </c>
      <c r="K28" s="14" t="str">
        <f t="shared" si="34"/>
        <v>J</v>
      </c>
      <c r="L28" s="14" t="str">
        <f t="shared" si="34"/>
        <v>K</v>
      </c>
      <c r="M28" s="14" t="str">
        <f t="shared" si="34"/>
        <v>L</v>
      </c>
      <c r="N28" s="14" t="str">
        <f t="shared" si="34"/>
        <v>M</v>
      </c>
      <c r="O28" s="14" t="str">
        <f t="shared" si="34"/>
        <v>N</v>
      </c>
      <c r="P28" s="14" t="str">
        <f t="shared" si="34"/>
        <v>O</v>
      </c>
      <c r="Q28" s="14" t="str">
        <f t="shared" si="34"/>
        <v>P</v>
      </c>
      <c r="R28" s="14" t="str">
        <f t="shared" si="34"/>
        <v>Q</v>
      </c>
      <c r="S28" s="14" t="str">
        <f t="shared" si="34"/>
        <v>R</v>
      </c>
      <c r="T28" s="14" t="str">
        <f t="shared" si="34"/>
        <v>S</v>
      </c>
      <c r="U28" s="14" t="str">
        <f t="shared" si="34"/>
        <v>T</v>
      </c>
      <c r="V28" s="14" t="str">
        <f t="shared" si="34"/>
        <v>U</v>
      </c>
      <c r="W28" s="14" t="str">
        <f t="shared" si="34"/>
        <v>V</v>
      </c>
      <c r="X28" s="14" t="str">
        <f t="shared" si="34"/>
        <v>W</v>
      </c>
      <c r="Y28" s="14" t="str">
        <f t="shared" si="34"/>
        <v>X</v>
      </c>
      <c r="Z28" s="14" t="str">
        <f t="shared" si="34"/>
        <v>Y</v>
      </c>
      <c r="AA28" s="14" t="str">
        <f t="shared" si="34"/>
        <v>Z</v>
      </c>
      <c r="AB28" s="14" t="str">
        <f t="shared" si="34"/>
        <v>A</v>
      </c>
      <c r="AC28" s="14" t="str">
        <f t="shared" si="34"/>
        <v>B</v>
      </c>
      <c r="AD28" s="14" t="str">
        <f t="shared" si="34"/>
        <v>C</v>
      </c>
      <c r="AE28" s="14" t="str">
        <f t="shared" si="34"/>
        <v>D</v>
      </c>
      <c r="AF28" s="10"/>
      <c r="AH28" s="28" t="str">
        <f t="shared" ref="AH28:BG28" si="35">IF(LEN(AH30)=2,LEFT(AH30,1),"")</f>
        <v>A</v>
      </c>
      <c r="AI28" s="28" t="str">
        <f t="shared" si="35"/>
        <v>B</v>
      </c>
      <c r="AJ28" s="28" t="str">
        <f t="shared" si="35"/>
        <v>C</v>
      </c>
      <c r="AK28" s="28" t="str">
        <f t="shared" si="35"/>
        <v>D</v>
      </c>
      <c r="AL28" s="28" t="str">
        <f t="shared" si="35"/>
        <v>E</v>
      </c>
      <c r="AM28" s="28" t="str">
        <f t="shared" si="35"/>
        <v>F</v>
      </c>
      <c r="AN28" s="28" t="str">
        <f t="shared" si="35"/>
        <v>G</v>
      </c>
      <c r="AO28" s="28" t="str">
        <f t="shared" si="35"/>
        <v>H</v>
      </c>
      <c r="AP28" s="28" t="str">
        <f t="shared" si="35"/>
        <v>I</v>
      </c>
      <c r="AQ28" s="28" t="str">
        <f t="shared" si="35"/>
        <v>J</v>
      </c>
      <c r="AR28" s="28" t="str">
        <f t="shared" si="35"/>
        <v>K</v>
      </c>
      <c r="AS28" s="28" t="str">
        <f t="shared" si="35"/>
        <v>L</v>
      </c>
      <c r="AT28" s="28" t="str">
        <f t="shared" si="35"/>
        <v>M</v>
      </c>
      <c r="AU28" s="28" t="str">
        <f t="shared" si="35"/>
        <v>N</v>
      </c>
      <c r="AV28" s="28" t="str">
        <f t="shared" si="35"/>
        <v>O</v>
      </c>
      <c r="AW28" s="28" t="str">
        <f t="shared" si="35"/>
        <v>P</v>
      </c>
      <c r="AX28" s="28" t="str">
        <f t="shared" si="35"/>
        <v>Q</v>
      </c>
      <c r="AY28" s="28" t="str">
        <f t="shared" si="35"/>
        <v>R</v>
      </c>
      <c r="AZ28" s="28" t="str">
        <f t="shared" si="35"/>
        <v>S</v>
      </c>
      <c r="BA28" s="28" t="str">
        <f t="shared" si="35"/>
        <v>T</v>
      </c>
      <c r="BB28" s="28" t="str">
        <f t="shared" si="35"/>
        <v>U</v>
      </c>
      <c r="BC28" s="28" t="str">
        <f t="shared" si="35"/>
        <v>V</v>
      </c>
      <c r="BD28" s="28" t="str">
        <f t="shared" si="35"/>
        <v>W</v>
      </c>
      <c r="BE28" s="28" t="str">
        <f t="shared" si="35"/>
        <v>X</v>
      </c>
      <c r="BF28" s="28" t="str">
        <f t="shared" si="35"/>
        <v>Y</v>
      </c>
      <c r="BG28" s="28" t="str">
        <f t="shared" si="35"/>
        <v>Z</v>
      </c>
    </row>
    <row r="29" spans="1:59" x14ac:dyDescent="0.35">
      <c r="B29" s="22"/>
      <c r="C29" s="8"/>
      <c r="E29" t="s">
        <v>387</v>
      </c>
      <c r="F29" s="15" t="str">
        <f t="shared" ref="F29:AE29" si="36">IF(F26=1,VLOOKUP(nRotorL_Rev&amp;F28,nRotorRev,4,FALSE),"")</f>
        <v>A</v>
      </c>
      <c r="G29" s="15" t="str">
        <f t="shared" si="36"/>
        <v>D</v>
      </c>
      <c r="H29" s="15" t="str">
        <f t="shared" si="36"/>
        <v>F</v>
      </c>
      <c r="I29" s="15" t="str">
        <f t="shared" si="36"/>
        <v>P</v>
      </c>
      <c r="J29" s="15" t="str">
        <f t="shared" si="36"/>
        <v>V</v>
      </c>
      <c r="K29" s="15" t="str">
        <f t="shared" si="36"/>
        <v>Z</v>
      </c>
      <c r="L29" s="15" t="str">
        <f t="shared" si="36"/>
        <v>B</v>
      </c>
      <c r="M29" s="15" t="str">
        <f t="shared" si="36"/>
        <v>E</v>
      </c>
      <c r="N29" s="15" t="str">
        <f t="shared" si="36"/>
        <v>C</v>
      </c>
      <c r="O29" s="15" t="str">
        <f t="shared" si="36"/>
        <v>K</v>
      </c>
      <c r="P29" s="15" t="str">
        <f t="shared" si="36"/>
        <v>M</v>
      </c>
      <c r="Q29" s="15" t="str">
        <f t="shared" si="36"/>
        <v>T</v>
      </c>
      <c r="R29" s="15" t="str">
        <f t="shared" si="36"/>
        <v>H</v>
      </c>
      <c r="S29" s="15" t="str">
        <f t="shared" si="36"/>
        <v>X</v>
      </c>
      <c r="T29" s="15" t="str">
        <f t="shared" si="36"/>
        <v>S</v>
      </c>
      <c r="U29" s="15" t="str">
        <f t="shared" si="36"/>
        <v>L</v>
      </c>
      <c r="V29" s="15" t="str">
        <f t="shared" si="36"/>
        <v>R</v>
      </c>
      <c r="W29" s="15" t="str">
        <f t="shared" si="36"/>
        <v>I</v>
      </c>
      <c r="X29" s="15" t="str">
        <f t="shared" si="36"/>
        <v>N</v>
      </c>
      <c r="Y29" s="15" t="str">
        <f t="shared" si="36"/>
        <v>Q</v>
      </c>
      <c r="Z29" s="15" t="str">
        <f t="shared" si="36"/>
        <v>O</v>
      </c>
      <c r="AA29" s="15" t="str">
        <f t="shared" si="36"/>
        <v>J</v>
      </c>
      <c r="AB29" s="15" t="str">
        <f t="shared" si="36"/>
        <v>U</v>
      </c>
      <c r="AC29" s="15" t="str">
        <f t="shared" si="36"/>
        <v>W</v>
      </c>
      <c r="AD29" s="15" t="str">
        <f t="shared" si="36"/>
        <v>Y</v>
      </c>
      <c r="AE29" s="15" t="str">
        <f t="shared" si="36"/>
        <v>G</v>
      </c>
      <c r="AF29" s="10"/>
      <c r="AH29" s="28" t="str">
        <f t="shared" ref="AH29:BG29" si="37">IF(LEN(AH30)=2,RIGHT(AH30,1),"")</f>
        <v>W</v>
      </c>
      <c r="AI29" s="28" t="str">
        <f t="shared" si="37"/>
        <v>Z</v>
      </c>
      <c r="AJ29" s="28" t="str">
        <f t="shared" si="37"/>
        <v>B</v>
      </c>
      <c r="AK29" s="28" t="str">
        <f t="shared" si="37"/>
        <v>L</v>
      </c>
      <c r="AL29" s="28" t="str">
        <f t="shared" si="37"/>
        <v>R</v>
      </c>
      <c r="AM29" s="28" t="str">
        <f t="shared" si="37"/>
        <v>V</v>
      </c>
      <c r="AN29" s="28" t="str">
        <f t="shared" si="37"/>
        <v>X</v>
      </c>
      <c r="AO29" s="28" t="str">
        <f t="shared" si="37"/>
        <v>A</v>
      </c>
      <c r="AP29" s="28" t="str">
        <f t="shared" si="37"/>
        <v>Y</v>
      </c>
      <c r="AQ29" s="28" t="str">
        <f t="shared" si="37"/>
        <v>G</v>
      </c>
      <c r="AR29" s="28" t="str">
        <f t="shared" si="37"/>
        <v>I</v>
      </c>
      <c r="AS29" s="28" t="str">
        <f t="shared" si="37"/>
        <v>P</v>
      </c>
      <c r="AT29" s="28" t="str">
        <f t="shared" si="37"/>
        <v>D</v>
      </c>
      <c r="AU29" s="28" t="str">
        <f t="shared" si="37"/>
        <v>T</v>
      </c>
      <c r="AV29" s="28" t="str">
        <f t="shared" si="37"/>
        <v>O</v>
      </c>
      <c r="AW29" s="28" t="str">
        <f t="shared" si="37"/>
        <v>H</v>
      </c>
      <c r="AX29" s="28" t="str">
        <f t="shared" si="37"/>
        <v>N</v>
      </c>
      <c r="AY29" s="28" t="str">
        <f t="shared" si="37"/>
        <v>E</v>
      </c>
      <c r="AZ29" s="28" t="str">
        <f t="shared" si="37"/>
        <v>J</v>
      </c>
      <c r="BA29" s="28" t="str">
        <f t="shared" si="37"/>
        <v>M</v>
      </c>
      <c r="BB29" s="28" t="str">
        <f t="shared" si="37"/>
        <v>K</v>
      </c>
      <c r="BC29" s="28" t="str">
        <f t="shared" si="37"/>
        <v>F</v>
      </c>
      <c r="BD29" s="28" t="str">
        <f t="shared" si="37"/>
        <v>Q</v>
      </c>
      <c r="BE29" s="28" t="str">
        <f t="shared" si="37"/>
        <v>S</v>
      </c>
      <c r="BF29" s="28" t="str">
        <f t="shared" si="37"/>
        <v>U</v>
      </c>
      <c r="BG29" s="28" t="str">
        <f t="shared" si="37"/>
        <v>C</v>
      </c>
    </row>
    <row r="30" spans="1:59" ht="15" thickBot="1" x14ac:dyDescent="0.4">
      <c r="B30" s="23"/>
      <c r="C30" s="16"/>
      <c r="D30" s="17"/>
      <c r="E30" s="17" t="s">
        <v>388</v>
      </c>
      <c r="F30" s="18" t="str">
        <f t="shared" ref="F30:AE30" si="38">IF(F26=1,IF(CODE(F29)-CODE(F28)&lt;0,VLOOKUP((CODE(F29)-CODE(F28)+26)+(CODE(F25)-nCharOffset),nNum2Let,2,FALSE),VLOOKUP((CODE(F29)-CODE(F28))+(CODE(F25)-nCharOffset),nNum2Let,2,FALSE)),"")</f>
        <v>W</v>
      </c>
      <c r="G30" s="18" t="str">
        <f t="shared" si="38"/>
        <v>Z</v>
      </c>
      <c r="H30" s="18" t="str">
        <f t="shared" si="38"/>
        <v>B</v>
      </c>
      <c r="I30" s="18" t="str">
        <f t="shared" si="38"/>
        <v>L</v>
      </c>
      <c r="J30" s="18" t="str">
        <f t="shared" si="38"/>
        <v>R</v>
      </c>
      <c r="K30" s="18" t="str">
        <f t="shared" si="38"/>
        <v>V</v>
      </c>
      <c r="L30" s="18" t="str">
        <f t="shared" si="38"/>
        <v>X</v>
      </c>
      <c r="M30" s="18" t="str">
        <f t="shared" si="38"/>
        <v>A</v>
      </c>
      <c r="N30" s="18" t="str">
        <f t="shared" si="38"/>
        <v>Y</v>
      </c>
      <c r="O30" s="18" t="str">
        <f t="shared" si="38"/>
        <v>G</v>
      </c>
      <c r="P30" s="18" t="str">
        <f t="shared" si="38"/>
        <v>I</v>
      </c>
      <c r="Q30" s="18" t="str">
        <f t="shared" si="38"/>
        <v>P</v>
      </c>
      <c r="R30" s="18" t="str">
        <f t="shared" si="38"/>
        <v>D</v>
      </c>
      <c r="S30" s="18" t="str">
        <f t="shared" si="38"/>
        <v>T</v>
      </c>
      <c r="T30" s="18" t="str">
        <f t="shared" si="38"/>
        <v>O</v>
      </c>
      <c r="U30" s="18" t="str">
        <f t="shared" si="38"/>
        <v>H</v>
      </c>
      <c r="V30" s="18" t="str">
        <f t="shared" si="38"/>
        <v>N</v>
      </c>
      <c r="W30" s="18" t="str">
        <f t="shared" si="38"/>
        <v>E</v>
      </c>
      <c r="X30" s="18" t="str">
        <f t="shared" si="38"/>
        <v>J</v>
      </c>
      <c r="Y30" s="18" t="str">
        <f t="shared" si="38"/>
        <v>M</v>
      </c>
      <c r="Z30" s="18" t="str">
        <f t="shared" si="38"/>
        <v>K</v>
      </c>
      <c r="AA30" s="18" t="str">
        <f t="shared" si="38"/>
        <v>F</v>
      </c>
      <c r="AB30" s="18" t="str">
        <f t="shared" si="38"/>
        <v>Q</v>
      </c>
      <c r="AC30" s="18" t="str">
        <f t="shared" si="38"/>
        <v>S</v>
      </c>
      <c r="AD30" s="18" t="str">
        <f t="shared" si="38"/>
        <v>U</v>
      </c>
      <c r="AE30" s="18" t="str">
        <f t="shared" si="38"/>
        <v>C</v>
      </c>
      <c r="AF30" s="19" t="str">
        <f>CONCATENATE(F30,G30,H30,I30,J30,K30,L30,M30,N30,O30,P30,Q30,R30,S30,T30&amp;U30,V30,W30,X30,Y30,Z30,AA30,AB30,AC30,AD30,AE30)</f>
        <v>WZBLRVXAYGIPDTOHNEJMKFQSUC</v>
      </c>
      <c r="AH30" s="12" t="str">
        <f>F25&amp;F30</f>
        <v>AW</v>
      </c>
      <c r="AI30" s="12" t="str">
        <f t="shared" ref="AI30:BG30" si="39">G25&amp;G30</f>
        <v>BZ</v>
      </c>
      <c r="AJ30" s="12" t="str">
        <f t="shared" si="39"/>
        <v>CB</v>
      </c>
      <c r="AK30" s="12" t="str">
        <f t="shared" si="39"/>
        <v>DL</v>
      </c>
      <c r="AL30" s="12" t="str">
        <f t="shared" si="39"/>
        <v>ER</v>
      </c>
      <c r="AM30" s="12" t="str">
        <f t="shared" si="39"/>
        <v>FV</v>
      </c>
      <c r="AN30" s="12" t="str">
        <f t="shared" si="39"/>
        <v>GX</v>
      </c>
      <c r="AO30" s="12" t="str">
        <f t="shared" si="39"/>
        <v>HA</v>
      </c>
      <c r="AP30" s="12" t="str">
        <f t="shared" si="39"/>
        <v>IY</v>
      </c>
      <c r="AQ30" s="12" t="str">
        <f t="shared" si="39"/>
        <v>JG</v>
      </c>
      <c r="AR30" s="12" t="str">
        <f t="shared" si="39"/>
        <v>KI</v>
      </c>
      <c r="AS30" s="12" t="str">
        <f t="shared" si="39"/>
        <v>LP</v>
      </c>
      <c r="AT30" s="12" t="str">
        <f t="shared" si="39"/>
        <v>MD</v>
      </c>
      <c r="AU30" s="12" t="str">
        <f t="shared" si="39"/>
        <v>NT</v>
      </c>
      <c r="AV30" s="12" t="str">
        <f t="shared" si="39"/>
        <v>OO</v>
      </c>
      <c r="AW30" s="12" t="str">
        <f t="shared" si="39"/>
        <v>PH</v>
      </c>
      <c r="AX30" s="12" t="str">
        <f t="shared" si="39"/>
        <v>QN</v>
      </c>
      <c r="AY30" s="12" t="str">
        <f t="shared" si="39"/>
        <v>RE</v>
      </c>
      <c r="AZ30" s="12" t="str">
        <f t="shared" si="39"/>
        <v>SJ</v>
      </c>
      <c r="BA30" s="12" t="str">
        <f t="shared" si="39"/>
        <v>TM</v>
      </c>
      <c r="BB30" s="12" t="str">
        <f t="shared" si="39"/>
        <v>UK</v>
      </c>
      <c r="BC30" s="12" t="str">
        <f t="shared" si="39"/>
        <v>VF</v>
      </c>
      <c r="BD30" s="12" t="str">
        <f t="shared" si="39"/>
        <v>WQ</v>
      </c>
      <c r="BE30" s="12" t="str">
        <f t="shared" si="39"/>
        <v>XS</v>
      </c>
      <c r="BF30" s="12" t="str">
        <f t="shared" si="39"/>
        <v>YU</v>
      </c>
      <c r="BG30" s="12" t="str">
        <f t="shared" si="39"/>
        <v>ZC</v>
      </c>
    </row>
    <row r="31" spans="1:59" x14ac:dyDescent="0.35">
      <c r="B31" s="21"/>
      <c r="C31" s="4"/>
      <c r="D31" s="5"/>
      <c r="E31" s="5" t="s">
        <v>385</v>
      </c>
      <c r="F31" s="6" t="s">
        <v>0</v>
      </c>
      <c r="G31" s="6" t="s">
        <v>1</v>
      </c>
      <c r="H31" s="6" t="s">
        <v>2</v>
      </c>
      <c r="I31" s="6" t="s">
        <v>3</v>
      </c>
      <c r="J31" s="6" t="s">
        <v>4</v>
      </c>
      <c r="K31" s="6" t="s">
        <v>5</v>
      </c>
      <c r="L31" s="6" t="s">
        <v>6</v>
      </c>
      <c r="M31" s="6" t="s">
        <v>7</v>
      </c>
      <c r="N31" s="6" t="s">
        <v>8</v>
      </c>
      <c r="O31" s="6" t="s">
        <v>9</v>
      </c>
      <c r="P31" s="6" t="s">
        <v>10</v>
      </c>
      <c r="Q31" s="6" t="s">
        <v>11</v>
      </c>
      <c r="R31" s="6" t="s">
        <v>12</v>
      </c>
      <c r="S31" s="6" t="s">
        <v>13</v>
      </c>
      <c r="T31" s="6" t="s">
        <v>14</v>
      </c>
      <c r="U31" s="6" t="s">
        <v>15</v>
      </c>
      <c r="V31" s="6" t="s">
        <v>16</v>
      </c>
      <c r="W31" s="6" t="s">
        <v>17</v>
      </c>
      <c r="X31" s="6" t="s">
        <v>18</v>
      </c>
      <c r="Y31" s="6" t="s">
        <v>19</v>
      </c>
      <c r="Z31" s="6" t="s">
        <v>20</v>
      </c>
      <c r="AA31" s="6" t="s">
        <v>21</v>
      </c>
      <c r="AB31" s="6" t="s">
        <v>22</v>
      </c>
      <c r="AC31" s="6" t="s">
        <v>23</v>
      </c>
      <c r="AD31" s="6" t="s">
        <v>24</v>
      </c>
      <c r="AE31" s="6" t="s">
        <v>25</v>
      </c>
      <c r="AF31" s="7"/>
      <c r="AH31" s="28" t="str">
        <f>HLOOKUP(AH23,$AH28:$BG29,2,FALSE)</f>
        <v>Q</v>
      </c>
      <c r="AI31" s="28" t="str">
        <f>HLOOKUP(AI23,$AH28:$BG29,2,FALSE)</f>
        <v>O</v>
      </c>
      <c r="AJ31" s="28" t="str">
        <f t="shared" ref="AJ31:BG31" si="40">HLOOKUP(AJ23,$AH28:$BG29,2,FALSE)</f>
        <v>T</v>
      </c>
      <c r="AK31" s="28" t="str">
        <f t="shared" si="40"/>
        <v>C</v>
      </c>
      <c r="AL31" s="28" t="str">
        <f t="shared" si="40"/>
        <v>K</v>
      </c>
      <c r="AM31" s="28" t="str">
        <f t="shared" si="40"/>
        <v>W</v>
      </c>
      <c r="AN31" s="28" t="str">
        <f t="shared" si="40"/>
        <v>A</v>
      </c>
      <c r="AO31" s="28" t="str">
        <f t="shared" si="40"/>
        <v>H</v>
      </c>
      <c r="AP31" s="28" t="str">
        <f t="shared" si="40"/>
        <v>N</v>
      </c>
      <c r="AQ31" s="28" t="str">
        <f t="shared" si="40"/>
        <v>D</v>
      </c>
      <c r="AR31" s="28" t="str">
        <f t="shared" si="40"/>
        <v>R</v>
      </c>
      <c r="AS31" s="28" t="str">
        <f t="shared" si="40"/>
        <v>P</v>
      </c>
      <c r="AT31" s="28" t="str">
        <f t="shared" si="40"/>
        <v>L</v>
      </c>
      <c r="AU31" s="28" t="str">
        <f t="shared" si="40"/>
        <v>F</v>
      </c>
      <c r="AV31" s="28" t="str">
        <f t="shared" si="40"/>
        <v>G</v>
      </c>
      <c r="AW31" s="28" t="str">
        <f t="shared" si="40"/>
        <v>V</v>
      </c>
      <c r="AX31" s="28" t="str">
        <f t="shared" si="40"/>
        <v>X</v>
      </c>
      <c r="AY31" s="28" t="str">
        <f t="shared" si="40"/>
        <v>I</v>
      </c>
      <c r="AZ31" s="28" t="str">
        <f t="shared" si="40"/>
        <v>M</v>
      </c>
      <c r="BA31" s="28" t="str">
        <f t="shared" si="40"/>
        <v>Z</v>
      </c>
      <c r="BB31" s="28" t="str">
        <f t="shared" si="40"/>
        <v>E</v>
      </c>
      <c r="BC31" s="28" t="str">
        <f t="shared" si="40"/>
        <v>U</v>
      </c>
      <c r="BD31" s="28" t="str">
        <f t="shared" si="40"/>
        <v>Y</v>
      </c>
      <c r="BE31" s="28" t="str">
        <f t="shared" si="40"/>
        <v>B</v>
      </c>
      <c r="BF31" s="28" t="str">
        <f t="shared" si="40"/>
        <v>S</v>
      </c>
      <c r="BG31" s="28" t="str">
        <f t="shared" si="40"/>
        <v>J</v>
      </c>
    </row>
    <row r="32" spans="1:59" x14ac:dyDescent="0.35">
      <c r="B32" s="22"/>
      <c r="C32" s="8"/>
      <c r="F32" s="1">
        <f>IF(ISERROR(FIND(F31,$AF30)),0,1)</f>
        <v>1</v>
      </c>
      <c r="G32" s="1">
        <f t="shared" ref="G32:AE32" si="41">IF(ISERROR(FIND(G31,$AF30)),0,1)</f>
        <v>1</v>
      </c>
      <c r="H32" s="1">
        <f t="shared" si="41"/>
        <v>1</v>
      </c>
      <c r="I32" s="1">
        <f t="shared" si="41"/>
        <v>1</v>
      </c>
      <c r="J32" s="1">
        <f t="shared" si="41"/>
        <v>1</v>
      </c>
      <c r="K32" s="1">
        <f t="shared" si="41"/>
        <v>1</v>
      </c>
      <c r="L32" s="1">
        <f t="shared" si="41"/>
        <v>1</v>
      </c>
      <c r="M32" s="1">
        <f t="shared" si="41"/>
        <v>1</v>
      </c>
      <c r="N32" s="1">
        <f t="shared" si="41"/>
        <v>1</v>
      </c>
      <c r="O32" s="1">
        <f t="shared" si="41"/>
        <v>1</v>
      </c>
      <c r="P32" s="1">
        <f t="shared" si="41"/>
        <v>1</v>
      </c>
      <c r="Q32" s="1">
        <f t="shared" si="41"/>
        <v>1</v>
      </c>
      <c r="R32" s="1">
        <f t="shared" si="41"/>
        <v>1</v>
      </c>
      <c r="S32" s="1">
        <f t="shared" si="41"/>
        <v>1</v>
      </c>
      <c r="T32" s="1">
        <f t="shared" si="41"/>
        <v>1</v>
      </c>
      <c r="U32" s="1">
        <f t="shared" si="41"/>
        <v>1</v>
      </c>
      <c r="V32" s="1">
        <f t="shared" si="41"/>
        <v>1</v>
      </c>
      <c r="W32" s="1">
        <f t="shared" si="41"/>
        <v>1</v>
      </c>
      <c r="X32" s="1">
        <f t="shared" si="41"/>
        <v>1</v>
      </c>
      <c r="Y32" s="1">
        <f t="shared" si="41"/>
        <v>1</v>
      </c>
      <c r="Z32" s="1">
        <f t="shared" si="41"/>
        <v>1</v>
      </c>
      <c r="AA32" s="1">
        <f t="shared" si="41"/>
        <v>1</v>
      </c>
      <c r="AB32" s="1">
        <f t="shared" si="41"/>
        <v>1</v>
      </c>
      <c r="AC32" s="1">
        <f t="shared" si="41"/>
        <v>1</v>
      </c>
      <c r="AD32" s="1">
        <f t="shared" si="41"/>
        <v>1</v>
      </c>
      <c r="AE32" s="1">
        <f t="shared" si="41"/>
        <v>1</v>
      </c>
      <c r="AF32" s="10"/>
    </row>
    <row r="33" spans="2:59" x14ac:dyDescent="0.35">
      <c r="B33" s="22" t="s">
        <v>383</v>
      </c>
      <c r="C33" s="26" t="str">
        <f>"R"&amp;C12</f>
        <v>R4</v>
      </c>
      <c r="D33" s="11">
        <f>D12</f>
        <v>142</v>
      </c>
      <c r="E33" s="11">
        <f>E12</f>
        <v>12</v>
      </c>
      <c r="F33" s="12" t="str">
        <f>F12</f>
        <v>L</v>
      </c>
      <c r="G33" s="13" t="str">
        <f t="shared" ref="G33:AE33" si="42">VLOOKUP(F33,nNextLetter,2,FALSE)</f>
        <v>M</v>
      </c>
      <c r="H33" s="13" t="str">
        <f t="shared" si="42"/>
        <v>N</v>
      </c>
      <c r="I33" s="13" t="str">
        <f t="shared" si="42"/>
        <v>O</v>
      </c>
      <c r="J33" s="13" t="str">
        <f t="shared" si="42"/>
        <v>P</v>
      </c>
      <c r="K33" s="13" t="str">
        <f t="shared" si="42"/>
        <v>Q</v>
      </c>
      <c r="L33" s="13" t="str">
        <f t="shared" si="42"/>
        <v>R</v>
      </c>
      <c r="M33" s="13" t="str">
        <f t="shared" si="42"/>
        <v>S</v>
      </c>
      <c r="N33" s="13" t="str">
        <f t="shared" si="42"/>
        <v>T</v>
      </c>
      <c r="O33" s="13" t="str">
        <f t="shared" si="42"/>
        <v>U</v>
      </c>
      <c r="P33" s="13" t="str">
        <f t="shared" si="42"/>
        <v>V</v>
      </c>
      <c r="Q33" s="13" t="str">
        <f t="shared" si="42"/>
        <v>W</v>
      </c>
      <c r="R33" s="13" t="str">
        <f t="shared" si="42"/>
        <v>X</v>
      </c>
      <c r="S33" s="13" t="str">
        <f t="shared" si="42"/>
        <v>Y</v>
      </c>
      <c r="T33" s="13" t="str">
        <f t="shared" si="42"/>
        <v>Z</v>
      </c>
      <c r="U33" s="13" t="str">
        <f t="shared" si="42"/>
        <v>A</v>
      </c>
      <c r="V33" s="13" t="str">
        <f t="shared" si="42"/>
        <v>B</v>
      </c>
      <c r="W33" s="13" t="str">
        <f t="shared" si="42"/>
        <v>C</v>
      </c>
      <c r="X33" s="13" t="str">
        <f t="shared" si="42"/>
        <v>D</v>
      </c>
      <c r="Y33" s="13" t="str">
        <f t="shared" si="42"/>
        <v>E</v>
      </c>
      <c r="Z33" s="13" t="str">
        <f t="shared" si="42"/>
        <v>F</v>
      </c>
      <c r="AA33" s="13" t="str">
        <f t="shared" si="42"/>
        <v>G</v>
      </c>
      <c r="AB33" s="13" t="str">
        <f t="shared" si="42"/>
        <v>H</v>
      </c>
      <c r="AC33" s="13" t="str">
        <f t="shared" si="42"/>
        <v>I</v>
      </c>
      <c r="AD33" s="13" t="str">
        <f t="shared" si="42"/>
        <v>J</v>
      </c>
      <c r="AE33" s="13" t="str">
        <f t="shared" si="42"/>
        <v>K</v>
      </c>
      <c r="AF33" s="10"/>
    </row>
    <row r="34" spans="2:59" x14ac:dyDescent="0.35">
      <c r="B34" s="22"/>
      <c r="C34" s="8"/>
      <c r="E34" t="s">
        <v>386</v>
      </c>
      <c r="F34" s="14" t="str">
        <f t="shared" ref="F34:AE34" si="43">IF(F32=1,VLOOKUP(nCurPosM+nRingOffsetM+(CODE(F31)-nCharOffset)-1,nNum2Let,2,FALSE),"")</f>
        <v>L</v>
      </c>
      <c r="G34" s="14" t="str">
        <f t="shared" si="43"/>
        <v>M</v>
      </c>
      <c r="H34" s="14" t="str">
        <f t="shared" si="43"/>
        <v>N</v>
      </c>
      <c r="I34" s="14" t="str">
        <f t="shared" si="43"/>
        <v>O</v>
      </c>
      <c r="J34" s="14" t="str">
        <f t="shared" si="43"/>
        <v>P</v>
      </c>
      <c r="K34" s="14" t="str">
        <f t="shared" si="43"/>
        <v>Q</v>
      </c>
      <c r="L34" s="14" t="str">
        <f t="shared" si="43"/>
        <v>R</v>
      </c>
      <c r="M34" s="14" t="str">
        <f t="shared" si="43"/>
        <v>S</v>
      </c>
      <c r="N34" s="14" t="str">
        <f t="shared" si="43"/>
        <v>T</v>
      </c>
      <c r="O34" s="14" t="str">
        <f t="shared" si="43"/>
        <v>U</v>
      </c>
      <c r="P34" s="14" t="str">
        <f t="shared" si="43"/>
        <v>V</v>
      </c>
      <c r="Q34" s="14" t="str">
        <f t="shared" si="43"/>
        <v>W</v>
      </c>
      <c r="R34" s="14" t="str">
        <f t="shared" si="43"/>
        <v>X</v>
      </c>
      <c r="S34" s="14" t="str">
        <f t="shared" si="43"/>
        <v>Y</v>
      </c>
      <c r="T34" s="14" t="str">
        <f t="shared" si="43"/>
        <v>Z</v>
      </c>
      <c r="U34" s="14" t="str">
        <f t="shared" si="43"/>
        <v>A</v>
      </c>
      <c r="V34" s="14" t="str">
        <f t="shared" si="43"/>
        <v>B</v>
      </c>
      <c r="W34" s="14" t="str">
        <f t="shared" si="43"/>
        <v>C</v>
      </c>
      <c r="X34" s="14" t="str">
        <f t="shared" si="43"/>
        <v>D</v>
      </c>
      <c r="Y34" s="14" t="str">
        <f t="shared" si="43"/>
        <v>E</v>
      </c>
      <c r="Z34" s="14" t="str">
        <f t="shared" si="43"/>
        <v>F</v>
      </c>
      <c r="AA34" s="14" t="str">
        <f t="shared" si="43"/>
        <v>G</v>
      </c>
      <c r="AB34" s="14" t="str">
        <f t="shared" si="43"/>
        <v>H</v>
      </c>
      <c r="AC34" s="14" t="str">
        <f t="shared" si="43"/>
        <v>I</v>
      </c>
      <c r="AD34" s="14" t="str">
        <f t="shared" si="43"/>
        <v>J</v>
      </c>
      <c r="AE34" s="14" t="str">
        <f t="shared" si="43"/>
        <v>K</v>
      </c>
      <c r="AF34" s="10"/>
      <c r="AH34" s="28" t="str">
        <f t="shared" ref="AH34:BG34" si="44">IF(LEN(AH36)=2,LEFT(AH36,1),"")</f>
        <v>A</v>
      </c>
      <c r="AI34" s="28" t="str">
        <f t="shared" si="44"/>
        <v>B</v>
      </c>
      <c r="AJ34" s="28" t="str">
        <f t="shared" si="44"/>
        <v>C</v>
      </c>
      <c r="AK34" s="28" t="str">
        <f t="shared" si="44"/>
        <v>D</v>
      </c>
      <c r="AL34" s="28" t="str">
        <f t="shared" si="44"/>
        <v>E</v>
      </c>
      <c r="AM34" s="28" t="str">
        <f t="shared" si="44"/>
        <v>F</v>
      </c>
      <c r="AN34" s="28" t="str">
        <f t="shared" si="44"/>
        <v>G</v>
      </c>
      <c r="AO34" s="28" t="str">
        <f t="shared" si="44"/>
        <v>H</v>
      </c>
      <c r="AP34" s="28" t="str">
        <f t="shared" si="44"/>
        <v>I</v>
      </c>
      <c r="AQ34" s="28" t="str">
        <f t="shared" si="44"/>
        <v>J</v>
      </c>
      <c r="AR34" s="28" t="str">
        <f t="shared" si="44"/>
        <v>K</v>
      </c>
      <c r="AS34" s="28" t="str">
        <f t="shared" si="44"/>
        <v>L</v>
      </c>
      <c r="AT34" s="28" t="str">
        <f t="shared" si="44"/>
        <v>M</v>
      </c>
      <c r="AU34" s="28" t="str">
        <f t="shared" si="44"/>
        <v>N</v>
      </c>
      <c r="AV34" s="28" t="str">
        <f t="shared" si="44"/>
        <v>O</v>
      </c>
      <c r="AW34" s="28" t="str">
        <f t="shared" si="44"/>
        <v>P</v>
      </c>
      <c r="AX34" s="28" t="str">
        <f t="shared" si="44"/>
        <v>Q</v>
      </c>
      <c r="AY34" s="28" t="str">
        <f t="shared" si="44"/>
        <v>R</v>
      </c>
      <c r="AZ34" s="28" t="str">
        <f t="shared" si="44"/>
        <v>S</v>
      </c>
      <c r="BA34" s="28" t="str">
        <f t="shared" si="44"/>
        <v>T</v>
      </c>
      <c r="BB34" s="28" t="str">
        <f t="shared" si="44"/>
        <v>U</v>
      </c>
      <c r="BC34" s="28" t="str">
        <f t="shared" si="44"/>
        <v>V</v>
      </c>
      <c r="BD34" s="28" t="str">
        <f t="shared" si="44"/>
        <v>W</v>
      </c>
      <c r="BE34" s="28" t="str">
        <f t="shared" si="44"/>
        <v>X</v>
      </c>
      <c r="BF34" s="28" t="str">
        <f t="shared" si="44"/>
        <v>Y</v>
      </c>
      <c r="BG34" s="28" t="str">
        <f t="shared" si="44"/>
        <v>Z</v>
      </c>
    </row>
    <row r="35" spans="2:59" x14ac:dyDescent="0.35">
      <c r="B35" s="22"/>
      <c r="C35" s="8"/>
      <c r="E35" t="s">
        <v>387</v>
      </c>
      <c r="F35" s="15" t="str">
        <f t="shared" ref="F35:AE35" si="45">IF(F32=1,VLOOKUP(nRotorM_Rev&amp;F34,nRotorRev,4,FALSE),"")</f>
        <v>P</v>
      </c>
      <c r="G35" s="15" t="str">
        <f t="shared" si="45"/>
        <v>X</v>
      </c>
      <c r="H35" s="15" t="str">
        <f t="shared" si="45"/>
        <v>Q</v>
      </c>
      <c r="I35" s="15" t="str">
        <f t="shared" si="45"/>
        <v>C</v>
      </c>
      <c r="J35" s="15" t="str">
        <f t="shared" si="45"/>
        <v>E</v>
      </c>
      <c r="K35" s="15" t="str">
        <f t="shared" si="45"/>
        <v>J</v>
      </c>
      <c r="L35" s="15" t="str">
        <f t="shared" si="45"/>
        <v>M</v>
      </c>
      <c r="M35" s="15" t="str">
        <f t="shared" si="45"/>
        <v>B</v>
      </c>
      <c r="N35" s="15" t="str">
        <f t="shared" si="45"/>
        <v>S</v>
      </c>
      <c r="O35" s="15" t="str">
        <f t="shared" si="45"/>
        <v>K</v>
      </c>
      <c r="P35" s="15" t="str">
        <f t="shared" si="45"/>
        <v>D</v>
      </c>
      <c r="Q35" s="15" t="str">
        <f t="shared" si="45"/>
        <v>Y</v>
      </c>
      <c r="R35" s="15" t="str">
        <f t="shared" si="45"/>
        <v>O</v>
      </c>
      <c r="S35" s="15" t="str">
        <f t="shared" si="45"/>
        <v>I</v>
      </c>
      <c r="T35" s="15" t="str">
        <f t="shared" si="45"/>
        <v>F</v>
      </c>
      <c r="U35" s="15" t="str">
        <f t="shared" si="45"/>
        <v>H</v>
      </c>
      <c r="V35" s="15" t="str">
        <f t="shared" si="45"/>
        <v>Z</v>
      </c>
      <c r="W35" s="15" t="str">
        <f t="shared" si="45"/>
        <v>W</v>
      </c>
      <c r="X35" s="15" t="str">
        <f t="shared" si="45"/>
        <v>V</v>
      </c>
      <c r="Y35" s="15" t="str">
        <f t="shared" si="45"/>
        <v>A</v>
      </c>
      <c r="Z35" s="15" t="str">
        <f t="shared" si="45"/>
        <v>R</v>
      </c>
      <c r="AA35" s="15" t="str">
        <f t="shared" si="45"/>
        <v>T</v>
      </c>
      <c r="AB35" s="15" t="str">
        <f t="shared" si="45"/>
        <v>N</v>
      </c>
      <c r="AC35" s="15" t="str">
        <f t="shared" si="45"/>
        <v>L</v>
      </c>
      <c r="AD35" s="15" t="str">
        <f t="shared" si="45"/>
        <v>G</v>
      </c>
      <c r="AE35" s="15" t="str">
        <f t="shared" si="45"/>
        <v>U</v>
      </c>
      <c r="AF35" s="10"/>
      <c r="AH35" s="28" t="str">
        <f t="shared" ref="AH35:BG35" si="46">IF(LEN(AH36)=2,RIGHT(AH36,1),"")</f>
        <v>E</v>
      </c>
      <c r="AI35" s="28" t="str">
        <f t="shared" si="46"/>
        <v>M</v>
      </c>
      <c r="AJ35" s="28" t="str">
        <f t="shared" si="46"/>
        <v>F</v>
      </c>
      <c r="AK35" s="28" t="str">
        <f t="shared" si="46"/>
        <v>R</v>
      </c>
      <c r="AL35" s="28" t="str">
        <f t="shared" si="46"/>
        <v>T</v>
      </c>
      <c r="AM35" s="28" t="str">
        <f t="shared" si="46"/>
        <v>Y</v>
      </c>
      <c r="AN35" s="28" t="str">
        <f t="shared" si="46"/>
        <v>B</v>
      </c>
      <c r="AO35" s="28" t="str">
        <f t="shared" si="46"/>
        <v>Q</v>
      </c>
      <c r="AP35" s="28" t="str">
        <f t="shared" si="46"/>
        <v>H</v>
      </c>
      <c r="AQ35" s="28" t="str">
        <f t="shared" si="46"/>
        <v>Z</v>
      </c>
      <c r="AR35" s="28" t="str">
        <f t="shared" si="46"/>
        <v>S</v>
      </c>
      <c r="AS35" s="28" t="str">
        <f t="shared" si="46"/>
        <v>N</v>
      </c>
      <c r="AT35" s="28" t="str">
        <f t="shared" si="46"/>
        <v>D</v>
      </c>
      <c r="AU35" s="28" t="str">
        <f t="shared" si="46"/>
        <v>X</v>
      </c>
      <c r="AV35" s="28" t="str">
        <f t="shared" si="46"/>
        <v>U</v>
      </c>
      <c r="AW35" s="28" t="str">
        <f t="shared" si="46"/>
        <v>W</v>
      </c>
      <c r="AX35" s="28" t="str">
        <f t="shared" si="46"/>
        <v>O</v>
      </c>
      <c r="AY35" s="28" t="str">
        <f t="shared" si="46"/>
        <v>L</v>
      </c>
      <c r="AZ35" s="28" t="str">
        <f t="shared" si="46"/>
        <v>K</v>
      </c>
      <c r="BA35" s="28" t="str">
        <f t="shared" si="46"/>
        <v>P</v>
      </c>
      <c r="BB35" s="28" t="str">
        <f t="shared" si="46"/>
        <v>G</v>
      </c>
      <c r="BC35" s="28" t="str">
        <f t="shared" si="46"/>
        <v>I</v>
      </c>
      <c r="BD35" s="28" t="str">
        <f t="shared" si="46"/>
        <v>C</v>
      </c>
      <c r="BE35" s="28" t="str">
        <f t="shared" si="46"/>
        <v>A</v>
      </c>
      <c r="BF35" s="28" t="str">
        <f t="shared" si="46"/>
        <v>V</v>
      </c>
      <c r="BG35" s="28" t="str">
        <f t="shared" si="46"/>
        <v>J</v>
      </c>
    </row>
    <row r="36" spans="2:59" ht="15" thickBot="1" x14ac:dyDescent="0.4">
      <c r="B36" s="23"/>
      <c r="C36" s="16"/>
      <c r="D36" s="17"/>
      <c r="E36" s="17" t="s">
        <v>388</v>
      </c>
      <c r="F36" s="18" t="str">
        <f t="shared" ref="F36:AE36" si="47">IF(F32=1,IF(CODE(F35)-CODE(F34)&lt;0,VLOOKUP((CODE(F35)-CODE(F34)+26)+(CODE(F31)-nCharOffset),nNum2Let,2,FALSE),VLOOKUP((CODE(F35)-CODE(F34))+(CODE(F31)-nCharOffset),nNum2Let,2,FALSE)),"")</f>
        <v>E</v>
      </c>
      <c r="G36" s="18" t="str">
        <f t="shared" si="47"/>
        <v>M</v>
      </c>
      <c r="H36" s="18" t="str">
        <f t="shared" si="47"/>
        <v>F</v>
      </c>
      <c r="I36" s="18" t="str">
        <f t="shared" si="47"/>
        <v>R</v>
      </c>
      <c r="J36" s="18" t="str">
        <f t="shared" si="47"/>
        <v>T</v>
      </c>
      <c r="K36" s="18" t="str">
        <f t="shared" si="47"/>
        <v>Y</v>
      </c>
      <c r="L36" s="18" t="str">
        <f t="shared" si="47"/>
        <v>B</v>
      </c>
      <c r="M36" s="18" t="str">
        <f t="shared" si="47"/>
        <v>Q</v>
      </c>
      <c r="N36" s="18" t="str">
        <f t="shared" si="47"/>
        <v>H</v>
      </c>
      <c r="O36" s="18" t="str">
        <f t="shared" si="47"/>
        <v>Z</v>
      </c>
      <c r="P36" s="18" t="str">
        <f t="shared" si="47"/>
        <v>S</v>
      </c>
      <c r="Q36" s="18" t="str">
        <f t="shared" si="47"/>
        <v>N</v>
      </c>
      <c r="R36" s="18" t="str">
        <f t="shared" si="47"/>
        <v>D</v>
      </c>
      <c r="S36" s="18" t="str">
        <f t="shared" si="47"/>
        <v>X</v>
      </c>
      <c r="T36" s="18" t="str">
        <f t="shared" si="47"/>
        <v>U</v>
      </c>
      <c r="U36" s="18" t="str">
        <f t="shared" si="47"/>
        <v>W</v>
      </c>
      <c r="V36" s="18" t="str">
        <f t="shared" si="47"/>
        <v>O</v>
      </c>
      <c r="W36" s="18" t="str">
        <f t="shared" si="47"/>
        <v>L</v>
      </c>
      <c r="X36" s="18" t="str">
        <f t="shared" si="47"/>
        <v>K</v>
      </c>
      <c r="Y36" s="18" t="str">
        <f t="shared" si="47"/>
        <v>P</v>
      </c>
      <c r="Z36" s="18" t="str">
        <f t="shared" si="47"/>
        <v>G</v>
      </c>
      <c r="AA36" s="18" t="str">
        <f t="shared" si="47"/>
        <v>I</v>
      </c>
      <c r="AB36" s="18" t="str">
        <f t="shared" si="47"/>
        <v>C</v>
      </c>
      <c r="AC36" s="18" t="str">
        <f t="shared" si="47"/>
        <v>A</v>
      </c>
      <c r="AD36" s="18" t="str">
        <f t="shared" si="47"/>
        <v>V</v>
      </c>
      <c r="AE36" s="18" t="str">
        <f t="shared" si="47"/>
        <v>J</v>
      </c>
      <c r="AF36" s="19" t="str">
        <f>CONCATENATE(F36,G36,H36,I36,J36,K36,L36,M36,N36,O36,P36,Q36,R36,S36,T36&amp;U36,V36,W36,X36,Y36,Z36,AA36,AB36,AC36,AD36,AE36)</f>
        <v>EMFRTYBQHZSNDXUWOLKPGICAVJ</v>
      </c>
      <c r="AH36" s="12" t="str">
        <f>F31&amp;F36</f>
        <v>AE</v>
      </c>
      <c r="AI36" s="12" t="str">
        <f t="shared" ref="AI36:BG36" si="48">G31&amp;G36</f>
        <v>BM</v>
      </c>
      <c r="AJ36" s="12" t="str">
        <f t="shared" si="48"/>
        <v>CF</v>
      </c>
      <c r="AK36" s="12" t="str">
        <f t="shared" si="48"/>
        <v>DR</v>
      </c>
      <c r="AL36" s="12" t="str">
        <f t="shared" si="48"/>
        <v>ET</v>
      </c>
      <c r="AM36" s="12" t="str">
        <f t="shared" si="48"/>
        <v>FY</v>
      </c>
      <c r="AN36" s="12" t="str">
        <f t="shared" si="48"/>
        <v>GB</v>
      </c>
      <c r="AO36" s="12" t="str">
        <f t="shared" si="48"/>
        <v>HQ</v>
      </c>
      <c r="AP36" s="12" t="str">
        <f t="shared" si="48"/>
        <v>IH</v>
      </c>
      <c r="AQ36" s="12" t="str">
        <f t="shared" si="48"/>
        <v>JZ</v>
      </c>
      <c r="AR36" s="12" t="str">
        <f t="shared" si="48"/>
        <v>KS</v>
      </c>
      <c r="AS36" s="12" t="str">
        <f t="shared" si="48"/>
        <v>LN</v>
      </c>
      <c r="AT36" s="12" t="str">
        <f t="shared" si="48"/>
        <v>MD</v>
      </c>
      <c r="AU36" s="12" t="str">
        <f t="shared" si="48"/>
        <v>NX</v>
      </c>
      <c r="AV36" s="12" t="str">
        <f t="shared" si="48"/>
        <v>OU</v>
      </c>
      <c r="AW36" s="12" t="str">
        <f t="shared" si="48"/>
        <v>PW</v>
      </c>
      <c r="AX36" s="12" t="str">
        <f t="shared" si="48"/>
        <v>QO</v>
      </c>
      <c r="AY36" s="12" t="str">
        <f t="shared" si="48"/>
        <v>RL</v>
      </c>
      <c r="AZ36" s="12" t="str">
        <f t="shared" si="48"/>
        <v>SK</v>
      </c>
      <c r="BA36" s="12" t="str">
        <f t="shared" si="48"/>
        <v>TP</v>
      </c>
      <c r="BB36" s="12" t="str">
        <f t="shared" si="48"/>
        <v>UG</v>
      </c>
      <c r="BC36" s="12" t="str">
        <f t="shared" si="48"/>
        <v>VI</v>
      </c>
      <c r="BD36" s="12" t="str">
        <f t="shared" si="48"/>
        <v>WC</v>
      </c>
      <c r="BE36" s="12" t="str">
        <f t="shared" si="48"/>
        <v>XA</v>
      </c>
      <c r="BF36" s="12" t="str">
        <f t="shared" si="48"/>
        <v>YV</v>
      </c>
      <c r="BG36" s="12" t="str">
        <f t="shared" si="48"/>
        <v>ZJ</v>
      </c>
    </row>
    <row r="37" spans="2:59" x14ac:dyDescent="0.35">
      <c r="B37" s="21"/>
      <c r="C37" s="4"/>
      <c r="D37" s="5"/>
      <c r="E37" s="5" t="s">
        <v>385</v>
      </c>
      <c r="F37" s="6" t="s">
        <v>0</v>
      </c>
      <c r="G37" s="6" t="s">
        <v>1</v>
      </c>
      <c r="H37" s="6" t="s">
        <v>2</v>
      </c>
      <c r="I37" s="6" t="s">
        <v>3</v>
      </c>
      <c r="J37" s="6" t="s">
        <v>4</v>
      </c>
      <c r="K37" s="6" t="s">
        <v>5</v>
      </c>
      <c r="L37" s="6" t="s">
        <v>6</v>
      </c>
      <c r="M37" s="6" t="s">
        <v>7</v>
      </c>
      <c r="N37" s="6" t="s">
        <v>8</v>
      </c>
      <c r="O37" s="6" t="s">
        <v>9</v>
      </c>
      <c r="P37" s="6" t="s">
        <v>10</v>
      </c>
      <c r="Q37" s="6" t="s">
        <v>11</v>
      </c>
      <c r="R37" s="6" t="s">
        <v>12</v>
      </c>
      <c r="S37" s="6" t="s">
        <v>13</v>
      </c>
      <c r="T37" s="6" t="s">
        <v>14</v>
      </c>
      <c r="U37" s="6" t="s">
        <v>15</v>
      </c>
      <c r="V37" s="6" t="s">
        <v>16</v>
      </c>
      <c r="W37" s="6" t="s">
        <v>17</v>
      </c>
      <c r="X37" s="6" t="s">
        <v>18</v>
      </c>
      <c r="Y37" s="6" t="s">
        <v>19</v>
      </c>
      <c r="Z37" s="6" t="s">
        <v>20</v>
      </c>
      <c r="AA37" s="6" t="s">
        <v>21</v>
      </c>
      <c r="AB37" s="6" t="s">
        <v>22</v>
      </c>
      <c r="AC37" s="6" t="s">
        <v>23</v>
      </c>
      <c r="AD37" s="6" t="s">
        <v>24</v>
      </c>
      <c r="AE37" s="6" t="s">
        <v>25</v>
      </c>
      <c r="AF37" s="20"/>
      <c r="AH37" s="28" t="str">
        <f>HLOOKUP(AH31,$AH34:$BG35,2,FALSE)</f>
        <v>O</v>
      </c>
      <c r="AI37" s="28" t="str">
        <f>HLOOKUP(AI31,$AH34:$BG35,2,FALSE)</f>
        <v>U</v>
      </c>
      <c r="AJ37" s="28" t="str">
        <f>HLOOKUP(AJ31,$AH34:$BG35,2,FALSE)</f>
        <v>P</v>
      </c>
      <c r="AK37" s="28" t="str">
        <f t="shared" ref="AK37:BG37" si="49">HLOOKUP(AK31,$AH34:$BG35,2,FALSE)</f>
        <v>F</v>
      </c>
      <c r="AL37" s="28" t="str">
        <f t="shared" si="49"/>
        <v>S</v>
      </c>
      <c r="AM37" s="28" t="str">
        <f t="shared" si="49"/>
        <v>C</v>
      </c>
      <c r="AN37" s="28" t="str">
        <f t="shared" si="49"/>
        <v>E</v>
      </c>
      <c r="AO37" s="28" t="str">
        <f t="shared" si="49"/>
        <v>Q</v>
      </c>
      <c r="AP37" s="28" t="str">
        <f t="shared" si="49"/>
        <v>X</v>
      </c>
      <c r="AQ37" s="28" t="str">
        <f t="shared" si="49"/>
        <v>R</v>
      </c>
      <c r="AR37" s="28" t="str">
        <f t="shared" si="49"/>
        <v>L</v>
      </c>
      <c r="AS37" s="28" t="str">
        <f t="shared" si="49"/>
        <v>W</v>
      </c>
      <c r="AT37" s="28" t="str">
        <f t="shared" si="49"/>
        <v>N</v>
      </c>
      <c r="AU37" s="28" t="str">
        <f t="shared" si="49"/>
        <v>Y</v>
      </c>
      <c r="AV37" s="28" t="str">
        <f t="shared" si="49"/>
        <v>B</v>
      </c>
      <c r="AW37" s="28" t="str">
        <f t="shared" si="49"/>
        <v>I</v>
      </c>
      <c r="AX37" s="28" t="str">
        <f t="shared" si="49"/>
        <v>A</v>
      </c>
      <c r="AY37" s="28" t="str">
        <f t="shared" si="49"/>
        <v>H</v>
      </c>
      <c r="AZ37" s="28" t="str">
        <f t="shared" si="49"/>
        <v>D</v>
      </c>
      <c r="BA37" s="28" t="str">
        <f t="shared" si="49"/>
        <v>J</v>
      </c>
      <c r="BB37" s="28" t="str">
        <f t="shared" si="49"/>
        <v>T</v>
      </c>
      <c r="BC37" s="28" t="str">
        <f t="shared" si="49"/>
        <v>G</v>
      </c>
      <c r="BD37" s="28" t="str">
        <f t="shared" si="49"/>
        <v>V</v>
      </c>
      <c r="BE37" s="28" t="str">
        <f t="shared" si="49"/>
        <v>M</v>
      </c>
      <c r="BF37" s="28" t="str">
        <f t="shared" si="49"/>
        <v>K</v>
      </c>
      <c r="BG37" s="28" t="str">
        <f t="shared" si="49"/>
        <v>Z</v>
      </c>
    </row>
    <row r="38" spans="2:59" x14ac:dyDescent="0.35">
      <c r="B38" s="22"/>
      <c r="C38" s="8"/>
      <c r="F38" s="1">
        <f t="shared" ref="F38:AE38" si="50">IF(ISERROR(FIND(F37,$AF36)),0,1)</f>
        <v>1</v>
      </c>
      <c r="G38" s="1">
        <f t="shared" si="50"/>
        <v>1</v>
      </c>
      <c r="H38" s="1">
        <f t="shared" si="50"/>
        <v>1</v>
      </c>
      <c r="I38" s="1">
        <f t="shared" si="50"/>
        <v>1</v>
      </c>
      <c r="J38" s="1">
        <f t="shared" si="50"/>
        <v>1</v>
      </c>
      <c r="K38" s="1">
        <f t="shared" si="50"/>
        <v>1</v>
      </c>
      <c r="L38" s="1">
        <f t="shared" si="50"/>
        <v>1</v>
      </c>
      <c r="M38" s="1">
        <f t="shared" si="50"/>
        <v>1</v>
      </c>
      <c r="N38" s="1">
        <f t="shared" si="50"/>
        <v>1</v>
      </c>
      <c r="O38" s="1">
        <f t="shared" si="50"/>
        <v>1</v>
      </c>
      <c r="P38" s="1">
        <f t="shared" si="50"/>
        <v>1</v>
      </c>
      <c r="Q38" s="1">
        <f t="shared" si="50"/>
        <v>1</v>
      </c>
      <c r="R38" s="1">
        <f t="shared" si="50"/>
        <v>1</v>
      </c>
      <c r="S38" s="1">
        <f t="shared" si="50"/>
        <v>1</v>
      </c>
      <c r="T38" s="1">
        <f t="shared" si="50"/>
        <v>1</v>
      </c>
      <c r="U38" s="1">
        <f t="shared" si="50"/>
        <v>1</v>
      </c>
      <c r="V38" s="1">
        <f t="shared" si="50"/>
        <v>1</v>
      </c>
      <c r="W38" s="1">
        <f t="shared" si="50"/>
        <v>1</v>
      </c>
      <c r="X38" s="1">
        <f t="shared" si="50"/>
        <v>1</v>
      </c>
      <c r="Y38" s="1">
        <f t="shared" si="50"/>
        <v>1</v>
      </c>
      <c r="Z38" s="1">
        <f t="shared" si="50"/>
        <v>1</v>
      </c>
      <c r="AA38" s="1">
        <f t="shared" si="50"/>
        <v>1</v>
      </c>
      <c r="AB38" s="1">
        <f t="shared" si="50"/>
        <v>1</v>
      </c>
      <c r="AC38" s="1">
        <f t="shared" si="50"/>
        <v>1</v>
      </c>
      <c r="AD38" s="1">
        <f t="shared" si="50"/>
        <v>1</v>
      </c>
      <c r="AE38" s="1">
        <f t="shared" si="50"/>
        <v>1</v>
      </c>
      <c r="AF38" s="10"/>
    </row>
    <row r="39" spans="2:59" x14ac:dyDescent="0.35">
      <c r="B39" s="22" t="s">
        <v>384</v>
      </c>
      <c r="C39" s="26" t="str">
        <f>"R"&amp;C6</f>
        <v>R2</v>
      </c>
      <c r="D39" s="11">
        <f>D6</f>
        <v>3716</v>
      </c>
      <c r="E39" s="11">
        <f>E6</f>
        <v>24</v>
      </c>
      <c r="F39" s="12" t="str">
        <f>F6</f>
        <v>X</v>
      </c>
      <c r="G39" s="13" t="str">
        <f t="shared" ref="G39:AE39" si="51">VLOOKUP(F39,nNextLetter,2,FALSE)</f>
        <v>Y</v>
      </c>
      <c r="H39" s="13" t="str">
        <f t="shared" si="51"/>
        <v>Z</v>
      </c>
      <c r="I39" s="13" t="str">
        <f t="shared" si="51"/>
        <v>A</v>
      </c>
      <c r="J39" s="13" t="str">
        <f t="shared" si="51"/>
        <v>B</v>
      </c>
      <c r="K39" s="13" t="str">
        <f t="shared" si="51"/>
        <v>C</v>
      </c>
      <c r="L39" s="13" t="str">
        <f t="shared" si="51"/>
        <v>D</v>
      </c>
      <c r="M39" s="13" t="str">
        <f t="shared" si="51"/>
        <v>E</v>
      </c>
      <c r="N39" s="13" t="str">
        <f t="shared" si="51"/>
        <v>F</v>
      </c>
      <c r="O39" s="13" t="str">
        <f t="shared" si="51"/>
        <v>G</v>
      </c>
      <c r="P39" s="13" t="str">
        <f t="shared" si="51"/>
        <v>H</v>
      </c>
      <c r="Q39" s="13" t="str">
        <f t="shared" si="51"/>
        <v>I</v>
      </c>
      <c r="R39" s="13" t="str">
        <f t="shared" si="51"/>
        <v>J</v>
      </c>
      <c r="S39" s="13" t="str">
        <f t="shared" si="51"/>
        <v>K</v>
      </c>
      <c r="T39" s="13" t="str">
        <f t="shared" si="51"/>
        <v>L</v>
      </c>
      <c r="U39" s="13" t="str">
        <f t="shared" si="51"/>
        <v>M</v>
      </c>
      <c r="V39" s="13" t="str">
        <f t="shared" si="51"/>
        <v>N</v>
      </c>
      <c r="W39" s="13" t="str">
        <f t="shared" si="51"/>
        <v>O</v>
      </c>
      <c r="X39" s="13" t="str">
        <f t="shared" si="51"/>
        <v>P</v>
      </c>
      <c r="Y39" s="13" t="str">
        <f t="shared" si="51"/>
        <v>Q</v>
      </c>
      <c r="Z39" s="13" t="str">
        <f t="shared" si="51"/>
        <v>R</v>
      </c>
      <c r="AA39" s="13" t="str">
        <f t="shared" si="51"/>
        <v>S</v>
      </c>
      <c r="AB39" s="13" t="str">
        <f t="shared" si="51"/>
        <v>T</v>
      </c>
      <c r="AC39" s="13" t="str">
        <f t="shared" si="51"/>
        <v>U</v>
      </c>
      <c r="AD39" s="13" t="str">
        <f t="shared" si="51"/>
        <v>V</v>
      </c>
      <c r="AE39" s="13" t="str">
        <f t="shared" si="51"/>
        <v>W</v>
      </c>
      <c r="AF39" s="10"/>
    </row>
    <row r="40" spans="2:59" x14ac:dyDescent="0.35">
      <c r="B40" s="22"/>
      <c r="C40" s="8"/>
      <c r="E40" t="s">
        <v>386</v>
      </c>
      <c r="F40" s="14" t="str">
        <f t="shared" ref="F40:AE40" si="52">IF(F38=1,VLOOKUP(nCurPosR+nRingOffsetR+(CODE(F37)-nCharOffset)-1,nNum2Let,2,FALSE),"")</f>
        <v>X</v>
      </c>
      <c r="G40" s="14" t="str">
        <f t="shared" si="52"/>
        <v>Y</v>
      </c>
      <c r="H40" s="14" t="str">
        <f t="shared" si="52"/>
        <v>Z</v>
      </c>
      <c r="I40" s="14" t="str">
        <f t="shared" si="52"/>
        <v>A</v>
      </c>
      <c r="J40" s="14" t="str">
        <f t="shared" si="52"/>
        <v>B</v>
      </c>
      <c r="K40" s="14" t="str">
        <f t="shared" si="52"/>
        <v>C</v>
      </c>
      <c r="L40" s="14" t="str">
        <f t="shared" si="52"/>
        <v>D</v>
      </c>
      <c r="M40" s="14" t="str">
        <f t="shared" si="52"/>
        <v>E</v>
      </c>
      <c r="N40" s="14" t="str">
        <f t="shared" si="52"/>
        <v>F</v>
      </c>
      <c r="O40" s="14" t="str">
        <f t="shared" si="52"/>
        <v>G</v>
      </c>
      <c r="P40" s="14" t="str">
        <f t="shared" si="52"/>
        <v>H</v>
      </c>
      <c r="Q40" s="14" t="str">
        <f t="shared" si="52"/>
        <v>I</v>
      </c>
      <c r="R40" s="14" t="str">
        <f t="shared" si="52"/>
        <v>J</v>
      </c>
      <c r="S40" s="14" t="str">
        <f t="shared" si="52"/>
        <v>K</v>
      </c>
      <c r="T40" s="14" t="str">
        <f t="shared" si="52"/>
        <v>L</v>
      </c>
      <c r="U40" s="14" t="str">
        <f t="shared" si="52"/>
        <v>M</v>
      </c>
      <c r="V40" s="14" t="str">
        <f t="shared" si="52"/>
        <v>N</v>
      </c>
      <c r="W40" s="14" t="str">
        <f t="shared" si="52"/>
        <v>O</v>
      </c>
      <c r="X40" s="14" t="str">
        <f t="shared" si="52"/>
        <v>P</v>
      </c>
      <c r="Y40" s="14" t="str">
        <f t="shared" si="52"/>
        <v>Q</v>
      </c>
      <c r="Z40" s="14" t="str">
        <f t="shared" si="52"/>
        <v>R</v>
      </c>
      <c r="AA40" s="14" t="str">
        <f t="shared" si="52"/>
        <v>S</v>
      </c>
      <c r="AB40" s="14" t="str">
        <f t="shared" si="52"/>
        <v>T</v>
      </c>
      <c r="AC40" s="14" t="str">
        <f t="shared" si="52"/>
        <v>U</v>
      </c>
      <c r="AD40" s="14" t="str">
        <f t="shared" si="52"/>
        <v>V</v>
      </c>
      <c r="AE40" s="14" t="str">
        <f t="shared" si="52"/>
        <v>W</v>
      </c>
      <c r="AF40" s="10"/>
      <c r="AH40" s="28" t="str">
        <f t="shared" ref="AH40:BG40" si="53">IF(LEN(AH42)=2,LEFT(AH42,1),"")</f>
        <v>A</v>
      </c>
      <c r="AI40" s="28" t="str">
        <f t="shared" si="53"/>
        <v>B</v>
      </c>
      <c r="AJ40" s="28" t="str">
        <f t="shared" si="53"/>
        <v>C</v>
      </c>
      <c r="AK40" s="28" t="str">
        <f t="shared" si="53"/>
        <v>D</v>
      </c>
      <c r="AL40" s="28" t="str">
        <f t="shared" si="53"/>
        <v>E</v>
      </c>
      <c r="AM40" s="28" t="str">
        <f t="shared" si="53"/>
        <v>F</v>
      </c>
      <c r="AN40" s="28" t="str">
        <f t="shared" si="53"/>
        <v>G</v>
      </c>
      <c r="AO40" s="28" t="str">
        <f t="shared" si="53"/>
        <v>H</v>
      </c>
      <c r="AP40" s="28" t="str">
        <f t="shared" si="53"/>
        <v>I</v>
      </c>
      <c r="AQ40" s="28" t="str">
        <f t="shared" si="53"/>
        <v>J</v>
      </c>
      <c r="AR40" s="28" t="str">
        <f t="shared" si="53"/>
        <v>K</v>
      </c>
      <c r="AS40" s="28" t="str">
        <f t="shared" si="53"/>
        <v>L</v>
      </c>
      <c r="AT40" s="28" t="str">
        <f t="shared" si="53"/>
        <v>M</v>
      </c>
      <c r="AU40" s="28" t="str">
        <f t="shared" si="53"/>
        <v>N</v>
      </c>
      <c r="AV40" s="28" t="str">
        <f t="shared" si="53"/>
        <v>O</v>
      </c>
      <c r="AW40" s="28" t="str">
        <f t="shared" si="53"/>
        <v>P</v>
      </c>
      <c r="AX40" s="28" t="str">
        <f t="shared" si="53"/>
        <v>Q</v>
      </c>
      <c r="AY40" s="28" t="str">
        <f t="shared" si="53"/>
        <v>R</v>
      </c>
      <c r="AZ40" s="28" t="str">
        <f t="shared" si="53"/>
        <v>S</v>
      </c>
      <c r="BA40" s="28" t="str">
        <f t="shared" si="53"/>
        <v>T</v>
      </c>
      <c r="BB40" s="28" t="str">
        <f t="shared" si="53"/>
        <v>U</v>
      </c>
      <c r="BC40" s="28" t="str">
        <f t="shared" si="53"/>
        <v>V</v>
      </c>
      <c r="BD40" s="28" t="str">
        <f t="shared" si="53"/>
        <v>W</v>
      </c>
      <c r="BE40" s="28" t="str">
        <f t="shared" si="53"/>
        <v>X</v>
      </c>
      <c r="BF40" s="28" t="str">
        <f t="shared" si="53"/>
        <v>Y</v>
      </c>
      <c r="BG40" s="28" t="str">
        <f t="shared" si="53"/>
        <v>Z</v>
      </c>
    </row>
    <row r="41" spans="2:59" x14ac:dyDescent="0.35">
      <c r="B41" s="22"/>
      <c r="C41" s="8"/>
      <c r="E41" t="s">
        <v>387</v>
      </c>
      <c r="F41" s="15" t="str">
        <f t="shared" ref="F41:AE41" si="54">IF(F38=1,VLOOKUP(nRotorR_Rev&amp;F40,nRotorRev,4,FALSE),"")</f>
        <v>I</v>
      </c>
      <c r="G41" s="15" t="str">
        <f t="shared" si="54"/>
        <v>V</v>
      </c>
      <c r="H41" s="15" t="str">
        <f t="shared" si="54"/>
        <v>S</v>
      </c>
      <c r="I41" s="15" t="str">
        <f t="shared" si="54"/>
        <v>A</v>
      </c>
      <c r="J41" s="15" t="str">
        <f t="shared" si="54"/>
        <v>J</v>
      </c>
      <c r="K41" s="15" t="str">
        <f t="shared" si="54"/>
        <v>P</v>
      </c>
      <c r="L41" s="15" t="str">
        <f t="shared" si="54"/>
        <v>C</v>
      </c>
      <c r="M41" s="15" t="str">
        <f t="shared" si="54"/>
        <v>Z</v>
      </c>
      <c r="N41" s="15" t="str">
        <f t="shared" si="54"/>
        <v>W</v>
      </c>
      <c r="O41" s="15" t="str">
        <f t="shared" si="54"/>
        <v>R</v>
      </c>
      <c r="P41" s="15" t="str">
        <f t="shared" si="54"/>
        <v>L</v>
      </c>
      <c r="Q41" s="15" t="str">
        <f t="shared" si="54"/>
        <v>F</v>
      </c>
      <c r="R41" s="15" t="str">
        <f t="shared" si="54"/>
        <v>B</v>
      </c>
      <c r="S41" s="15" t="str">
        <f t="shared" si="54"/>
        <v>D</v>
      </c>
      <c r="T41" s="15" t="str">
        <f t="shared" si="54"/>
        <v>K</v>
      </c>
      <c r="U41" s="15" t="str">
        <f t="shared" si="54"/>
        <v>O</v>
      </c>
      <c r="V41" s="15" t="str">
        <f t="shared" si="54"/>
        <v>T</v>
      </c>
      <c r="W41" s="15" t="str">
        <f t="shared" si="54"/>
        <v>Y</v>
      </c>
      <c r="X41" s="15" t="str">
        <f t="shared" si="54"/>
        <v>U</v>
      </c>
      <c r="Y41" s="15" t="str">
        <f t="shared" si="54"/>
        <v>Q</v>
      </c>
      <c r="Z41" s="15" t="str">
        <f t="shared" si="54"/>
        <v>G</v>
      </c>
      <c r="AA41" s="15" t="str">
        <f t="shared" si="54"/>
        <v>E</v>
      </c>
      <c r="AB41" s="15" t="str">
        <f t="shared" si="54"/>
        <v>N</v>
      </c>
      <c r="AC41" s="15" t="str">
        <f t="shared" si="54"/>
        <v>H</v>
      </c>
      <c r="AD41" s="15" t="str">
        <f t="shared" si="54"/>
        <v>X</v>
      </c>
      <c r="AE41" s="15" t="str">
        <f t="shared" si="54"/>
        <v>M</v>
      </c>
      <c r="AF41" s="10"/>
      <c r="AH41" s="28" t="str">
        <f t="shared" ref="AH41:BG41" si="55">IF(LEN(AH42)=2,RIGHT(AH42,1),"")</f>
        <v>L</v>
      </c>
      <c r="AI41" s="28" t="str">
        <f t="shared" si="55"/>
        <v>Y</v>
      </c>
      <c r="AJ41" s="28" t="str">
        <f t="shared" si="55"/>
        <v>V</v>
      </c>
      <c r="AK41" s="28" t="str">
        <f t="shared" si="55"/>
        <v>D</v>
      </c>
      <c r="AL41" s="28" t="str">
        <f t="shared" si="55"/>
        <v>M</v>
      </c>
      <c r="AM41" s="28" t="str">
        <f t="shared" si="55"/>
        <v>S</v>
      </c>
      <c r="AN41" s="28" t="str">
        <f t="shared" si="55"/>
        <v>F</v>
      </c>
      <c r="AO41" s="28" t="str">
        <f t="shared" si="55"/>
        <v>C</v>
      </c>
      <c r="AP41" s="28" t="str">
        <f t="shared" si="55"/>
        <v>Z</v>
      </c>
      <c r="AQ41" s="28" t="str">
        <f t="shared" si="55"/>
        <v>U</v>
      </c>
      <c r="AR41" s="28" t="str">
        <f t="shared" si="55"/>
        <v>O</v>
      </c>
      <c r="AS41" s="28" t="str">
        <f t="shared" si="55"/>
        <v>I</v>
      </c>
      <c r="AT41" s="28" t="str">
        <f t="shared" si="55"/>
        <v>E</v>
      </c>
      <c r="AU41" s="28" t="str">
        <f t="shared" si="55"/>
        <v>G</v>
      </c>
      <c r="AV41" s="28" t="str">
        <f t="shared" si="55"/>
        <v>N</v>
      </c>
      <c r="AW41" s="28" t="str">
        <f t="shared" si="55"/>
        <v>R</v>
      </c>
      <c r="AX41" s="28" t="str">
        <f t="shared" si="55"/>
        <v>W</v>
      </c>
      <c r="AY41" s="28" t="str">
        <f t="shared" si="55"/>
        <v>B</v>
      </c>
      <c r="AZ41" s="28" t="str">
        <f t="shared" si="55"/>
        <v>X</v>
      </c>
      <c r="BA41" s="28" t="str">
        <f t="shared" si="55"/>
        <v>T</v>
      </c>
      <c r="BB41" s="28" t="str">
        <f t="shared" si="55"/>
        <v>J</v>
      </c>
      <c r="BC41" s="28" t="str">
        <f t="shared" si="55"/>
        <v>H</v>
      </c>
      <c r="BD41" s="28" t="str">
        <f t="shared" si="55"/>
        <v>Q</v>
      </c>
      <c r="BE41" s="28" t="str">
        <f t="shared" si="55"/>
        <v>K</v>
      </c>
      <c r="BF41" s="28" t="str">
        <f t="shared" si="55"/>
        <v>A</v>
      </c>
      <c r="BG41" s="28" t="str">
        <f t="shared" si="55"/>
        <v>P</v>
      </c>
    </row>
    <row r="42" spans="2:59" ht="15" thickBot="1" x14ac:dyDescent="0.4">
      <c r="B42" s="23"/>
      <c r="C42" s="16"/>
      <c r="D42" s="17"/>
      <c r="E42" s="17" t="s">
        <v>388</v>
      </c>
      <c r="F42" s="18" t="str">
        <f t="shared" ref="F42:AE42" si="56">IF(F38=1,IF(CODE(F41)-CODE(F40)&lt;0,VLOOKUP((CODE(F41)-CODE(F40)+26)+(CODE(F37)-nCharOffset),nNum2Let,2,FALSE),VLOOKUP((CODE(F41)-CODE(F40))+(CODE(F37)-nCharOffset),nNum2Let,2,FALSE)),"")</f>
        <v>L</v>
      </c>
      <c r="G42" s="18" t="str">
        <f t="shared" si="56"/>
        <v>Y</v>
      </c>
      <c r="H42" s="18" t="str">
        <f t="shared" si="56"/>
        <v>V</v>
      </c>
      <c r="I42" s="18" t="str">
        <f t="shared" si="56"/>
        <v>D</v>
      </c>
      <c r="J42" s="18" t="str">
        <f t="shared" si="56"/>
        <v>M</v>
      </c>
      <c r="K42" s="18" t="str">
        <f t="shared" si="56"/>
        <v>S</v>
      </c>
      <c r="L42" s="18" t="str">
        <f t="shared" si="56"/>
        <v>F</v>
      </c>
      <c r="M42" s="18" t="str">
        <f t="shared" si="56"/>
        <v>C</v>
      </c>
      <c r="N42" s="18" t="str">
        <f t="shared" si="56"/>
        <v>Z</v>
      </c>
      <c r="O42" s="18" t="str">
        <f t="shared" si="56"/>
        <v>U</v>
      </c>
      <c r="P42" s="18" t="str">
        <f t="shared" si="56"/>
        <v>O</v>
      </c>
      <c r="Q42" s="18" t="str">
        <f t="shared" si="56"/>
        <v>I</v>
      </c>
      <c r="R42" s="18" t="str">
        <f t="shared" si="56"/>
        <v>E</v>
      </c>
      <c r="S42" s="18" t="str">
        <f t="shared" si="56"/>
        <v>G</v>
      </c>
      <c r="T42" s="18" t="str">
        <f t="shared" si="56"/>
        <v>N</v>
      </c>
      <c r="U42" s="18" t="str">
        <f t="shared" si="56"/>
        <v>R</v>
      </c>
      <c r="V42" s="18" t="str">
        <f t="shared" si="56"/>
        <v>W</v>
      </c>
      <c r="W42" s="18" t="str">
        <f t="shared" si="56"/>
        <v>B</v>
      </c>
      <c r="X42" s="18" t="str">
        <f t="shared" si="56"/>
        <v>X</v>
      </c>
      <c r="Y42" s="18" t="str">
        <f t="shared" si="56"/>
        <v>T</v>
      </c>
      <c r="Z42" s="18" t="str">
        <f t="shared" si="56"/>
        <v>J</v>
      </c>
      <c r="AA42" s="18" t="str">
        <f t="shared" si="56"/>
        <v>H</v>
      </c>
      <c r="AB42" s="18" t="str">
        <f t="shared" si="56"/>
        <v>Q</v>
      </c>
      <c r="AC42" s="18" t="str">
        <f t="shared" si="56"/>
        <v>K</v>
      </c>
      <c r="AD42" s="18" t="str">
        <f t="shared" si="56"/>
        <v>A</v>
      </c>
      <c r="AE42" s="18" t="str">
        <f t="shared" si="56"/>
        <v>P</v>
      </c>
      <c r="AF42" s="19" t="str">
        <f>CONCATENATE(F42,G42,H42,I42,J42,K42,L42,M42,N42,O42,P42,Q42,R42,S42,T42&amp;U42,V42,W42,X42,Y42,Z42,AA42,AB42,AC42,AD42,AE42)</f>
        <v>LYVDMSFCZUOIEGNRWBXTJHQKAP</v>
      </c>
      <c r="AH42" s="12" t="str">
        <f>F37&amp;F42</f>
        <v>AL</v>
      </c>
      <c r="AI42" s="12" t="str">
        <f t="shared" ref="AI42:BG42" si="57">G37&amp;G42</f>
        <v>BY</v>
      </c>
      <c r="AJ42" s="12" t="str">
        <f t="shared" si="57"/>
        <v>CV</v>
      </c>
      <c r="AK42" s="12" t="str">
        <f t="shared" si="57"/>
        <v>DD</v>
      </c>
      <c r="AL42" s="12" t="str">
        <f t="shared" si="57"/>
        <v>EM</v>
      </c>
      <c r="AM42" s="12" t="str">
        <f t="shared" si="57"/>
        <v>FS</v>
      </c>
      <c r="AN42" s="12" t="str">
        <f t="shared" si="57"/>
        <v>GF</v>
      </c>
      <c r="AO42" s="12" t="str">
        <f t="shared" si="57"/>
        <v>HC</v>
      </c>
      <c r="AP42" s="12" t="str">
        <f t="shared" si="57"/>
        <v>IZ</v>
      </c>
      <c r="AQ42" s="12" t="str">
        <f t="shared" si="57"/>
        <v>JU</v>
      </c>
      <c r="AR42" s="12" t="str">
        <f t="shared" si="57"/>
        <v>KO</v>
      </c>
      <c r="AS42" s="12" t="str">
        <f t="shared" si="57"/>
        <v>LI</v>
      </c>
      <c r="AT42" s="12" t="str">
        <f t="shared" si="57"/>
        <v>ME</v>
      </c>
      <c r="AU42" s="12" t="str">
        <f t="shared" si="57"/>
        <v>NG</v>
      </c>
      <c r="AV42" s="12" t="str">
        <f t="shared" si="57"/>
        <v>ON</v>
      </c>
      <c r="AW42" s="12" t="str">
        <f t="shared" si="57"/>
        <v>PR</v>
      </c>
      <c r="AX42" s="12" t="str">
        <f t="shared" si="57"/>
        <v>QW</v>
      </c>
      <c r="AY42" s="12" t="str">
        <f t="shared" si="57"/>
        <v>RB</v>
      </c>
      <c r="AZ42" s="12" t="str">
        <f t="shared" si="57"/>
        <v>SX</v>
      </c>
      <c r="BA42" s="12" t="str">
        <f t="shared" si="57"/>
        <v>TT</v>
      </c>
      <c r="BB42" s="12" t="str">
        <f t="shared" si="57"/>
        <v>UJ</v>
      </c>
      <c r="BC42" s="12" t="str">
        <f t="shared" si="57"/>
        <v>VH</v>
      </c>
      <c r="BD42" s="12" t="str">
        <f t="shared" si="57"/>
        <v>WQ</v>
      </c>
      <c r="BE42" s="12" t="str">
        <f t="shared" si="57"/>
        <v>XK</v>
      </c>
      <c r="BF42" s="12" t="str">
        <f t="shared" si="57"/>
        <v>YA</v>
      </c>
      <c r="BG42" s="12" t="str">
        <f t="shared" si="57"/>
        <v>ZP</v>
      </c>
    </row>
    <row r="43" spans="2:59" x14ac:dyDescent="0.35">
      <c r="F43" s="3" t="s">
        <v>0</v>
      </c>
      <c r="G43" s="3" t="s">
        <v>1</v>
      </c>
      <c r="H43" s="3" t="s">
        <v>2</v>
      </c>
      <c r="I43" s="3" t="s">
        <v>3</v>
      </c>
      <c r="J43" s="3" t="s">
        <v>4</v>
      </c>
      <c r="K43" s="3" t="s">
        <v>5</v>
      </c>
      <c r="L43" s="3" t="s">
        <v>6</v>
      </c>
      <c r="M43" s="3" t="s">
        <v>7</v>
      </c>
      <c r="N43" s="3" t="s">
        <v>8</v>
      </c>
      <c r="O43" s="3" t="s">
        <v>9</v>
      </c>
      <c r="P43" s="3" t="s">
        <v>10</v>
      </c>
      <c r="Q43" s="3" t="s">
        <v>11</v>
      </c>
      <c r="R43" s="3" t="s">
        <v>12</v>
      </c>
      <c r="S43" s="3" t="s">
        <v>13</v>
      </c>
      <c r="T43" s="3" t="s">
        <v>14</v>
      </c>
      <c r="U43" s="3" t="s">
        <v>15</v>
      </c>
      <c r="V43" s="3" t="s">
        <v>16</v>
      </c>
      <c r="W43" s="3" t="s">
        <v>17</v>
      </c>
      <c r="X43" s="3" t="s">
        <v>18</v>
      </c>
      <c r="Y43" s="3" t="s">
        <v>19</v>
      </c>
      <c r="Z43" s="3" t="s">
        <v>20</v>
      </c>
      <c r="AA43" s="3" t="s">
        <v>21</v>
      </c>
      <c r="AB43" s="3" t="s">
        <v>22</v>
      </c>
      <c r="AC43" s="3" t="s">
        <v>23</v>
      </c>
      <c r="AD43" s="3" t="s">
        <v>24</v>
      </c>
      <c r="AE43" s="3" t="s">
        <v>25</v>
      </c>
      <c r="AH43" s="42" t="str">
        <f>HLOOKUP(AH37,$AH40:$BG41,2,FALSE)</f>
        <v>N</v>
      </c>
      <c r="AI43" s="42" t="str">
        <f>HLOOKUP(AI37,$AH40:$BG41,2,FALSE)</f>
        <v>J</v>
      </c>
      <c r="AJ43" s="42" t="str">
        <f t="shared" ref="AJ43:BG43" si="58">HLOOKUP(AJ37,$AH40:$BG41,2,FALSE)</f>
        <v>R</v>
      </c>
      <c r="AK43" s="42" t="str">
        <f t="shared" si="58"/>
        <v>S</v>
      </c>
      <c r="AL43" s="42" t="str">
        <f t="shared" si="58"/>
        <v>X</v>
      </c>
      <c r="AM43" s="42" t="str">
        <f t="shared" si="58"/>
        <v>V</v>
      </c>
      <c r="AN43" s="42" t="str">
        <f t="shared" si="58"/>
        <v>M</v>
      </c>
      <c r="AO43" s="42" t="str">
        <f t="shared" si="58"/>
        <v>W</v>
      </c>
      <c r="AP43" s="42" t="str">
        <f t="shared" si="58"/>
        <v>K</v>
      </c>
      <c r="AQ43" s="42" t="str">
        <f t="shared" si="58"/>
        <v>B</v>
      </c>
      <c r="AR43" s="42" t="str">
        <f t="shared" si="58"/>
        <v>I</v>
      </c>
      <c r="AS43" s="42" t="str">
        <f t="shared" si="58"/>
        <v>Q</v>
      </c>
      <c r="AT43" s="42" t="str">
        <f t="shared" si="58"/>
        <v>G</v>
      </c>
      <c r="AU43" s="42" t="str">
        <f t="shared" si="58"/>
        <v>A</v>
      </c>
      <c r="AV43" s="42" t="str">
        <f t="shared" si="58"/>
        <v>Y</v>
      </c>
      <c r="AW43" s="42" t="str">
        <f t="shared" si="58"/>
        <v>Z</v>
      </c>
      <c r="AX43" s="42" t="str">
        <f t="shared" si="58"/>
        <v>L</v>
      </c>
      <c r="AY43" s="42" t="str">
        <f t="shared" si="58"/>
        <v>C</v>
      </c>
      <c r="AZ43" s="42" t="str">
        <f t="shared" si="58"/>
        <v>D</v>
      </c>
      <c r="BA43" s="42" t="str">
        <f t="shared" si="58"/>
        <v>U</v>
      </c>
      <c r="BB43" s="42" t="str">
        <f t="shared" si="58"/>
        <v>T</v>
      </c>
      <c r="BC43" s="42" t="str">
        <f t="shared" si="58"/>
        <v>F</v>
      </c>
      <c r="BD43" s="42" t="str">
        <f t="shared" si="58"/>
        <v>H</v>
      </c>
      <c r="BE43" s="42" t="str">
        <f t="shared" si="58"/>
        <v>E</v>
      </c>
      <c r="BF43" s="42" t="str">
        <f t="shared" si="58"/>
        <v>O</v>
      </c>
      <c r="BG43" s="42" t="str">
        <f t="shared" si="58"/>
        <v>P</v>
      </c>
    </row>
    <row r="44" spans="2:59" x14ac:dyDescent="0.35"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H44" s="95" t="s">
        <v>608</v>
      </c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U44" s="96"/>
      <c r="AV44" s="96"/>
      <c r="AW44" s="96"/>
      <c r="AX44" s="96"/>
      <c r="AY44" s="96"/>
      <c r="AZ44" s="96"/>
      <c r="BA44" s="96"/>
      <c r="BB44" s="96"/>
      <c r="BC44" s="96"/>
      <c r="BD44" s="96"/>
      <c r="BE44" s="96"/>
      <c r="BF44" s="96"/>
      <c r="BG44" s="97"/>
    </row>
  </sheetData>
  <sheetProtection sheet="1" objects="1" scenarios="1"/>
  <mergeCells count="2">
    <mergeCell ref="AH6:BG6"/>
    <mergeCell ref="AH44:BG44"/>
  </mergeCells>
  <pageMargins left="0.70866141732283472" right="0.70866141732283472" top="0.74803149606299213" bottom="0.74803149606299213" header="0.31496062992125984" footer="0.31496062992125984"/>
  <pageSetup paperSize="8" scale="6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pageSetUpPr fitToPage="1"/>
  </sheetPr>
  <dimension ref="A1:BG44"/>
  <sheetViews>
    <sheetView showGridLines="0" showRowColHeaders="0" zoomScale="80" zoomScaleNormal="80" workbookViewId="0"/>
  </sheetViews>
  <sheetFormatPr defaultRowHeight="14.5" x14ac:dyDescent="0.35"/>
  <cols>
    <col min="2" max="2" width="20.54296875" bestFit="1" customWidth="1"/>
    <col min="3" max="3" width="4.54296875" customWidth="1"/>
    <col min="4" max="4" width="8.1796875" bestFit="1" customWidth="1"/>
    <col min="5" max="5" width="15.54296875" bestFit="1" customWidth="1"/>
    <col min="6" max="6" width="3.453125" customWidth="1"/>
    <col min="7" max="7" width="4" customWidth="1"/>
    <col min="8" max="8" width="3.26953125" customWidth="1"/>
    <col min="9" max="9" width="4.1796875" customWidth="1"/>
    <col min="10" max="10" width="3.453125" customWidth="1"/>
    <col min="11" max="31" width="3.26953125" customWidth="1"/>
    <col min="32" max="32" width="32.26953125" bestFit="1" customWidth="1"/>
    <col min="34" max="59" width="3.453125" customWidth="1"/>
  </cols>
  <sheetData>
    <row r="1" spans="1:59" x14ac:dyDescent="0.35">
      <c r="B1" s="29" t="s">
        <v>378</v>
      </c>
      <c r="C1" s="75">
        <v>64</v>
      </c>
      <c r="D1" s="76" t="str">
        <f>nRotorL&amp;nRotorM&amp;nRotorR</f>
        <v>142</v>
      </c>
      <c r="E1" s="76" t="str">
        <f>F18&amp;F12&amp;F6</f>
        <v>ELO</v>
      </c>
      <c r="J1" s="44" t="s">
        <v>4</v>
      </c>
      <c r="K1" s="44" t="s">
        <v>13</v>
      </c>
      <c r="L1" s="44" t="s">
        <v>8</v>
      </c>
      <c r="M1" s="44" t="s">
        <v>6</v>
      </c>
      <c r="N1" s="44" t="s">
        <v>12</v>
      </c>
      <c r="O1" s="44" t="s">
        <v>0</v>
      </c>
      <c r="P1" s="44" t="s">
        <v>18</v>
      </c>
      <c r="Q1" s="44" t="s">
        <v>2</v>
      </c>
      <c r="R1" s="44" t="s">
        <v>17</v>
      </c>
      <c r="S1" s="44" t="s">
        <v>0</v>
      </c>
      <c r="T1" s="44" t="s">
        <v>12</v>
      </c>
      <c r="U1" s="44" t="s">
        <v>1</v>
      </c>
      <c r="V1" s="44" t="s">
        <v>11</v>
      </c>
      <c r="W1" s="44" t="s">
        <v>4</v>
      </c>
      <c r="X1" s="44" t="s">
        <v>17</v>
      </c>
      <c r="Y1" s="44">
        <v>1</v>
      </c>
      <c r="Z1" s="44">
        <v>0</v>
      </c>
    </row>
    <row r="2" spans="1:59" x14ac:dyDescent="0.35">
      <c r="D2" s="77">
        <f>nCounter</f>
        <v>3707</v>
      </c>
    </row>
    <row r="3" spans="1:59" ht="15" thickBot="1" x14ac:dyDescent="0.4">
      <c r="D3" s="78">
        <f>n_RO10</f>
        <v>0</v>
      </c>
      <c r="F3" s="1"/>
      <c r="AF3" s="79" t="s">
        <v>423</v>
      </c>
    </row>
    <row r="4" spans="1:59" x14ac:dyDescent="0.35">
      <c r="B4" s="21"/>
      <c r="C4" s="4"/>
      <c r="E4" s="5" t="s">
        <v>385</v>
      </c>
      <c r="F4" s="6" t="s">
        <v>0</v>
      </c>
      <c r="G4" s="6" t="s">
        <v>1</v>
      </c>
      <c r="H4" s="6" t="s">
        <v>2</v>
      </c>
      <c r="I4" s="6" t="s">
        <v>3</v>
      </c>
      <c r="J4" s="6" t="s">
        <v>4</v>
      </c>
      <c r="K4" s="6" t="s">
        <v>5</v>
      </c>
      <c r="L4" s="6" t="s">
        <v>6</v>
      </c>
      <c r="M4" s="6" t="s">
        <v>7</v>
      </c>
      <c r="N4" s="6" t="s">
        <v>8</v>
      </c>
      <c r="O4" s="6" t="s">
        <v>9</v>
      </c>
      <c r="P4" s="6" t="s">
        <v>10</v>
      </c>
      <c r="Q4" s="6" t="s">
        <v>11</v>
      </c>
      <c r="R4" s="6" t="s">
        <v>12</v>
      </c>
      <c r="S4" s="6" t="s">
        <v>13</v>
      </c>
      <c r="T4" s="6" t="s">
        <v>14</v>
      </c>
      <c r="U4" s="6" t="s">
        <v>15</v>
      </c>
      <c r="V4" s="6" t="s">
        <v>16</v>
      </c>
      <c r="W4" s="6" t="s">
        <v>17</v>
      </c>
      <c r="X4" s="6" t="s">
        <v>18</v>
      </c>
      <c r="Y4" s="6" t="s">
        <v>19</v>
      </c>
      <c r="Z4" s="6" t="s">
        <v>20</v>
      </c>
      <c r="AA4" s="6" t="s">
        <v>21</v>
      </c>
      <c r="AB4" s="6" t="s">
        <v>22</v>
      </c>
      <c r="AC4" s="6" t="s">
        <v>23</v>
      </c>
      <c r="AD4" s="6" t="s">
        <v>24</v>
      </c>
      <c r="AE4" s="6" t="s">
        <v>25</v>
      </c>
      <c r="AF4" s="10"/>
    </row>
    <row r="5" spans="1:59" x14ac:dyDescent="0.35">
      <c r="B5" s="22"/>
      <c r="C5" s="8"/>
      <c r="D5" s="9" t="s">
        <v>28</v>
      </c>
      <c r="E5" s="9" t="s">
        <v>27</v>
      </c>
      <c r="F5" s="1">
        <f t="shared" ref="F5:AE5" si="0">IF(ISERROR(FIND(F4,$AF3)),0,1)</f>
        <v>1</v>
      </c>
      <c r="G5" s="1">
        <f t="shared" si="0"/>
        <v>1</v>
      </c>
      <c r="H5" s="1">
        <f t="shared" si="0"/>
        <v>1</v>
      </c>
      <c r="I5" s="1">
        <f t="shared" si="0"/>
        <v>1</v>
      </c>
      <c r="J5" s="1">
        <f t="shared" si="0"/>
        <v>1</v>
      </c>
      <c r="K5" s="1">
        <f t="shared" si="0"/>
        <v>1</v>
      </c>
      <c r="L5" s="1">
        <f t="shared" si="0"/>
        <v>1</v>
      </c>
      <c r="M5" s="1">
        <f t="shared" si="0"/>
        <v>1</v>
      </c>
      <c r="N5" s="1">
        <f t="shared" si="0"/>
        <v>1</v>
      </c>
      <c r="O5" s="1">
        <f t="shared" si="0"/>
        <v>1</v>
      </c>
      <c r="P5" s="1">
        <f t="shared" si="0"/>
        <v>1</v>
      </c>
      <c r="Q5" s="1">
        <f t="shared" si="0"/>
        <v>1</v>
      </c>
      <c r="R5" s="1">
        <f t="shared" si="0"/>
        <v>1</v>
      </c>
      <c r="S5" s="1">
        <f t="shared" si="0"/>
        <v>1</v>
      </c>
      <c r="T5" s="1">
        <f t="shared" si="0"/>
        <v>1</v>
      </c>
      <c r="U5" s="1">
        <f t="shared" si="0"/>
        <v>1</v>
      </c>
      <c r="V5" s="1">
        <f t="shared" si="0"/>
        <v>1</v>
      </c>
      <c r="W5" s="1">
        <f t="shared" si="0"/>
        <v>1</v>
      </c>
      <c r="X5" s="1">
        <f t="shared" si="0"/>
        <v>1</v>
      </c>
      <c r="Y5" s="1">
        <f t="shared" si="0"/>
        <v>1</v>
      </c>
      <c r="Z5" s="1">
        <f t="shared" si="0"/>
        <v>1</v>
      </c>
      <c r="AA5" s="1">
        <f t="shared" si="0"/>
        <v>1</v>
      </c>
      <c r="AB5" s="1">
        <f t="shared" si="0"/>
        <v>1</v>
      </c>
      <c r="AC5" s="1">
        <f t="shared" si="0"/>
        <v>1</v>
      </c>
      <c r="AD5" s="1">
        <f t="shared" si="0"/>
        <v>1</v>
      </c>
      <c r="AE5" s="1">
        <f t="shared" si="0"/>
        <v>1</v>
      </c>
      <c r="AF5" s="10"/>
    </row>
    <row r="6" spans="1:59" x14ac:dyDescent="0.35">
      <c r="B6" s="22" t="s">
        <v>379</v>
      </c>
      <c r="C6" s="41">
        <f>n_RotorR</f>
        <v>2</v>
      </c>
      <c r="D6" s="11">
        <f>D3+D2</f>
        <v>3707</v>
      </c>
      <c r="E6" s="11">
        <f>IF(MOD(D6,26)=0,26,MOD(D6,26))</f>
        <v>15</v>
      </c>
      <c r="F6" s="12" t="str">
        <f>CHAR(E6+nCharOffset)</f>
        <v>O</v>
      </c>
      <c r="G6" s="13" t="str">
        <f t="shared" ref="G6:AE6" si="1">VLOOKUP(F6,nNextLetter,2,FALSE)</f>
        <v>P</v>
      </c>
      <c r="H6" s="13" t="str">
        <f t="shared" si="1"/>
        <v>Q</v>
      </c>
      <c r="I6" s="13" t="str">
        <f t="shared" si="1"/>
        <v>R</v>
      </c>
      <c r="J6" s="13" t="str">
        <f t="shared" si="1"/>
        <v>S</v>
      </c>
      <c r="K6" s="13" t="str">
        <f t="shared" si="1"/>
        <v>T</v>
      </c>
      <c r="L6" s="13" t="str">
        <f t="shared" si="1"/>
        <v>U</v>
      </c>
      <c r="M6" s="13" t="str">
        <f t="shared" si="1"/>
        <v>V</v>
      </c>
      <c r="N6" s="13" t="str">
        <f t="shared" si="1"/>
        <v>W</v>
      </c>
      <c r="O6" s="13" t="str">
        <f t="shared" si="1"/>
        <v>X</v>
      </c>
      <c r="P6" s="13" t="str">
        <f t="shared" si="1"/>
        <v>Y</v>
      </c>
      <c r="Q6" s="13" t="str">
        <f t="shared" si="1"/>
        <v>Z</v>
      </c>
      <c r="R6" s="13" t="str">
        <f t="shared" si="1"/>
        <v>A</v>
      </c>
      <c r="S6" s="13" t="str">
        <f t="shared" si="1"/>
        <v>B</v>
      </c>
      <c r="T6" s="13" t="str">
        <f t="shared" si="1"/>
        <v>C</v>
      </c>
      <c r="U6" s="13" t="str">
        <f t="shared" si="1"/>
        <v>D</v>
      </c>
      <c r="V6" s="13" t="str">
        <f t="shared" si="1"/>
        <v>E</v>
      </c>
      <c r="W6" s="13" t="str">
        <f t="shared" si="1"/>
        <v>F</v>
      </c>
      <c r="X6" s="13" t="str">
        <f t="shared" si="1"/>
        <v>G</v>
      </c>
      <c r="Y6" s="13" t="str">
        <f t="shared" si="1"/>
        <v>H</v>
      </c>
      <c r="Z6" s="13" t="str">
        <f t="shared" si="1"/>
        <v>I</v>
      </c>
      <c r="AA6" s="13" t="str">
        <f t="shared" si="1"/>
        <v>J</v>
      </c>
      <c r="AB6" s="13" t="str">
        <f t="shared" si="1"/>
        <v>K</v>
      </c>
      <c r="AC6" s="13" t="str">
        <f t="shared" si="1"/>
        <v>L</v>
      </c>
      <c r="AD6" s="13" t="str">
        <f t="shared" si="1"/>
        <v>M</v>
      </c>
      <c r="AE6" s="13" t="str">
        <f t="shared" si="1"/>
        <v>N</v>
      </c>
      <c r="AF6" s="10"/>
      <c r="AH6" s="95" t="s">
        <v>607</v>
      </c>
      <c r="AI6" s="96"/>
      <c r="AJ6" s="96"/>
      <c r="AK6" s="96"/>
      <c r="AL6" s="96"/>
      <c r="AM6" s="96"/>
      <c r="AN6" s="96"/>
      <c r="AO6" s="96"/>
      <c r="AP6" s="96"/>
      <c r="AQ6" s="96"/>
      <c r="AR6" s="96"/>
      <c r="AS6" s="96"/>
      <c r="AT6" s="96"/>
      <c r="AU6" s="96"/>
      <c r="AV6" s="96"/>
      <c r="AW6" s="96"/>
      <c r="AX6" s="96"/>
      <c r="AY6" s="96"/>
      <c r="AZ6" s="96"/>
      <c r="BA6" s="96"/>
      <c r="BB6" s="96"/>
      <c r="BC6" s="96"/>
      <c r="BD6" s="96"/>
      <c r="BE6" s="96"/>
      <c r="BF6" s="96"/>
      <c r="BG6" s="97"/>
    </row>
    <row r="7" spans="1:59" x14ac:dyDescent="0.35">
      <c r="B7" s="22" t="s">
        <v>389</v>
      </c>
      <c r="C7" s="41" t="str">
        <f>n_RingPosR</f>
        <v>A</v>
      </c>
      <c r="D7" s="11">
        <f>VLOOKUP(C7,nRingOffset,2,FALSE)</f>
        <v>0</v>
      </c>
      <c r="E7" t="s">
        <v>386</v>
      </c>
      <c r="F7" s="14" t="str">
        <f t="shared" ref="F7:AE7" si="2">IF(F5=1,VLOOKUP(nCurPosR+nRingOffsetR+(CODE(F4)-nCharOffset)-1,nNum2Let,2,FALSE),"")</f>
        <v>O</v>
      </c>
      <c r="G7" s="14" t="str">
        <f t="shared" si="2"/>
        <v>P</v>
      </c>
      <c r="H7" s="14" t="str">
        <f t="shared" si="2"/>
        <v>Q</v>
      </c>
      <c r="I7" s="14" t="str">
        <f t="shared" si="2"/>
        <v>R</v>
      </c>
      <c r="J7" s="14" t="str">
        <f t="shared" si="2"/>
        <v>S</v>
      </c>
      <c r="K7" s="14" t="str">
        <f t="shared" si="2"/>
        <v>T</v>
      </c>
      <c r="L7" s="14" t="str">
        <f t="shared" si="2"/>
        <v>U</v>
      </c>
      <c r="M7" s="14" t="str">
        <f t="shared" si="2"/>
        <v>V</v>
      </c>
      <c r="N7" s="14" t="str">
        <f t="shared" si="2"/>
        <v>W</v>
      </c>
      <c r="O7" s="14" t="str">
        <f t="shared" si="2"/>
        <v>X</v>
      </c>
      <c r="P7" s="14" t="str">
        <f t="shared" si="2"/>
        <v>Y</v>
      </c>
      <c r="Q7" s="14" t="str">
        <f t="shared" si="2"/>
        <v>Z</v>
      </c>
      <c r="R7" s="14" t="str">
        <f t="shared" si="2"/>
        <v>A</v>
      </c>
      <c r="S7" s="14" t="str">
        <f t="shared" si="2"/>
        <v>B</v>
      </c>
      <c r="T7" s="14" t="str">
        <f t="shared" si="2"/>
        <v>C</v>
      </c>
      <c r="U7" s="14" t="str">
        <f t="shared" si="2"/>
        <v>D</v>
      </c>
      <c r="V7" s="14" t="str">
        <f t="shared" si="2"/>
        <v>E</v>
      </c>
      <c r="W7" s="14" t="str">
        <f t="shared" si="2"/>
        <v>F</v>
      </c>
      <c r="X7" s="14" t="str">
        <f t="shared" si="2"/>
        <v>G</v>
      </c>
      <c r="Y7" s="14" t="str">
        <f t="shared" si="2"/>
        <v>H</v>
      </c>
      <c r="Z7" s="14" t="str">
        <f t="shared" si="2"/>
        <v>I</v>
      </c>
      <c r="AA7" s="14" t="str">
        <f t="shared" si="2"/>
        <v>J</v>
      </c>
      <c r="AB7" s="14" t="str">
        <f t="shared" si="2"/>
        <v>K</v>
      </c>
      <c r="AC7" s="14" t="str">
        <f t="shared" si="2"/>
        <v>L</v>
      </c>
      <c r="AD7" s="14" t="str">
        <f t="shared" si="2"/>
        <v>M</v>
      </c>
      <c r="AE7" s="14" t="str">
        <f t="shared" si="2"/>
        <v>N</v>
      </c>
      <c r="AF7" s="10"/>
      <c r="AH7" s="42" t="str">
        <f t="shared" ref="AH7:BG7" si="3">IF(LEN(AH9)=2,LEFT(AH9,1),"")</f>
        <v>A</v>
      </c>
      <c r="AI7" s="42" t="str">
        <f t="shared" si="3"/>
        <v>B</v>
      </c>
      <c r="AJ7" s="42" t="str">
        <f t="shared" si="3"/>
        <v>C</v>
      </c>
      <c r="AK7" s="42" t="str">
        <f t="shared" si="3"/>
        <v>D</v>
      </c>
      <c r="AL7" s="42" t="str">
        <f t="shared" si="3"/>
        <v>E</v>
      </c>
      <c r="AM7" s="42" t="str">
        <f t="shared" si="3"/>
        <v>F</v>
      </c>
      <c r="AN7" s="42" t="str">
        <f t="shared" si="3"/>
        <v>G</v>
      </c>
      <c r="AO7" s="42" t="str">
        <f t="shared" si="3"/>
        <v>H</v>
      </c>
      <c r="AP7" s="42" t="str">
        <f t="shared" si="3"/>
        <v>I</v>
      </c>
      <c r="AQ7" s="42" t="str">
        <f t="shared" si="3"/>
        <v>J</v>
      </c>
      <c r="AR7" s="42" t="str">
        <f t="shared" si="3"/>
        <v>K</v>
      </c>
      <c r="AS7" s="42" t="str">
        <f t="shared" si="3"/>
        <v>L</v>
      </c>
      <c r="AT7" s="42" t="str">
        <f t="shared" si="3"/>
        <v>M</v>
      </c>
      <c r="AU7" s="42" t="str">
        <f t="shared" si="3"/>
        <v>N</v>
      </c>
      <c r="AV7" s="42" t="str">
        <f t="shared" si="3"/>
        <v>O</v>
      </c>
      <c r="AW7" s="42" t="str">
        <f t="shared" si="3"/>
        <v>P</v>
      </c>
      <c r="AX7" s="42" t="str">
        <f t="shared" si="3"/>
        <v>Q</v>
      </c>
      <c r="AY7" s="42" t="str">
        <f t="shared" si="3"/>
        <v>R</v>
      </c>
      <c r="AZ7" s="42" t="str">
        <f t="shared" si="3"/>
        <v>S</v>
      </c>
      <c r="BA7" s="42" t="str">
        <f t="shared" si="3"/>
        <v>T</v>
      </c>
      <c r="BB7" s="42" t="str">
        <f t="shared" si="3"/>
        <v>U</v>
      </c>
      <c r="BC7" s="42" t="str">
        <f t="shared" si="3"/>
        <v>V</v>
      </c>
      <c r="BD7" s="42" t="str">
        <f t="shared" si="3"/>
        <v>W</v>
      </c>
      <c r="BE7" s="42" t="str">
        <f t="shared" si="3"/>
        <v>X</v>
      </c>
      <c r="BF7" s="42" t="str">
        <f t="shared" si="3"/>
        <v>Y</v>
      </c>
      <c r="BG7" s="42" t="str">
        <f t="shared" si="3"/>
        <v>Z</v>
      </c>
    </row>
    <row r="8" spans="1:59" x14ac:dyDescent="0.35">
      <c r="B8" s="22"/>
      <c r="C8" s="8"/>
      <c r="E8" t="s">
        <v>387</v>
      </c>
      <c r="F8" s="15" t="str">
        <f t="shared" ref="F8:AE8" si="4">IF(F5=1,VLOOKUP(nRotorR&amp;F7,nRotor,4,FALSE),"")</f>
        <v>M</v>
      </c>
      <c r="G8" s="15" t="str">
        <f t="shared" si="4"/>
        <v>C</v>
      </c>
      <c r="H8" s="15" t="str">
        <f t="shared" si="4"/>
        <v>Q</v>
      </c>
      <c r="I8" s="15" t="str">
        <f t="shared" si="4"/>
        <v>G</v>
      </c>
      <c r="J8" s="15" t="str">
        <f t="shared" si="4"/>
        <v>Z</v>
      </c>
      <c r="K8" s="15" t="str">
        <f t="shared" si="4"/>
        <v>N</v>
      </c>
      <c r="L8" s="15" t="str">
        <f t="shared" si="4"/>
        <v>P</v>
      </c>
      <c r="M8" s="15" t="str">
        <f t="shared" si="4"/>
        <v>Y</v>
      </c>
      <c r="N8" s="15" t="str">
        <f t="shared" si="4"/>
        <v>F</v>
      </c>
      <c r="O8" s="15" t="str">
        <f t="shared" si="4"/>
        <v>V</v>
      </c>
      <c r="P8" s="15" t="str">
        <f t="shared" si="4"/>
        <v>O</v>
      </c>
      <c r="Q8" s="15" t="str">
        <f t="shared" si="4"/>
        <v>E</v>
      </c>
      <c r="R8" s="15" t="str">
        <f t="shared" si="4"/>
        <v>A</v>
      </c>
      <c r="S8" s="15" t="str">
        <f t="shared" si="4"/>
        <v>J</v>
      </c>
      <c r="T8" s="15" t="str">
        <f t="shared" si="4"/>
        <v>D</v>
      </c>
      <c r="U8" s="15" t="str">
        <f t="shared" si="4"/>
        <v>K</v>
      </c>
      <c r="V8" s="15" t="str">
        <f t="shared" si="4"/>
        <v>S</v>
      </c>
      <c r="W8" s="15" t="str">
        <f t="shared" si="4"/>
        <v>I</v>
      </c>
      <c r="X8" s="15" t="str">
        <f t="shared" si="4"/>
        <v>R</v>
      </c>
      <c r="Y8" s="15" t="str">
        <f t="shared" si="4"/>
        <v>U</v>
      </c>
      <c r="Z8" s="15" t="str">
        <f t="shared" si="4"/>
        <v>X</v>
      </c>
      <c r="AA8" s="15" t="str">
        <f t="shared" si="4"/>
        <v>B</v>
      </c>
      <c r="AB8" s="15" t="str">
        <f t="shared" si="4"/>
        <v>L</v>
      </c>
      <c r="AC8" s="15" t="str">
        <f t="shared" si="4"/>
        <v>H</v>
      </c>
      <c r="AD8" s="15" t="str">
        <f t="shared" si="4"/>
        <v>W</v>
      </c>
      <c r="AE8" s="15" t="str">
        <f t="shared" si="4"/>
        <v>T</v>
      </c>
      <c r="AF8" s="10"/>
      <c r="AH8" s="28" t="str">
        <f t="shared" ref="AH8:BG8" si="5">IF(LEN(AH9)=2,RIGHT(AH9,1),"")</f>
        <v>Y</v>
      </c>
      <c r="AI8" s="28" t="str">
        <f t="shared" si="5"/>
        <v>O</v>
      </c>
      <c r="AJ8" s="28" t="str">
        <f t="shared" si="5"/>
        <v>C</v>
      </c>
      <c r="AK8" s="28" t="str">
        <f t="shared" si="5"/>
        <v>S</v>
      </c>
      <c r="AL8" s="28" t="str">
        <f t="shared" si="5"/>
        <v>L</v>
      </c>
      <c r="AM8" s="28" t="str">
        <f t="shared" si="5"/>
        <v>Z</v>
      </c>
      <c r="AN8" s="28" t="str">
        <f t="shared" si="5"/>
        <v>B</v>
      </c>
      <c r="AO8" s="28" t="str">
        <f t="shared" si="5"/>
        <v>K</v>
      </c>
      <c r="AP8" s="28" t="str">
        <f t="shared" si="5"/>
        <v>R</v>
      </c>
      <c r="AQ8" s="28" t="str">
        <f t="shared" si="5"/>
        <v>H</v>
      </c>
      <c r="AR8" s="28" t="str">
        <f t="shared" si="5"/>
        <v>A</v>
      </c>
      <c r="AS8" s="28" t="str">
        <f t="shared" si="5"/>
        <v>Q</v>
      </c>
      <c r="AT8" s="28" t="str">
        <f t="shared" si="5"/>
        <v>M</v>
      </c>
      <c r="AU8" s="28" t="str">
        <f t="shared" si="5"/>
        <v>V</v>
      </c>
      <c r="AV8" s="28" t="str">
        <f t="shared" si="5"/>
        <v>P</v>
      </c>
      <c r="AW8" s="28" t="str">
        <f t="shared" si="5"/>
        <v>W</v>
      </c>
      <c r="AX8" s="28" t="str">
        <f t="shared" si="5"/>
        <v>E</v>
      </c>
      <c r="AY8" s="28" t="str">
        <f t="shared" si="5"/>
        <v>U</v>
      </c>
      <c r="AZ8" s="28" t="str">
        <f t="shared" si="5"/>
        <v>D</v>
      </c>
      <c r="BA8" s="28" t="str">
        <f t="shared" si="5"/>
        <v>G</v>
      </c>
      <c r="BB8" s="28" t="str">
        <f t="shared" si="5"/>
        <v>J</v>
      </c>
      <c r="BC8" s="28" t="str">
        <f t="shared" si="5"/>
        <v>N</v>
      </c>
      <c r="BD8" s="28" t="str">
        <f t="shared" si="5"/>
        <v>X</v>
      </c>
      <c r="BE8" s="28" t="str">
        <f t="shared" si="5"/>
        <v>T</v>
      </c>
      <c r="BF8" s="28" t="str">
        <f t="shared" si="5"/>
        <v>I</v>
      </c>
      <c r="BG8" s="28" t="str">
        <f t="shared" si="5"/>
        <v>F</v>
      </c>
    </row>
    <row r="9" spans="1:59" ht="15" thickBot="1" x14ac:dyDescent="0.4">
      <c r="B9" s="23"/>
      <c r="C9" s="16"/>
      <c r="D9" s="17"/>
      <c r="E9" s="17" t="s">
        <v>388</v>
      </c>
      <c r="F9" s="18" t="str">
        <f t="shared" ref="F9:AE9" si="6">IF(F5=1,IF(CODE(F8)-CODE(F7)&lt;0,VLOOKUP((CODE(F8)-CODE(F7)+26)+(CODE(F4)-nCharOffset),nNum2Let,2,FALSE),VLOOKUP((CODE(F8)-CODE(F7))+(CODE(F4)-nCharOffset),nNum2Let,2,FALSE)),"")</f>
        <v>Y</v>
      </c>
      <c r="G9" s="18" t="str">
        <f t="shared" si="6"/>
        <v>O</v>
      </c>
      <c r="H9" s="18" t="str">
        <f t="shared" si="6"/>
        <v>C</v>
      </c>
      <c r="I9" s="18" t="str">
        <f t="shared" si="6"/>
        <v>S</v>
      </c>
      <c r="J9" s="18" t="str">
        <f t="shared" si="6"/>
        <v>L</v>
      </c>
      <c r="K9" s="18" t="str">
        <f t="shared" si="6"/>
        <v>Z</v>
      </c>
      <c r="L9" s="18" t="str">
        <f t="shared" si="6"/>
        <v>B</v>
      </c>
      <c r="M9" s="18" t="str">
        <f t="shared" si="6"/>
        <v>K</v>
      </c>
      <c r="N9" s="18" t="str">
        <f t="shared" si="6"/>
        <v>R</v>
      </c>
      <c r="O9" s="18" t="str">
        <f t="shared" si="6"/>
        <v>H</v>
      </c>
      <c r="P9" s="18" t="str">
        <f t="shared" si="6"/>
        <v>A</v>
      </c>
      <c r="Q9" s="18" t="str">
        <f t="shared" si="6"/>
        <v>Q</v>
      </c>
      <c r="R9" s="18" t="str">
        <f t="shared" si="6"/>
        <v>M</v>
      </c>
      <c r="S9" s="18" t="str">
        <f t="shared" si="6"/>
        <v>V</v>
      </c>
      <c r="T9" s="18" t="str">
        <f t="shared" si="6"/>
        <v>P</v>
      </c>
      <c r="U9" s="18" t="str">
        <f t="shared" si="6"/>
        <v>W</v>
      </c>
      <c r="V9" s="18" t="str">
        <f t="shared" si="6"/>
        <v>E</v>
      </c>
      <c r="W9" s="18" t="str">
        <f t="shared" si="6"/>
        <v>U</v>
      </c>
      <c r="X9" s="18" t="str">
        <f t="shared" si="6"/>
        <v>D</v>
      </c>
      <c r="Y9" s="18" t="str">
        <f t="shared" si="6"/>
        <v>G</v>
      </c>
      <c r="Z9" s="18" t="str">
        <f t="shared" si="6"/>
        <v>J</v>
      </c>
      <c r="AA9" s="18" t="str">
        <f t="shared" si="6"/>
        <v>N</v>
      </c>
      <c r="AB9" s="18" t="str">
        <f t="shared" si="6"/>
        <v>X</v>
      </c>
      <c r="AC9" s="18" t="str">
        <f t="shared" si="6"/>
        <v>T</v>
      </c>
      <c r="AD9" s="18" t="str">
        <f t="shared" si="6"/>
        <v>I</v>
      </c>
      <c r="AE9" s="18" t="str">
        <f t="shared" si="6"/>
        <v>F</v>
      </c>
      <c r="AF9" s="19" t="str">
        <f>CONCATENATE(F9,G9,H9,I9,J9,K9,L9,M9,N9,O9,P9,Q9,R9,S9,T9&amp;U9,V9,W9,X9,Y9,Z9,AA9,AB9,AC9,AD9,AE9)</f>
        <v>YOCSLZBKRHAQMVPWEUDGJNXTIF</v>
      </c>
      <c r="AH9" s="12" t="str">
        <f>F4&amp;F9</f>
        <v>AY</v>
      </c>
      <c r="AI9" s="12" t="str">
        <f t="shared" ref="AI9:BG9" si="7">G4&amp;G9</f>
        <v>BO</v>
      </c>
      <c r="AJ9" s="12" t="str">
        <f t="shared" si="7"/>
        <v>CC</v>
      </c>
      <c r="AK9" s="12" t="str">
        <f t="shared" si="7"/>
        <v>DS</v>
      </c>
      <c r="AL9" s="12" t="str">
        <f t="shared" si="7"/>
        <v>EL</v>
      </c>
      <c r="AM9" s="12" t="str">
        <f t="shared" si="7"/>
        <v>FZ</v>
      </c>
      <c r="AN9" s="12" t="str">
        <f t="shared" si="7"/>
        <v>GB</v>
      </c>
      <c r="AO9" s="12" t="str">
        <f t="shared" si="7"/>
        <v>HK</v>
      </c>
      <c r="AP9" s="12" t="str">
        <f t="shared" si="7"/>
        <v>IR</v>
      </c>
      <c r="AQ9" s="12" t="str">
        <f t="shared" si="7"/>
        <v>JH</v>
      </c>
      <c r="AR9" s="12" t="str">
        <f t="shared" si="7"/>
        <v>KA</v>
      </c>
      <c r="AS9" s="12" t="str">
        <f t="shared" si="7"/>
        <v>LQ</v>
      </c>
      <c r="AT9" s="12" t="str">
        <f t="shared" si="7"/>
        <v>MM</v>
      </c>
      <c r="AU9" s="12" t="str">
        <f t="shared" si="7"/>
        <v>NV</v>
      </c>
      <c r="AV9" s="12" t="str">
        <f t="shared" si="7"/>
        <v>OP</v>
      </c>
      <c r="AW9" s="12" t="str">
        <f t="shared" si="7"/>
        <v>PW</v>
      </c>
      <c r="AX9" s="12" t="str">
        <f t="shared" si="7"/>
        <v>QE</v>
      </c>
      <c r="AY9" s="12" t="str">
        <f t="shared" si="7"/>
        <v>RU</v>
      </c>
      <c r="AZ9" s="12" t="str">
        <f t="shared" si="7"/>
        <v>SD</v>
      </c>
      <c r="BA9" s="12" t="str">
        <f t="shared" si="7"/>
        <v>TG</v>
      </c>
      <c r="BB9" s="12" t="str">
        <f t="shared" si="7"/>
        <v>UJ</v>
      </c>
      <c r="BC9" s="12" t="str">
        <f t="shared" si="7"/>
        <v>VN</v>
      </c>
      <c r="BD9" s="12" t="str">
        <f t="shared" si="7"/>
        <v>WX</v>
      </c>
      <c r="BE9" s="12" t="str">
        <f t="shared" si="7"/>
        <v>XT</v>
      </c>
      <c r="BF9" s="12" t="str">
        <f t="shared" si="7"/>
        <v>YI</v>
      </c>
      <c r="BG9" s="12" t="str">
        <f t="shared" si="7"/>
        <v>ZF</v>
      </c>
    </row>
    <row r="10" spans="1:59" x14ac:dyDescent="0.35">
      <c r="B10" s="21"/>
      <c r="C10" s="4"/>
      <c r="D10" s="5"/>
      <c r="E10" s="5" t="s">
        <v>385</v>
      </c>
      <c r="F10" s="6" t="s">
        <v>0</v>
      </c>
      <c r="G10" s="6" t="s">
        <v>1</v>
      </c>
      <c r="H10" s="6" t="s">
        <v>2</v>
      </c>
      <c r="I10" s="6" t="s">
        <v>3</v>
      </c>
      <c r="J10" s="6" t="s">
        <v>4</v>
      </c>
      <c r="K10" s="6" t="s">
        <v>5</v>
      </c>
      <c r="L10" s="6" t="s">
        <v>6</v>
      </c>
      <c r="M10" s="6" t="s">
        <v>7</v>
      </c>
      <c r="N10" s="6" t="s">
        <v>8</v>
      </c>
      <c r="O10" s="6" t="s">
        <v>9</v>
      </c>
      <c r="P10" s="6" t="s">
        <v>10</v>
      </c>
      <c r="Q10" s="6" t="s">
        <v>11</v>
      </c>
      <c r="R10" s="6" t="s">
        <v>12</v>
      </c>
      <c r="S10" s="6" t="s">
        <v>13</v>
      </c>
      <c r="T10" s="6" t="s">
        <v>14</v>
      </c>
      <c r="U10" s="6" t="s">
        <v>15</v>
      </c>
      <c r="V10" s="6" t="s">
        <v>16</v>
      </c>
      <c r="W10" s="6" t="s">
        <v>17</v>
      </c>
      <c r="X10" s="6" t="s">
        <v>18</v>
      </c>
      <c r="Y10" s="6" t="s">
        <v>19</v>
      </c>
      <c r="Z10" s="6" t="s">
        <v>20</v>
      </c>
      <c r="AA10" s="6" t="s">
        <v>21</v>
      </c>
      <c r="AB10" s="6" t="s">
        <v>22</v>
      </c>
      <c r="AC10" s="6" t="s">
        <v>23</v>
      </c>
      <c r="AD10" s="6" t="s">
        <v>24</v>
      </c>
      <c r="AE10" s="6" t="s">
        <v>25</v>
      </c>
      <c r="AF10" s="20"/>
    </row>
    <row r="11" spans="1:59" x14ac:dyDescent="0.35">
      <c r="A11" s="43">
        <f>INT(D2/26)</f>
        <v>142</v>
      </c>
      <c r="B11" s="10"/>
      <c r="C11" s="8"/>
      <c r="F11" s="1">
        <f>IF(ISERROR(FIND(F10,$AF9)),0,1)</f>
        <v>1</v>
      </c>
      <c r="G11" s="1">
        <f t="shared" ref="G11:AE11" si="8">IF(ISERROR(FIND(G10,$AF9)),0,1)</f>
        <v>1</v>
      </c>
      <c r="H11" s="1">
        <f t="shared" si="8"/>
        <v>1</v>
      </c>
      <c r="I11" s="1">
        <f t="shared" si="8"/>
        <v>1</v>
      </c>
      <c r="J11" s="1">
        <f t="shared" si="8"/>
        <v>1</v>
      </c>
      <c r="K11" s="1">
        <f t="shared" si="8"/>
        <v>1</v>
      </c>
      <c r="L11" s="1">
        <f t="shared" si="8"/>
        <v>1</v>
      </c>
      <c r="M11" s="1">
        <f t="shared" si="8"/>
        <v>1</v>
      </c>
      <c r="N11" s="1">
        <f t="shared" si="8"/>
        <v>1</v>
      </c>
      <c r="O11" s="1">
        <f t="shared" si="8"/>
        <v>1</v>
      </c>
      <c r="P11" s="1">
        <f t="shared" si="8"/>
        <v>1</v>
      </c>
      <c r="Q11" s="1">
        <f t="shared" si="8"/>
        <v>1</v>
      </c>
      <c r="R11" s="1">
        <f t="shared" si="8"/>
        <v>1</v>
      </c>
      <c r="S11" s="1">
        <f t="shared" si="8"/>
        <v>1</v>
      </c>
      <c r="T11" s="1">
        <f t="shared" si="8"/>
        <v>1</v>
      </c>
      <c r="U11" s="1">
        <f t="shared" si="8"/>
        <v>1</v>
      </c>
      <c r="V11" s="1">
        <f t="shared" si="8"/>
        <v>1</v>
      </c>
      <c r="W11" s="1">
        <f t="shared" si="8"/>
        <v>1</v>
      </c>
      <c r="X11" s="1">
        <f t="shared" si="8"/>
        <v>1</v>
      </c>
      <c r="Y11" s="1">
        <f t="shared" si="8"/>
        <v>1</v>
      </c>
      <c r="Z11" s="1">
        <f t="shared" si="8"/>
        <v>1</v>
      </c>
      <c r="AA11" s="1">
        <f t="shared" si="8"/>
        <v>1</v>
      </c>
      <c r="AB11" s="1">
        <f t="shared" si="8"/>
        <v>1</v>
      </c>
      <c r="AC11" s="1">
        <f t="shared" si="8"/>
        <v>1</v>
      </c>
      <c r="AD11" s="1">
        <f t="shared" si="8"/>
        <v>1</v>
      </c>
      <c r="AE11" s="1">
        <f t="shared" si="8"/>
        <v>1</v>
      </c>
      <c r="AF11" s="10"/>
    </row>
    <row r="12" spans="1:59" x14ac:dyDescent="0.35">
      <c r="A12" s="43">
        <f>IF(A11=0,26,A11)</f>
        <v>142</v>
      </c>
      <c r="B12" s="10" t="s">
        <v>380</v>
      </c>
      <c r="C12" s="41">
        <f>n_RotorM</f>
        <v>4</v>
      </c>
      <c r="D12" s="11">
        <f>A12</f>
        <v>142</v>
      </c>
      <c r="E12" s="11">
        <f>IF(MOD(D12,26)=0,26,MOD(D12,26))</f>
        <v>12</v>
      </c>
      <c r="F12" s="12" t="str">
        <f>CHAR(E12+nCharOffset)</f>
        <v>L</v>
      </c>
      <c r="G12" s="13" t="str">
        <f t="shared" ref="G12:AE12" si="9">VLOOKUP(F12,nNextLetter,2,FALSE)</f>
        <v>M</v>
      </c>
      <c r="H12" s="13" t="str">
        <f t="shared" si="9"/>
        <v>N</v>
      </c>
      <c r="I12" s="13" t="str">
        <f t="shared" si="9"/>
        <v>O</v>
      </c>
      <c r="J12" s="13" t="str">
        <f t="shared" si="9"/>
        <v>P</v>
      </c>
      <c r="K12" s="13" t="str">
        <f t="shared" si="9"/>
        <v>Q</v>
      </c>
      <c r="L12" s="13" t="str">
        <f t="shared" si="9"/>
        <v>R</v>
      </c>
      <c r="M12" s="13" t="str">
        <f t="shared" si="9"/>
        <v>S</v>
      </c>
      <c r="N12" s="13" t="str">
        <f t="shared" si="9"/>
        <v>T</v>
      </c>
      <c r="O12" s="13" t="str">
        <f t="shared" si="9"/>
        <v>U</v>
      </c>
      <c r="P12" s="13" t="str">
        <f t="shared" si="9"/>
        <v>V</v>
      </c>
      <c r="Q12" s="13" t="str">
        <f t="shared" si="9"/>
        <v>W</v>
      </c>
      <c r="R12" s="13" t="str">
        <f t="shared" si="9"/>
        <v>X</v>
      </c>
      <c r="S12" s="13" t="str">
        <f t="shared" si="9"/>
        <v>Y</v>
      </c>
      <c r="T12" s="13" t="str">
        <f t="shared" si="9"/>
        <v>Z</v>
      </c>
      <c r="U12" s="13" t="str">
        <f t="shared" si="9"/>
        <v>A</v>
      </c>
      <c r="V12" s="13" t="str">
        <f t="shared" si="9"/>
        <v>B</v>
      </c>
      <c r="W12" s="13" t="str">
        <f t="shared" si="9"/>
        <v>C</v>
      </c>
      <c r="X12" s="13" t="str">
        <f t="shared" si="9"/>
        <v>D</v>
      </c>
      <c r="Y12" s="13" t="str">
        <f t="shared" si="9"/>
        <v>E</v>
      </c>
      <c r="Z12" s="13" t="str">
        <f t="shared" si="9"/>
        <v>F</v>
      </c>
      <c r="AA12" s="13" t="str">
        <f t="shared" si="9"/>
        <v>G</v>
      </c>
      <c r="AB12" s="13" t="str">
        <f t="shared" si="9"/>
        <v>H</v>
      </c>
      <c r="AC12" s="13" t="str">
        <f t="shared" si="9"/>
        <v>I</v>
      </c>
      <c r="AD12" s="13" t="str">
        <f t="shared" si="9"/>
        <v>J</v>
      </c>
      <c r="AE12" s="13" t="str">
        <f t="shared" si="9"/>
        <v>K</v>
      </c>
      <c r="AF12" s="10"/>
    </row>
    <row r="13" spans="1:59" x14ac:dyDescent="0.35">
      <c r="B13" s="22" t="s">
        <v>390</v>
      </c>
      <c r="C13" s="41" t="str">
        <f>n_RingPosM</f>
        <v>A</v>
      </c>
      <c r="D13" s="11">
        <f>VLOOKUP(C13,nRingOffset,2,FALSE)</f>
        <v>0</v>
      </c>
      <c r="E13" t="s">
        <v>386</v>
      </c>
      <c r="F13" s="14" t="str">
        <f t="shared" ref="F13:AE13" si="10">IF(F11=1,VLOOKUP(nCurPosM+nRingOffsetM+(CODE(F10)-nCharOffset)-1,nNum2Let,2,FALSE),"")</f>
        <v>L</v>
      </c>
      <c r="G13" s="14" t="str">
        <f t="shared" si="10"/>
        <v>M</v>
      </c>
      <c r="H13" s="14" t="str">
        <f t="shared" si="10"/>
        <v>N</v>
      </c>
      <c r="I13" s="14" t="str">
        <f t="shared" si="10"/>
        <v>O</v>
      </c>
      <c r="J13" s="14" t="str">
        <f t="shared" si="10"/>
        <v>P</v>
      </c>
      <c r="K13" s="14" t="str">
        <f t="shared" si="10"/>
        <v>Q</v>
      </c>
      <c r="L13" s="14" t="str">
        <f t="shared" si="10"/>
        <v>R</v>
      </c>
      <c r="M13" s="14" t="str">
        <f t="shared" si="10"/>
        <v>S</v>
      </c>
      <c r="N13" s="14" t="str">
        <f t="shared" si="10"/>
        <v>T</v>
      </c>
      <c r="O13" s="14" t="str">
        <f t="shared" si="10"/>
        <v>U</v>
      </c>
      <c r="P13" s="14" t="str">
        <f t="shared" si="10"/>
        <v>V</v>
      </c>
      <c r="Q13" s="14" t="str">
        <f t="shared" si="10"/>
        <v>W</v>
      </c>
      <c r="R13" s="14" t="str">
        <f t="shared" si="10"/>
        <v>X</v>
      </c>
      <c r="S13" s="14" t="str">
        <f t="shared" si="10"/>
        <v>Y</v>
      </c>
      <c r="T13" s="14" t="str">
        <f t="shared" si="10"/>
        <v>Z</v>
      </c>
      <c r="U13" s="14" t="str">
        <f t="shared" si="10"/>
        <v>A</v>
      </c>
      <c r="V13" s="14" t="str">
        <f t="shared" si="10"/>
        <v>B</v>
      </c>
      <c r="W13" s="14" t="str">
        <f t="shared" si="10"/>
        <v>C</v>
      </c>
      <c r="X13" s="14" t="str">
        <f t="shared" si="10"/>
        <v>D</v>
      </c>
      <c r="Y13" s="14" t="str">
        <f t="shared" si="10"/>
        <v>E</v>
      </c>
      <c r="Z13" s="14" t="str">
        <f t="shared" si="10"/>
        <v>F</v>
      </c>
      <c r="AA13" s="14" t="str">
        <f t="shared" si="10"/>
        <v>G</v>
      </c>
      <c r="AB13" s="14" t="str">
        <f t="shared" si="10"/>
        <v>H</v>
      </c>
      <c r="AC13" s="14" t="str">
        <f t="shared" si="10"/>
        <v>I</v>
      </c>
      <c r="AD13" s="14" t="str">
        <f t="shared" si="10"/>
        <v>J</v>
      </c>
      <c r="AE13" s="14" t="str">
        <f t="shared" si="10"/>
        <v>K</v>
      </c>
      <c r="AF13" s="10"/>
      <c r="AH13" s="28" t="str">
        <f t="shared" ref="AH13:BG13" si="11">IF(LEN(AH15)=2,LEFT(AH15,1),"")</f>
        <v>A</v>
      </c>
      <c r="AI13" s="28" t="str">
        <f t="shared" si="11"/>
        <v>B</v>
      </c>
      <c r="AJ13" s="28" t="str">
        <f t="shared" si="11"/>
        <v>C</v>
      </c>
      <c r="AK13" s="28" t="str">
        <f t="shared" si="11"/>
        <v>D</v>
      </c>
      <c r="AL13" s="28" t="str">
        <f t="shared" si="11"/>
        <v>E</v>
      </c>
      <c r="AM13" s="28" t="str">
        <f t="shared" si="11"/>
        <v>F</v>
      </c>
      <c r="AN13" s="28" t="str">
        <f t="shared" si="11"/>
        <v>G</v>
      </c>
      <c r="AO13" s="28" t="str">
        <f t="shared" si="11"/>
        <v>H</v>
      </c>
      <c r="AP13" s="28" t="str">
        <f t="shared" si="11"/>
        <v>I</v>
      </c>
      <c r="AQ13" s="28" t="str">
        <f t="shared" si="11"/>
        <v>J</v>
      </c>
      <c r="AR13" s="28" t="str">
        <f t="shared" si="11"/>
        <v>K</v>
      </c>
      <c r="AS13" s="28" t="str">
        <f t="shared" si="11"/>
        <v>L</v>
      </c>
      <c r="AT13" s="28" t="str">
        <f t="shared" si="11"/>
        <v>M</v>
      </c>
      <c r="AU13" s="28" t="str">
        <f t="shared" si="11"/>
        <v>N</v>
      </c>
      <c r="AV13" s="28" t="str">
        <f t="shared" si="11"/>
        <v>O</v>
      </c>
      <c r="AW13" s="28" t="str">
        <f t="shared" si="11"/>
        <v>P</v>
      </c>
      <c r="AX13" s="28" t="str">
        <f t="shared" si="11"/>
        <v>Q</v>
      </c>
      <c r="AY13" s="28" t="str">
        <f t="shared" si="11"/>
        <v>R</v>
      </c>
      <c r="AZ13" s="28" t="str">
        <f t="shared" si="11"/>
        <v>S</v>
      </c>
      <c r="BA13" s="28" t="str">
        <f t="shared" si="11"/>
        <v>T</v>
      </c>
      <c r="BB13" s="28" t="str">
        <f t="shared" si="11"/>
        <v>U</v>
      </c>
      <c r="BC13" s="28" t="str">
        <f t="shared" si="11"/>
        <v>V</v>
      </c>
      <c r="BD13" s="28" t="str">
        <f t="shared" si="11"/>
        <v>W</v>
      </c>
      <c r="BE13" s="28" t="str">
        <f t="shared" si="11"/>
        <v>X</v>
      </c>
      <c r="BF13" s="28" t="str">
        <f t="shared" si="11"/>
        <v>Y</v>
      </c>
      <c r="BG13" s="28" t="str">
        <f t="shared" si="11"/>
        <v>Z</v>
      </c>
    </row>
    <row r="14" spans="1:59" x14ac:dyDescent="0.35">
      <c r="B14" s="22"/>
      <c r="C14" s="8"/>
      <c r="E14" t="s">
        <v>387</v>
      </c>
      <c r="F14" s="15" t="str">
        <f t="shared" ref="F14:AE14" si="12">IF(F11=1,VLOOKUP(nRotorM&amp;F13,nRotor,4,FALSE),"")</f>
        <v>I</v>
      </c>
      <c r="G14" s="15" t="str">
        <f t="shared" si="12"/>
        <v>R</v>
      </c>
      <c r="H14" s="15" t="str">
        <f t="shared" si="12"/>
        <v>H</v>
      </c>
      <c r="I14" s="15" t="str">
        <f t="shared" si="12"/>
        <v>X</v>
      </c>
      <c r="J14" s="15" t="str">
        <f t="shared" si="12"/>
        <v>L</v>
      </c>
      <c r="K14" s="15" t="str">
        <f t="shared" si="12"/>
        <v>N</v>
      </c>
      <c r="L14" s="15" t="str">
        <f t="shared" si="12"/>
        <v>F</v>
      </c>
      <c r="M14" s="15" t="str">
        <f t="shared" si="12"/>
        <v>T</v>
      </c>
      <c r="N14" s="15" t="str">
        <f t="shared" si="12"/>
        <v>G</v>
      </c>
      <c r="O14" s="15" t="str">
        <f t="shared" si="12"/>
        <v>K</v>
      </c>
      <c r="P14" s="15" t="str">
        <f t="shared" si="12"/>
        <v>D</v>
      </c>
      <c r="Q14" s="15" t="str">
        <f t="shared" si="12"/>
        <v>C</v>
      </c>
      <c r="R14" s="15" t="str">
        <f t="shared" si="12"/>
        <v>M</v>
      </c>
      <c r="S14" s="15" t="str">
        <f t="shared" si="12"/>
        <v>W</v>
      </c>
      <c r="T14" s="15" t="str">
        <f t="shared" si="12"/>
        <v>B</v>
      </c>
      <c r="U14" s="15" t="str">
        <f t="shared" si="12"/>
        <v>E</v>
      </c>
      <c r="V14" s="15" t="str">
        <f t="shared" si="12"/>
        <v>S</v>
      </c>
      <c r="W14" s="15" t="str">
        <f t="shared" si="12"/>
        <v>O</v>
      </c>
      <c r="X14" s="15" t="str">
        <f t="shared" si="12"/>
        <v>V</v>
      </c>
      <c r="Y14" s="15" t="str">
        <f t="shared" si="12"/>
        <v>P</v>
      </c>
      <c r="Z14" s="15" t="str">
        <f t="shared" si="12"/>
        <v>Z</v>
      </c>
      <c r="AA14" s="15" t="str">
        <f t="shared" si="12"/>
        <v>J</v>
      </c>
      <c r="AB14" s="15" t="str">
        <f t="shared" si="12"/>
        <v>A</v>
      </c>
      <c r="AC14" s="15" t="str">
        <f t="shared" si="12"/>
        <v>Y</v>
      </c>
      <c r="AD14" s="15" t="str">
        <f t="shared" si="12"/>
        <v>Q</v>
      </c>
      <c r="AE14" s="15" t="str">
        <f t="shared" si="12"/>
        <v>U</v>
      </c>
      <c r="AF14" s="10"/>
      <c r="AH14" s="28" t="str">
        <f t="shared" ref="AH14:BG14" si="13">IF(LEN(AH15)=2,RIGHT(AH15,1),"")</f>
        <v>X</v>
      </c>
      <c r="AI14" s="28" t="str">
        <f t="shared" si="13"/>
        <v>G</v>
      </c>
      <c r="AJ14" s="28" t="str">
        <f t="shared" si="13"/>
        <v>W</v>
      </c>
      <c r="AK14" s="28" t="str">
        <f t="shared" si="13"/>
        <v>M</v>
      </c>
      <c r="AL14" s="28" t="str">
        <f t="shared" si="13"/>
        <v>A</v>
      </c>
      <c r="AM14" s="28" t="str">
        <f t="shared" si="13"/>
        <v>C</v>
      </c>
      <c r="AN14" s="28" t="str">
        <f t="shared" si="13"/>
        <v>U</v>
      </c>
      <c r="AO14" s="28" t="str">
        <f t="shared" si="13"/>
        <v>I</v>
      </c>
      <c r="AP14" s="28" t="str">
        <f t="shared" si="13"/>
        <v>V</v>
      </c>
      <c r="AQ14" s="28" t="str">
        <f t="shared" si="13"/>
        <v>Z</v>
      </c>
      <c r="AR14" s="28" t="str">
        <f t="shared" si="13"/>
        <v>S</v>
      </c>
      <c r="AS14" s="28" t="str">
        <f t="shared" si="13"/>
        <v>R</v>
      </c>
      <c r="AT14" s="28" t="str">
        <f t="shared" si="13"/>
        <v>B</v>
      </c>
      <c r="AU14" s="28" t="str">
        <f t="shared" si="13"/>
        <v>L</v>
      </c>
      <c r="AV14" s="28" t="str">
        <f t="shared" si="13"/>
        <v>Q</v>
      </c>
      <c r="AW14" s="28" t="str">
        <f t="shared" si="13"/>
        <v>T</v>
      </c>
      <c r="AX14" s="28" t="str">
        <f t="shared" si="13"/>
        <v>H</v>
      </c>
      <c r="AY14" s="28" t="str">
        <f t="shared" si="13"/>
        <v>D</v>
      </c>
      <c r="AZ14" s="28" t="str">
        <f t="shared" si="13"/>
        <v>K</v>
      </c>
      <c r="BA14" s="28" t="str">
        <f t="shared" si="13"/>
        <v>E</v>
      </c>
      <c r="BB14" s="28" t="str">
        <f t="shared" si="13"/>
        <v>O</v>
      </c>
      <c r="BC14" s="28" t="str">
        <f t="shared" si="13"/>
        <v>Y</v>
      </c>
      <c r="BD14" s="28" t="str">
        <f t="shared" si="13"/>
        <v>P</v>
      </c>
      <c r="BE14" s="28" t="str">
        <f t="shared" si="13"/>
        <v>N</v>
      </c>
      <c r="BF14" s="28" t="str">
        <f t="shared" si="13"/>
        <v>F</v>
      </c>
      <c r="BG14" s="28" t="str">
        <f t="shared" si="13"/>
        <v>J</v>
      </c>
    </row>
    <row r="15" spans="1:59" ht="15" thickBot="1" x14ac:dyDescent="0.4">
      <c r="B15" s="23"/>
      <c r="C15" s="16"/>
      <c r="D15" s="17"/>
      <c r="E15" s="17" t="s">
        <v>388</v>
      </c>
      <c r="F15" s="18" t="str">
        <f t="shared" ref="F15:AE15" si="14">IF(F11=1,IF(CODE(F14)-CODE(F13)&lt;0,VLOOKUP((CODE(F14)-CODE(F13)+26)+(CODE(F10)-nCharOffset),nNum2Let,2,FALSE),VLOOKUP((CODE(F14)-CODE(F13))+(CODE(F10)-nCharOffset),nNum2Let,2,FALSE)),"")</f>
        <v>X</v>
      </c>
      <c r="G15" s="18" t="str">
        <f t="shared" si="14"/>
        <v>G</v>
      </c>
      <c r="H15" s="18" t="str">
        <f t="shared" si="14"/>
        <v>W</v>
      </c>
      <c r="I15" s="18" t="str">
        <f t="shared" si="14"/>
        <v>M</v>
      </c>
      <c r="J15" s="18" t="str">
        <f t="shared" si="14"/>
        <v>A</v>
      </c>
      <c r="K15" s="18" t="str">
        <f t="shared" si="14"/>
        <v>C</v>
      </c>
      <c r="L15" s="18" t="str">
        <f t="shared" si="14"/>
        <v>U</v>
      </c>
      <c r="M15" s="18" t="str">
        <f t="shared" si="14"/>
        <v>I</v>
      </c>
      <c r="N15" s="18" t="str">
        <f t="shared" si="14"/>
        <v>V</v>
      </c>
      <c r="O15" s="18" t="str">
        <f t="shared" si="14"/>
        <v>Z</v>
      </c>
      <c r="P15" s="18" t="str">
        <f t="shared" si="14"/>
        <v>S</v>
      </c>
      <c r="Q15" s="18" t="str">
        <f t="shared" si="14"/>
        <v>R</v>
      </c>
      <c r="R15" s="18" t="str">
        <f t="shared" si="14"/>
        <v>B</v>
      </c>
      <c r="S15" s="18" t="str">
        <f t="shared" si="14"/>
        <v>L</v>
      </c>
      <c r="T15" s="18" t="str">
        <f t="shared" si="14"/>
        <v>Q</v>
      </c>
      <c r="U15" s="18" t="str">
        <f t="shared" si="14"/>
        <v>T</v>
      </c>
      <c r="V15" s="18" t="str">
        <f t="shared" si="14"/>
        <v>H</v>
      </c>
      <c r="W15" s="18" t="str">
        <f t="shared" si="14"/>
        <v>D</v>
      </c>
      <c r="X15" s="18" t="str">
        <f t="shared" si="14"/>
        <v>K</v>
      </c>
      <c r="Y15" s="18" t="str">
        <f t="shared" si="14"/>
        <v>E</v>
      </c>
      <c r="Z15" s="18" t="str">
        <f t="shared" si="14"/>
        <v>O</v>
      </c>
      <c r="AA15" s="18" t="str">
        <f t="shared" si="14"/>
        <v>Y</v>
      </c>
      <c r="AB15" s="18" t="str">
        <f t="shared" si="14"/>
        <v>P</v>
      </c>
      <c r="AC15" s="18" t="str">
        <f t="shared" si="14"/>
        <v>N</v>
      </c>
      <c r="AD15" s="18" t="str">
        <f t="shared" si="14"/>
        <v>F</v>
      </c>
      <c r="AE15" s="18" t="str">
        <f t="shared" si="14"/>
        <v>J</v>
      </c>
      <c r="AF15" s="19" t="str">
        <f>CONCATENATE(F15,G15,H15,I15,J15,K15,L15,M15,N15,O15,P15,Q15,R15,S15,T15&amp;U15,V15,W15,X15,Y15,Z15,AA15,AB15,AC15,AD15,AE15)</f>
        <v>XGWMACUIVZSRBLQTHDKEOYPNFJ</v>
      </c>
      <c r="AH15" s="12" t="str">
        <f>F10&amp;F15</f>
        <v>AX</v>
      </c>
      <c r="AI15" s="12" t="str">
        <f t="shared" ref="AI15:BG15" si="15">G10&amp;G15</f>
        <v>BG</v>
      </c>
      <c r="AJ15" s="12" t="str">
        <f t="shared" si="15"/>
        <v>CW</v>
      </c>
      <c r="AK15" s="12" t="str">
        <f t="shared" si="15"/>
        <v>DM</v>
      </c>
      <c r="AL15" s="12" t="str">
        <f t="shared" si="15"/>
        <v>EA</v>
      </c>
      <c r="AM15" s="12" t="str">
        <f t="shared" si="15"/>
        <v>FC</v>
      </c>
      <c r="AN15" s="12" t="str">
        <f t="shared" si="15"/>
        <v>GU</v>
      </c>
      <c r="AO15" s="12" t="str">
        <f t="shared" si="15"/>
        <v>HI</v>
      </c>
      <c r="AP15" s="12" t="str">
        <f t="shared" si="15"/>
        <v>IV</v>
      </c>
      <c r="AQ15" s="12" t="str">
        <f t="shared" si="15"/>
        <v>JZ</v>
      </c>
      <c r="AR15" s="12" t="str">
        <f t="shared" si="15"/>
        <v>KS</v>
      </c>
      <c r="AS15" s="12" t="str">
        <f t="shared" si="15"/>
        <v>LR</v>
      </c>
      <c r="AT15" s="12" t="str">
        <f t="shared" si="15"/>
        <v>MB</v>
      </c>
      <c r="AU15" s="12" t="str">
        <f t="shared" si="15"/>
        <v>NL</v>
      </c>
      <c r="AV15" s="12" t="str">
        <f t="shared" si="15"/>
        <v>OQ</v>
      </c>
      <c r="AW15" s="12" t="str">
        <f t="shared" si="15"/>
        <v>PT</v>
      </c>
      <c r="AX15" s="12" t="str">
        <f t="shared" si="15"/>
        <v>QH</v>
      </c>
      <c r="AY15" s="12" t="str">
        <f t="shared" si="15"/>
        <v>RD</v>
      </c>
      <c r="AZ15" s="12" t="str">
        <f t="shared" si="15"/>
        <v>SK</v>
      </c>
      <c r="BA15" s="12" t="str">
        <f t="shared" si="15"/>
        <v>TE</v>
      </c>
      <c r="BB15" s="12" t="str">
        <f t="shared" si="15"/>
        <v>UO</v>
      </c>
      <c r="BC15" s="12" t="str">
        <f t="shared" si="15"/>
        <v>VY</v>
      </c>
      <c r="BD15" s="12" t="str">
        <f t="shared" si="15"/>
        <v>WP</v>
      </c>
      <c r="BE15" s="12" t="str">
        <f t="shared" si="15"/>
        <v>XN</v>
      </c>
      <c r="BF15" s="12" t="str">
        <f t="shared" si="15"/>
        <v>YF</v>
      </c>
      <c r="BG15" s="12" t="str">
        <f t="shared" si="15"/>
        <v>ZJ</v>
      </c>
    </row>
    <row r="16" spans="1:59" x14ac:dyDescent="0.35">
      <c r="B16" s="21"/>
      <c r="C16" s="4"/>
      <c r="D16" s="5"/>
      <c r="E16" s="5" t="s">
        <v>385</v>
      </c>
      <c r="F16" s="6" t="s">
        <v>0</v>
      </c>
      <c r="G16" s="6" t="s">
        <v>1</v>
      </c>
      <c r="H16" s="6" t="s">
        <v>2</v>
      </c>
      <c r="I16" s="6" t="s">
        <v>3</v>
      </c>
      <c r="J16" s="6" t="s">
        <v>4</v>
      </c>
      <c r="K16" s="6" t="s">
        <v>5</v>
      </c>
      <c r="L16" s="6" t="s">
        <v>6</v>
      </c>
      <c r="M16" s="6" t="s">
        <v>7</v>
      </c>
      <c r="N16" s="6" t="s">
        <v>8</v>
      </c>
      <c r="O16" s="6" t="s">
        <v>9</v>
      </c>
      <c r="P16" s="6" t="s">
        <v>10</v>
      </c>
      <c r="Q16" s="6" t="s">
        <v>11</v>
      </c>
      <c r="R16" s="6" t="s">
        <v>12</v>
      </c>
      <c r="S16" s="6" t="s">
        <v>13</v>
      </c>
      <c r="T16" s="6" t="s">
        <v>14</v>
      </c>
      <c r="U16" s="6" t="s">
        <v>15</v>
      </c>
      <c r="V16" s="6" t="s">
        <v>16</v>
      </c>
      <c r="W16" s="6" t="s">
        <v>17</v>
      </c>
      <c r="X16" s="6" t="s">
        <v>18</v>
      </c>
      <c r="Y16" s="6" t="s">
        <v>19</v>
      </c>
      <c r="Z16" s="6" t="s">
        <v>20</v>
      </c>
      <c r="AA16" s="6" t="s">
        <v>21</v>
      </c>
      <c r="AB16" s="6" t="s">
        <v>22</v>
      </c>
      <c r="AC16" s="6" t="s">
        <v>23</v>
      </c>
      <c r="AD16" s="6" t="s">
        <v>24</v>
      </c>
      <c r="AE16" s="6" t="s">
        <v>25</v>
      </c>
      <c r="AF16" s="7"/>
      <c r="AH16" s="28" t="str">
        <f>HLOOKUP(AH8,$AH13:$BG14,2,FALSE)</f>
        <v>F</v>
      </c>
      <c r="AI16" s="28" t="str">
        <f>HLOOKUP(AI8,$AH13:$BG14,2,FALSE)</f>
        <v>Q</v>
      </c>
      <c r="AJ16" s="28" t="str">
        <f>HLOOKUP(AJ8,$AH13:$BG14,2,FALSE)</f>
        <v>W</v>
      </c>
      <c r="AK16" s="28" t="str">
        <f t="shared" ref="AK16:BG16" si="16">HLOOKUP(AK8,$AH13:$BG14,2,FALSE)</f>
        <v>K</v>
      </c>
      <c r="AL16" s="28" t="str">
        <f t="shared" si="16"/>
        <v>R</v>
      </c>
      <c r="AM16" s="28" t="str">
        <f t="shared" si="16"/>
        <v>J</v>
      </c>
      <c r="AN16" s="28" t="str">
        <f t="shared" si="16"/>
        <v>G</v>
      </c>
      <c r="AO16" s="28" t="str">
        <f t="shared" si="16"/>
        <v>S</v>
      </c>
      <c r="AP16" s="28" t="str">
        <f t="shared" si="16"/>
        <v>D</v>
      </c>
      <c r="AQ16" s="28" t="str">
        <f t="shared" si="16"/>
        <v>I</v>
      </c>
      <c r="AR16" s="28" t="str">
        <f t="shared" si="16"/>
        <v>X</v>
      </c>
      <c r="AS16" s="28" t="str">
        <f t="shared" si="16"/>
        <v>H</v>
      </c>
      <c r="AT16" s="28" t="str">
        <f t="shared" si="16"/>
        <v>B</v>
      </c>
      <c r="AU16" s="28" t="str">
        <f t="shared" si="16"/>
        <v>Y</v>
      </c>
      <c r="AV16" s="28" t="str">
        <f t="shared" si="16"/>
        <v>T</v>
      </c>
      <c r="AW16" s="28" t="str">
        <f t="shared" si="16"/>
        <v>P</v>
      </c>
      <c r="AX16" s="28" t="str">
        <f t="shared" si="16"/>
        <v>A</v>
      </c>
      <c r="AY16" s="28" t="str">
        <f t="shared" si="16"/>
        <v>O</v>
      </c>
      <c r="AZ16" s="28" t="str">
        <f t="shared" si="16"/>
        <v>M</v>
      </c>
      <c r="BA16" s="28" t="str">
        <f t="shared" si="16"/>
        <v>U</v>
      </c>
      <c r="BB16" s="28" t="str">
        <f t="shared" si="16"/>
        <v>Z</v>
      </c>
      <c r="BC16" s="28" t="str">
        <f t="shared" si="16"/>
        <v>L</v>
      </c>
      <c r="BD16" s="28" t="str">
        <f t="shared" si="16"/>
        <v>N</v>
      </c>
      <c r="BE16" s="28" t="str">
        <f t="shared" si="16"/>
        <v>E</v>
      </c>
      <c r="BF16" s="28" t="str">
        <f t="shared" si="16"/>
        <v>V</v>
      </c>
      <c r="BG16" s="28" t="str">
        <f t="shared" si="16"/>
        <v>C</v>
      </c>
    </row>
    <row r="17" spans="1:59" x14ac:dyDescent="0.35">
      <c r="A17" s="43">
        <f>INT(D2/676)</f>
        <v>5</v>
      </c>
      <c r="B17" s="10"/>
      <c r="C17" s="8"/>
      <c r="F17" s="1">
        <f>IF(ISERROR(FIND(F16,$AF15)),0,1)</f>
        <v>1</v>
      </c>
      <c r="G17" s="1">
        <f t="shared" ref="G17:AE17" si="17">IF(ISERROR(FIND(G16,$AF15)),0,1)</f>
        <v>1</v>
      </c>
      <c r="H17" s="1">
        <f t="shared" si="17"/>
        <v>1</v>
      </c>
      <c r="I17" s="1">
        <f t="shared" si="17"/>
        <v>1</v>
      </c>
      <c r="J17" s="1">
        <f t="shared" si="17"/>
        <v>1</v>
      </c>
      <c r="K17" s="1">
        <f t="shared" si="17"/>
        <v>1</v>
      </c>
      <c r="L17" s="1">
        <f t="shared" si="17"/>
        <v>1</v>
      </c>
      <c r="M17" s="1">
        <f t="shared" si="17"/>
        <v>1</v>
      </c>
      <c r="N17" s="1">
        <f t="shared" si="17"/>
        <v>1</v>
      </c>
      <c r="O17" s="1">
        <f t="shared" si="17"/>
        <v>1</v>
      </c>
      <c r="P17" s="1">
        <f t="shared" si="17"/>
        <v>1</v>
      </c>
      <c r="Q17" s="1">
        <f t="shared" si="17"/>
        <v>1</v>
      </c>
      <c r="R17" s="1">
        <f t="shared" si="17"/>
        <v>1</v>
      </c>
      <c r="S17" s="1">
        <f t="shared" si="17"/>
        <v>1</v>
      </c>
      <c r="T17" s="1">
        <f t="shared" si="17"/>
        <v>1</v>
      </c>
      <c r="U17" s="1">
        <f t="shared" si="17"/>
        <v>1</v>
      </c>
      <c r="V17" s="1">
        <f t="shared" si="17"/>
        <v>1</v>
      </c>
      <c r="W17" s="1">
        <f t="shared" si="17"/>
        <v>1</v>
      </c>
      <c r="X17" s="1">
        <f t="shared" si="17"/>
        <v>1</v>
      </c>
      <c r="Y17" s="1">
        <f t="shared" si="17"/>
        <v>1</v>
      </c>
      <c r="Z17" s="1">
        <f t="shared" si="17"/>
        <v>1</v>
      </c>
      <c r="AA17" s="1">
        <f t="shared" si="17"/>
        <v>1</v>
      </c>
      <c r="AB17" s="1">
        <f t="shared" si="17"/>
        <v>1</v>
      </c>
      <c r="AC17" s="1">
        <f t="shared" si="17"/>
        <v>1</v>
      </c>
      <c r="AD17" s="1">
        <f t="shared" si="17"/>
        <v>1</v>
      </c>
      <c r="AE17" s="1">
        <f t="shared" si="17"/>
        <v>1</v>
      </c>
      <c r="AF17" s="10"/>
    </row>
    <row r="18" spans="1:59" x14ac:dyDescent="0.35">
      <c r="A18" s="43">
        <f>IF(A17=0,26,A17)</f>
        <v>5</v>
      </c>
      <c r="B18" s="10" t="s">
        <v>381</v>
      </c>
      <c r="C18" s="41">
        <f>n_RotorL</f>
        <v>1</v>
      </c>
      <c r="D18" s="11">
        <f>A18</f>
        <v>5</v>
      </c>
      <c r="E18" s="11">
        <f>IF(MOD(D18,26)=0,26,MOD(D18,26))</f>
        <v>5</v>
      </c>
      <c r="F18" s="12" t="str">
        <f>CHAR(E18+nCharOffset)</f>
        <v>E</v>
      </c>
      <c r="G18" s="13" t="str">
        <f t="shared" ref="G18:AE18" si="18">VLOOKUP(F18,nNextLetter,2,FALSE)</f>
        <v>F</v>
      </c>
      <c r="H18" s="13" t="str">
        <f t="shared" si="18"/>
        <v>G</v>
      </c>
      <c r="I18" s="13" t="str">
        <f t="shared" si="18"/>
        <v>H</v>
      </c>
      <c r="J18" s="13" t="str">
        <f t="shared" si="18"/>
        <v>I</v>
      </c>
      <c r="K18" s="13" t="str">
        <f t="shared" si="18"/>
        <v>J</v>
      </c>
      <c r="L18" s="13" t="str">
        <f t="shared" si="18"/>
        <v>K</v>
      </c>
      <c r="M18" s="13" t="str">
        <f t="shared" si="18"/>
        <v>L</v>
      </c>
      <c r="N18" s="13" t="str">
        <f t="shared" si="18"/>
        <v>M</v>
      </c>
      <c r="O18" s="13" t="str">
        <f t="shared" si="18"/>
        <v>N</v>
      </c>
      <c r="P18" s="13" t="str">
        <f t="shared" si="18"/>
        <v>O</v>
      </c>
      <c r="Q18" s="13" t="str">
        <f t="shared" si="18"/>
        <v>P</v>
      </c>
      <c r="R18" s="13" t="str">
        <f t="shared" si="18"/>
        <v>Q</v>
      </c>
      <c r="S18" s="13" t="str">
        <f t="shared" si="18"/>
        <v>R</v>
      </c>
      <c r="T18" s="13" t="str">
        <f t="shared" si="18"/>
        <v>S</v>
      </c>
      <c r="U18" s="13" t="str">
        <f t="shared" si="18"/>
        <v>T</v>
      </c>
      <c r="V18" s="13" t="str">
        <f t="shared" si="18"/>
        <v>U</v>
      </c>
      <c r="W18" s="13" t="str">
        <f t="shared" si="18"/>
        <v>V</v>
      </c>
      <c r="X18" s="13" t="str">
        <f t="shared" si="18"/>
        <v>W</v>
      </c>
      <c r="Y18" s="13" t="str">
        <f t="shared" si="18"/>
        <v>X</v>
      </c>
      <c r="Z18" s="13" t="str">
        <f t="shared" si="18"/>
        <v>Y</v>
      </c>
      <c r="AA18" s="13" t="str">
        <f t="shared" si="18"/>
        <v>Z</v>
      </c>
      <c r="AB18" s="13" t="str">
        <f t="shared" si="18"/>
        <v>A</v>
      </c>
      <c r="AC18" s="13" t="str">
        <f t="shared" si="18"/>
        <v>B</v>
      </c>
      <c r="AD18" s="13" t="str">
        <f t="shared" si="18"/>
        <v>C</v>
      </c>
      <c r="AE18" s="13" t="str">
        <f t="shared" si="18"/>
        <v>D</v>
      </c>
      <c r="AF18" s="10"/>
    </row>
    <row r="19" spans="1:59" x14ac:dyDescent="0.35">
      <c r="B19" s="22" t="s">
        <v>391</v>
      </c>
      <c r="C19" s="41" t="str">
        <f>n_RingPosL</f>
        <v>A</v>
      </c>
      <c r="D19" s="11">
        <f>VLOOKUP(C19,nRingOffset,2,FALSE)</f>
        <v>0</v>
      </c>
      <c r="E19" t="s">
        <v>386</v>
      </c>
      <c r="F19" s="14" t="str">
        <f t="shared" ref="F19:AE19" si="19">IF(F17=1,VLOOKUP(nCurPosL+nRingOffsetL+(CODE(F16)-nCharOffset)-1,nNum2Let,2,FALSE),"")</f>
        <v>E</v>
      </c>
      <c r="G19" s="14" t="str">
        <f t="shared" si="19"/>
        <v>F</v>
      </c>
      <c r="H19" s="14" t="str">
        <f t="shared" si="19"/>
        <v>G</v>
      </c>
      <c r="I19" s="14" t="str">
        <f t="shared" si="19"/>
        <v>H</v>
      </c>
      <c r="J19" s="14" t="str">
        <f t="shared" si="19"/>
        <v>I</v>
      </c>
      <c r="K19" s="14" t="str">
        <f t="shared" si="19"/>
        <v>J</v>
      </c>
      <c r="L19" s="14" t="str">
        <f t="shared" si="19"/>
        <v>K</v>
      </c>
      <c r="M19" s="14" t="str">
        <f t="shared" si="19"/>
        <v>L</v>
      </c>
      <c r="N19" s="14" t="str">
        <f t="shared" si="19"/>
        <v>M</v>
      </c>
      <c r="O19" s="14" t="str">
        <f t="shared" si="19"/>
        <v>N</v>
      </c>
      <c r="P19" s="14" t="str">
        <f t="shared" si="19"/>
        <v>O</v>
      </c>
      <c r="Q19" s="14" t="str">
        <f t="shared" si="19"/>
        <v>P</v>
      </c>
      <c r="R19" s="14" t="str">
        <f t="shared" si="19"/>
        <v>Q</v>
      </c>
      <c r="S19" s="14" t="str">
        <f t="shared" si="19"/>
        <v>R</v>
      </c>
      <c r="T19" s="14" t="str">
        <f t="shared" si="19"/>
        <v>S</v>
      </c>
      <c r="U19" s="14" t="str">
        <f t="shared" si="19"/>
        <v>T</v>
      </c>
      <c r="V19" s="14" t="str">
        <f t="shared" si="19"/>
        <v>U</v>
      </c>
      <c r="W19" s="14" t="str">
        <f t="shared" si="19"/>
        <v>V</v>
      </c>
      <c r="X19" s="14" t="str">
        <f t="shared" si="19"/>
        <v>W</v>
      </c>
      <c r="Y19" s="14" t="str">
        <f t="shared" si="19"/>
        <v>X</v>
      </c>
      <c r="Z19" s="14" t="str">
        <f t="shared" si="19"/>
        <v>Y</v>
      </c>
      <c r="AA19" s="14" t="str">
        <f t="shared" si="19"/>
        <v>Z</v>
      </c>
      <c r="AB19" s="14" t="str">
        <f t="shared" si="19"/>
        <v>A</v>
      </c>
      <c r="AC19" s="14" t="str">
        <f t="shared" si="19"/>
        <v>B</v>
      </c>
      <c r="AD19" s="14" t="str">
        <f t="shared" si="19"/>
        <v>C</v>
      </c>
      <c r="AE19" s="14" t="str">
        <f t="shared" si="19"/>
        <v>D</v>
      </c>
      <c r="AF19" s="10"/>
      <c r="AH19" s="28" t="str">
        <f t="shared" ref="AH19:BG19" si="20">IF(LEN(AH21)=2,LEFT(AH21,1),"")</f>
        <v>A</v>
      </c>
      <c r="AI19" s="28" t="str">
        <f t="shared" si="20"/>
        <v>B</v>
      </c>
      <c r="AJ19" s="28" t="str">
        <f t="shared" si="20"/>
        <v>C</v>
      </c>
      <c r="AK19" s="28" t="str">
        <f t="shared" si="20"/>
        <v>D</v>
      </c>
      <c r="AL19" s="28" t="str">
        <f t="shared" si="20"/>
        <v>E</v>
      </c>
      <c r="AM19" s="28" t="str">
        <f t="shared" si="20"/>
        <v>F</v>
      </c>
      <c r="AN19" s="28" t="str">
        <f t="shared" si="20"/>
        <v>G</v>
      </c>
      <c r="AO19" s="28" t="str">
        <f t="shared" si="20"/>
        <v>H</v>
      </c>
      <c r="AP19" s="28" t="str">
        <f t="shared" si="20"/>
        <v>I</v>
      </c>
      <c r="AQ19" s="28" t="str">
        <f t="shared" si="20"/>
        <v>J</v>
      </c>
      <c r="AR19" s="28" t="str">
        <f t="shared" si="20"/>
        <v>K</v>
      </c>
      <c r="AS19" s="28" t="str">
        <f t="shared" si="20"/>
        <v>L</v>
      </c>
      <c r="AT19" s="28" t="str">
        <f t="shared" si="20"/>
        <v>M</v>
      </c>
      <c r="AU19" s="28" t="str">
        <f t="shared" si="20"/>
        <v>N</v>
      </c>
      <c r="AV19" s="28" t="str">
        <f t="shared" si="20"/>
        <v>O</v>
      </c>
      <c r="AW19" s="28" t="str">
        <f t="shared" si="20"/>
        <v>P</v>
      </c>
      <c r="AX19" s="28" t="str">
        <f t="shared" si="20"/>
        <v>Q</v>
      </c>
      <c r="AY19" s="28" t="str">
        <f t="shared" si="20"/>
        <v>R</v>
      </c>
      <c r="AZ19" s="28" t="str">
        <f t="shared" si="20"/>
        <v>S</v>
      </c>
      <c r="BA19" s="28" t="str">
        <f t="shared" si="20"/>
        <v>T</v>
      </c>
      <c r="BB19" s="28" t="str">
        <f t="shared" si="20"/>
        <v>U</v>
      </c>
      <c r="BC19" s="28" t="str">
        <f t="shared" si="20"/>
        <v>V</v>
      </c>
      <c r="BD19" s="28" t="str">
        <f t="shared" si="20"/>
        <v>W</v>
      </c>
      <c r="BE19" s="28" t="str">
        <f t="shared" si="20"/>
        <v>X</v>
      </c>
      <c r="BF19" s="28" t="str">
        <f t="shared" si="20"/>
        <v>Y</v>
      </c>
      <c r="BG19" s="28" t="str">
        <f t="shared" si="20"/>
        <v>Z</v>
      </c>
    </row>
    <row r="20" spans="1:59" x14ac:dyDescent="0.35">
      <c r="B20" s="22"/>
      <c r="C20" s="8"/>
      <c r="E20" t="s">
        <v>387</v>
      </c>
      <c r="F20" s="15" t="str">
        <f t="shared" ref="F20:AE20" si="21">IF(F17=1,VLOOKUP(nRotorL&amp;F19,nRotor,4,FALSE),"")</f>
        <v>L</v>
      </c>
      <c r="G20" s="15" t="str">
        <f t="shared" si="21"/>
        <v>G</v>
      </c>
      <c r="H20" s="15" t="str">
        <f t="shared" si="21"/>
        <v>D</v>
      </c>
      <c r="I20" s="15" t="str">
        <f t="shared" si="21"/>
        <v>Q</v>
      </c>
      <c r="J20" s="15" t="str">
        <f t="shared" si="21"/>
        <v>V</v>
      </c>
      <c r="K20" s="15" t="str">
        <f t="shared" si="21"/>
        <v>Z</v>
      </c>
      <c r="L20" s="15" t="str">
        <f t="shared" si="21"/>
        <v>N</v>
      </c>
      <c r="M20" s="15" t="str">
        <f t="shared" si="21"/>
        <v>T</v>
      </c>
      <c r="N20" s="15" t="str">
        <f t="shared" si="21"/>
        <v>O</v>
      </c>
      <c r="O20" s="15" t="str">
        <f t="shared" si="21"/>
        <v>W</v>
      </c>
      <c r="P20" s="15" t="str">
        <f t="shared" si="21"/>
        <v>Y</v>
      </c>
      <c r="Q20" s="15" t="str">
        <f t="shared" si="21"/>
        <v>H</v>
      </c>
      <c r="R20" s="15" t="str">
        <f t="shared" si="21"/>
        <v>X</v>
      </c>
      <c r="S20" s="15" t="str">
        <f t="shared" si="21"/>
        <v>U</v>
      </c>
      <c r="T20" s="15" t="str">
        <f t="shared" si="21"/>
        <v>S</v>
      </c>
      <c r="U20" s="15" t="str">
        <f t="shared" si="21"/>
        <v>P</v>
      </c>
      <c r="V20" s="15" t="str">
        <f t="shared" si="21"/>
        <v>A</v>
      </c>
      <c r="W20" s="15" t="str">
        <f t="shared" si="21"/>
        <v>I</v>
      </c>
      <c r="X20" s="15" t="str">
        <f t="shared" si="21"/>
        <v>B</v>
      </c>
      <c r="Y20" s="15" t="str">
        <f t="shared" si="21"/>
        <v>R</v>
      </c>
      <c r="Z20" s="15" t="str">
        <f t="shared" si="21"/>
        <v>C</v>
      </c>
      <c r="AA20" s="15" t="str">
        <f t="shared" si="21"/>
        <v>J</v>
      </c>
      <c r="AB20" s="15" t="str">
        <f t="shared" si="21"/>
        <v>E</v>
      </c>
      <c r="AC20" s="15" t="str">
        <f t="shared" si="21"/>
        <v>K</v>
      </c>
      <c r="AD20" s="15" t="str">
        <f t="shared" si="21"/>
        <v>M</v>
      </c>
      <c r="AE20" s="15" t="str">
        <f t="shared" si="21"/>
        <v>F</v>
      </c>
      <c r="AF20" s="10"/>
      <c r="AH20" s="28" t="str">
        <f t="shared" ref="AH20:BG20" si="22">IF(LEN(AH21)=2,RIGHT(AH21,1),"")</f>
        <v>H</v>
      </c>
      <c r="AI20" s="28" t="str">
        <f t="shared" si="22"/>
        <v>C</v>
      </c>
      <c r="AJ20" s="28" t="str">
        <f t="shared" si="22"/>
        <v>Z</v>
      </c>
      <c r="AK20" s="28" t="str">
        <f t="shared" si="22"/>
        <v>M</v>
      </c>
      <c r="AL20" s="28" t="str">
        <f t="shared" si="22"/>
        <v>R</v>
      </c>
      <c r="AM20" s="28" t="str">
        <f t="shared" si="22"/>
        <v>V</v>
      </c>
      <c r="AN20" s="28" t="str">
        <f t="shared" si="22"/>
        <v>J</v>
      </c>
      <c r="AO20" s="28" t="str">
        <f t="shared" si="22"/>
        <v>P</v>
      </c>
      <c r="AP20" s="28" t="str">
        <f t="shared" si="22"/>
        <v>K</v>
      </c>
      <c r="AQ20" s="28" t="str">
        <f t="shared" si="22"/>
        <v>S</v>
      </c>
      <c r="AR20" s="28" t="str">
        <f t="shared" si="22"/>
        <v>U</v>
      </c>
      <c r="AS20" s="28" t="str">
        <f t="shared" si="22"/>
        <v>D</v>
      </c>
      <c r="AT20" s="28" t="str">
        <f t="shared" si="22"/>
        <v>T</v>
      </c>
      <c r="AU20" s="28" t="str">
        <f t="shared" si="22"/>
        <v>Q</v>
      </c>
      <c r="AV20" s="28" t="str">
        <f t="shared" si="22"/>
        <v>O</v>
      </c>
      <c r="AW20" s="28" t="str">
        <f t="shared" si="22"/>
        <v>L</v>
      </c>
      <c r="AX20" s="28" t="str">
        <f t="shared" si="22"/>
        <v>W</v>
      </c>
      <c r="AY20" s="28" t="str">
        <f t="shared" si="22"/>
        <v>E</v>
      </c>
      <c r="AZ20" s="28" t="str">
        <f t="shared" si="22"/>
        <v>X</v>
      </c>
      <c r="BA20" s="28" t="str">
        <f t="shared" si="22"/>
        <v>N</v>
      </c>
      <c r="BB20" s="28" t="str">
        <f t="shared" si="22"/>
        <v>Y</v>
      </c>
      <c r="BC20" s="28" t="str">
        <f t="shared" si="22"/>
        <v>F</v>
      </c>
      <c r="BD20" s="28" t="str">
        <f t="shared" si="22"/>
        <v>A</v>
      </c>
      <c r="BE20" s="28" t="str">
        <f t="shared" si="22"/>
        <v>G</v>
      </c>
      <c r="BF20" s="28" t="str">
        <f t="shared" si="22"/>
        <v>I</v>
      </c>
      <c r="BG20" s="28" t="str">
        <f t="shared" si="22"/>
        <v>B</v>
      </c>
    </row>
    <row r="21" spans="1:59" ht="15" thickBot="1" x14ac:dyDescent="0.4">
      <c r="B21" s="23"/>
      <c r="C21" s="16"/>
      <c r="D21" s="17"/>
      <c r="E21" s="17" t="s">
        <v>388</v>
      </c>
      <c r="F21" s="18" t="str">
        <f t="shared" ref="F21:AE21" si="23">IF(F17=1,IF(CODE(F20)-CODE(F19)&lt;0,VLOOKUP((CODE(F20)-CODE(F19)+26)+(CODE(F16)-nCharOffset),nNum2Let,2,FALSE),VLOOKUP((CODE(F20)-CODE(F19))+(CODE(F16)-nCharOffset),nNum2Let,2,FALSE)),"")</f>
        <v>H</v>
      </c>
      <c r="G21" s="18" t="str">
        <f t="shared" si="23"/>
        <v>C</v>
      </c>
      <c r="H21" s="18" t="str">
        <f t="shared" si="23"/>
        <v>Z</v>
      </c>
      <c r="I21" s="18" t="str">
        <f t="shared" si="23"/>
        <v>M</v>
      </c>
      <c r="J21" s="18" t="str">
        <f t="shared" si="23"/>
        <v>R</v>
      </c>
      <c r="K21" s="18" t="str">
        <f t="shared" si="23"/>
        <v>V</v>
      </c>
      <c r="L21" s="18" t="str">
        <f t="shared" si="23"/>
        <v>J</v>
      </c>
      <c r="M21" s="18" t="str">
        <f t="shared" si="23"/>
        <v>P</v>
      </c>
      <c r="N21" s="18" t="str">
        <f t="shared" si="23"/>
        <v>K</v>
      </c>
      <c r="O21" s="18" t="str">
        <f t="shared" si="23"/>
        <v>S</v>
      </c>
      <c r="P21" s="18" t="str">
        <f t="shared" si="23"/>
        <v>U</v>
      </c>
      <c r="Q21" s="18" t="str">
        <f t="shared" si="23"/>
        <v>D</v>
      </c>
      <c r="R21" s="18" t="str">
        <f t="shared" si="23"/>
        <v>T</v>
      </c>
      <c r="S21" s="18" t="str">
        <f t="shared" si="23"/>
        <v>Q</v>
      </c>
      <c r="T21" s="18" t="str">
        <f t="shared" si="23"/>
        <v>O</v>
      </c>
      <c r="U21" s="18" t="str">
        <f t="shared" si="23"/>
        <v>L</v>
      </c>
      <c r="V21" s="18" t="str">
        <f t="shared" si="23"/>
        <v>W</v>
      </c>
      <c r="W21" s="18" t="str">
        <f t="shared" si="23"/>
        <v>E</v>
      </c>
      <c r="X21" s="18" t="str">
        <f t="shared" si="23"/>
        <v>X</v>
      </c>
      <c r="Y21" s="18" t="str">
        <f t="shared" si="23"/>
        <v>N</v>
      </c>
      <c r="Z21" s="18" t="str">
        <f t="shared" si="23"/>
        <v>Y</v>
      </c>
      <c r="AA21" s="18" t="str">
        <f t="shared" si="23"/>
        <v>F</v>
      </c>
      <c r="AB21" s="18" t="str">
        <f t="shared" si="23"/>
        <v>A</v>
      </c>
      <c r="AC21" s="18" t="str">
        <f t="shared" si="23"/>
        <v>G</v>
      </c>
      <c r="AD21" s="18" t="str">
        <f t="shared" si="23"/>
        <v>I</v>
      </c>
      <c r="AE21" s="18" t="str">
        <f t="shared" si="23"/>
        <v>B</v>
      </c>
      <c r="AF21" s="19" t="str">
        <f>CONCATENATE(F21,G21,H21,I21,J21,K21,L21,M21,N21,O21,P21,Q21,R21,S21,T21&amp;U21,V21,W21,X21,Y21,Z21,AA21,AB21,AC21,AD21,AE21)</f>
        <v>HCZMRVJPKSUDTQOLWEXNYFAGIB</v>
      </c>
      <c r="AH21" s="12" t="str">
        <f>F16&amp;F21</f>
        <v>AH</v>
      </c>
      <c r="AI21" s="12" t="str">
        <f t="shared" ref="AI21:BG21" si="24">G16&amp;G21</f>
        <v>BC</v>
      </c>
      <c r="AJ21" s="12" t="str">
        <f t="shared" si="24"/>
        <v>CZ</v>
      </c>
      <c r="AK21" s="12" t="str">
        <f t="shared" si="24"/>
        <v>DM</v>
      </c>
      <c r="AL21" s="12" t="str">
        <f t="shared" si="24"/>
        <v>ER</v>
      </c>
      <c r="AM21" s="12" t="str">
        <f t="shared" si="24"/>
        <v>FV</v>
      </c>
      <c r="AN21" s="12" t="str">
        <f t="shared" si="24"/>
        <v>GJ</v>
      </c>
      <c r="AO21" s="12" t="str">
        <f t="shared" si="24"/>
        <v>HP</v>
      </c>
      <c r="AP21" s="12" t="str">
        <f t="shared" si="24"/>
        <v>IK</v>
      </c>
      <c r="AQ21" s="12" t="str">
        <f t="shared" si="24"/>
        <v>JS</v>
      </c>
      <c r="AR21" s="12" t="str">
        <f t="shared" si="24"/>
        <v>KU</v>
      </c>
      <c r="AS21" s="12" t="str">
        <f t="shared" si="24"/>
        <v>LD</v>
      </c>
      <c r="AT21" s="12" t="str">
        <f t="shared" si="24"/>
        <v>MT</v>
      </c>
      <c r="AU21" s="12" t="str">
        <f t="shared" si="24"/>
        <v>NQ</v>
      </c>
      <c r="AV21" s="12" t="str">
        <f t="shared" si="24"/>
        <v>OO</v>
      </c>
      <c r="AW21" s="12" t="str">
        <f t="shared" si="24"/>
        <v>PL</v>
      </c>
      <c r="AX21" s="12" t="str">
        <f t="shared" si="24"/>
        <v>QW</v>
      </c>
      <c r="AY21" s="12" t="str">
        <f t="shared" si="24"/>
        <v>RE</v>
      </c>
      <c r="AZ21" s="12" t="str">
        <f t="shared" si="24"/>
        <v>SX</v>
      </c>
      <c r="BA21" s="12" t="str">
        <f t="shared" si="24"/>
        <v>TN</v>
      </c>
      <c r="BB21" s="12" t="str">
        <f t="shared" si="24"/>
        <v>UY</v>
      </c>
      <c r="BC21" s="12" t="str">
        <f t="shared" si="24"/>
        <v>VF</v>
      </c>
      <c r="BD21" s="12" t="str">
        <f t="shared" si="24"/>
        <v>WA</v>
      </c>
      <c r="BE21" s="12" t="str">
        <f t="shared" si="24"/>
        <v>XG</v>
      </c>
      <c r="BF21" s="12" t="str">
        <f t="shared" si="24"/>
        <v>YI</v>
      </c>
      <c r="BG21" s="12" t="str">
        <f t="shared" si="24"/>
        <v>ZB</v>
      </c>
    </row>
    <row r="22" spans="1:59" x14ac:dyDescent="0.35">
      <c r="B22" s="21"/>
      <c r="C22" s="5"/>
      <c r="D22" s="5"/>
      <c r="E22" s="5" t="s">
        <v>385</v>
      </c>
      <c r="F22" s="6" t="s">
        <v>0</v>
      </c>
      <c r="G22" s="6" t="s">
        <v>1</v>
      </c>
      <c r="H22" s="6" t="s">
        <v>2</v>
      </c>
      <c r="I22" s="6" t="s">
        <v>3</v>
      </c>
      <c r="J22" s="6" t="s">
        <v>4</v>
      </c>
      <c r="K22" s="6" t="s">
        <v>5</v>
      </c>
      <c r="L22" s="6" t="s">
        <v>6</v>
      </c>
      <c r="M22" s="6" t="s">
        <v>7</v>
      </c>
      <c r="N22" s="6" t="s">
        <v>8</v>
      </c>
      <c r="O22" s="6" t="s">
        <v>9</v>
      </c>
      <c r="P22" s="6" t="s">
        <v>10</v>
      </c>
      <c r="Q22" s="6" t="s">
        <v>11</v>
      </c>
      <c r="R22" s="6" t="s">
        <v>12</v>
      </c>
      <c r="S22" s="6" t="s">
        <v>13</v>
      </c>
      <c r="T22" s="6" t="s">
        <v>14</v>
      </c>
      <c r="U22" s="6" t="s">
        <v>15</v>
      </c>
      <c r="V22" s="6" t="s">
        <v>16</v>
      </c>
      <c r="W22" s="6" t="s">
        <v>17</v>
      </c>
      <c r="X22" s="6" t="s">
        <v>18</v>
      </c>
      <c r="Y22" s="6" t="s">
        <v>19</v>
      </c>
      <c r="Z22" s="6" t="s">
        <v>20</v>
      </c>
      <c r="AA22" s="6" t="s">
        <v>21</v>
      </c>
      <c r="AB22" s="6" t="s">
        <v>22</v>
      </c>
      <c r="AC22" s="6" t="s">
        <v>23</v>
      </c>
      <c r="AD22" s="6" t="s">
        <v>24</v>
      </c>
      <c r="AE22" s="6" t="s">
        <v>25</v>
      </c>
      <c r="AF22" s="7"/>
      <c r="AH22" s="28" t="str">
        <f>HLOOKUP(AH16,$AH19:$BG20,2,FALSE)</f>
        <v>V</v>
      </c>
      <c r="AI22" s="28" t="str">
        <f>HLOOKUP(AI16,$AH19:$BG20,2,FALSE)</f>
        <v>W</v>
      </c>
      <c r="AJ22" s="28" t="str">
        <f t="shared" ref="AJ22:BG22" si="25">HLOOKUP(AJ16,$AH19:$BG20,2,FALSE)</f>
        <v>A</v>
      </c>
      <c r="AK22" s="28" t="str">
        <f t="shared" si="25"/>
        <v>U</v>
      </c>
      <c r="AL22" s="28" t="str">
        <f t="shared" si="25"/>
        <v>E</v>
      </c>
      <c r="AM22" s="28" t="str">
        <f t="shared" si="25"/>
        <v>S</v>
      </c>
      <c r="AN22" s="28" t="str">
        <f t="shared" si="25"/>
        <v>J</v>
      </c>
      <c r="AO22" s="28" t="str">
        <f t="shared" si="25"/>
        <v>X</v>
      </c>
      <c r="AP22" s="28" t="str">
        <f t="shared" si="25"/>
        <v>M</v>
      </c>
      <c r="AQ22" s="28" t="str">
        <f t="shared" si="25"/>
        <v>K</v>
      </c>
      <c r="AR22" s="28" t="str">
        <f t="shared" si="25"/>
        <v>G</v>
      </c>
      <c r="AS22" s="28" t="str">
        <f t="shared" si="25"/>
        <v>P</v>
      </c>
      <c r="AT22" s="28" t="str">
        <f t="shared" si="25"/>
        <v>C</v>
      </c>
      <c r="AU22" s="28" t="str">
        <f t="shared" si="25"/>
        <v>I</v>
      </c>
      <c r="AV22" s="28" t="str">
        <f t="shared" si="25"/>
        <v>N</v>
      </c>
      <c r="AW22" s="28" t="str">
        <f t="shared" si="25"/>
        <v>L</v>
      </c>
      <c r="AX22" s="28" t="str">
        <f t="shared" si="25"/>
        <v>H</v>
      </c>
      <c r="AY22" s="28" t="str">
        <f t="shared" si="25"/>
        <v>O</v>
      </c>
      <c r="AZ22" s="28" t="str">
        <f t="shared" si="25"/>
        <v>T</v>
      </c>
      <c r="BA22" s="28" t="str">
        <f t="shared" si="25"/>
        <v>Y</v>
      </c>
      <c r="BB22" s="28" t="str">
        <f t="shared" si="25"/>
        <v>B</v>
      </c>
      <c r="BC22" s="28" t="str">
        <f t="shared" si="25"/>
        <v>D</v>
      </c>
      <c r="BD22" s="28" t="str">
        <f t="shared" si="25"/>
        <v>Q</v>
      </c>
      <c r="BE22" s="28" t="str">
        <f t="shared" si="25"/>
        <v>R</v>
      </c>
      <c r="BF22" s="28" t="str">
        <f t="shared" si="25"/>
        <v>F</v>
      </c>
      <c r="BG22" s="28" t="str">
        <f t="shared" si="25"/>
        <v>Z</v>
      </c>
    </row>
    <row r="23" spans="1:59" x14ac:dyDescent="0.35">
      <c r="B23" s="22" t="s">
        <v>26</v>
      </c>
      <c r="C23" s="41" t="str">
        <f>n_Reflector</f>
        <v>B</v>
      </c>
      <c r="D23" s="11" t="str">
        <f>"Wide"&amp;C23</f>
        <v>WideB</v>
      </c>
      <c r="F23" s="1">
        <f>IF(ISERROR(FIND(F22,$AF21)),0,1)</f>
        <v>1</v>
      </c>
      <c r="G23" s="1">
        <f t="shared" ref="G23:AE23" si="26">IF(ISERROR(FIND(G22,$AF21)),0,1)</f>
        <v>1</v>
      </c>
      <c r="H23" s="1">
        <f t="shared" si="26"/>
        <v>1</v>
      </c>
      <c r="I23" s="1">
        <f t="shared" si="26"/>
        <v>1</v>
      </c>
      <c r="J23" s="1">
        <f t="shared" si="26"/>
        <v>1</v>
      </c>
      <c r="K23" s="1">
        <f t="shared" si="26"/>
        <v>1</v>
      </c>
      <c r="L23" s="1">
        <f t="shared" si="26"/>
        <v>1</v>
      </c>
      <c r="M23" s="1">
        <f t="shared" si="26"/>
        <v>1</v>
      </c>
      <c r="N23" s="1">
        <f t="shared" si="26"/>
        <v>1</v>
      </c>
      <c r="O23" s="1">
        <f t="shared" si="26"/>
        <v>1</v>
      </c>
      <c r="P23" s="1">
        <f t="shared" si="26"/>
        <v>1</v>
      </c>
      <c r="Q23" s="1">
        <f t="shared" si="26"/>
        <v>1</v>
      </c>
      <c r="R23" s="1">
        <f t="shared" si="26"/>
        <v>1</v>
      </c>
      <c r="S23" s="1">
        <f t="shared" si="26"/>
        <v>1</v>
      </c>
      <c r="T23" s="1">
        <f t="shared" si="26"/>
        <v>1</v>
      </c>
      <c r="U23" s="1">
        <f t="shared" si="26"/>
        <v>1</v>
      </c>
      <c r="V23" s="1">
        <f t="shared" si="26"/>
        <v>1</v>
      </c>
      <c r="W23" s="1">
        <f t="shared" si="26"/>
        <v>1</v>
      </c>
      <c r="X23" s="1">
        <f t="shared" si="26"/>
        <v>1</v>
      </c>
      <c r="Y23" s="1">
        <f t="shared" si="26"/>
        <v>1</v>
      </c>
      <c r="Z23" s="1">
        <f t="shared" si="26"/>
        <v>1</v>
      </c>
      <c r="AA23" s="1">
        <f t="shared" si="26"/>
        <v>1</v>
      </c>
      <c r="AB23" s="1">
        <f t="shared" si="26"/>
        <v>1</v>
      </c>
      <c r="AC23" s="1">
        <f t="shared" si="26"/>
        <v>1</v>
      </c>
      <c r="AD23" s="1">
        <f t="shared" si="26"/>
        <v>1</v>
      </c>
      <c r="AE23" s="1">
        <f t="shared" si="26"/>
        <v>1</v>
      </c>
      <c r="AF23" s="10"/>
      <c r="AH23" s="28" t="str">
        <f>HLOOKUP(AH22,$AH25:$BG26,2,FALSE)</f>
        <v>W</v>
      </c>
      <c r="AI23" s="28" t="str">
        <f t="shared" ref="AI23:BG23" si="27">HLOOKUP(AI22,$AH25:$BG26,2,FALSE)</f>
        <v>V</v>
      </c>
      <c r="AJ23" s="28" t="str">
        <f t="shared" si="27"/>
        <v>Y</v>
      </c>
      <c r="AK23" s="28" t="str">
        <f t="shared" si="27"/>
        <v>C</v>
      </c>
      <c r="AL23" s="28" t="str">
        <f t="shared" si="27"/>
        <v>Q</v>
      </c>
      <c r="AM23" s="28" t="str">
        <f t="shared" si="27"/>
        <v>F</v>
      </c>
      <c r="AN23" s="28" t="str">
        <f t="shared" si="27"/>
        <v>X</v>
      </c>
      <c r="AO23" s="28" t="str">
        <f t="shared" si="27"/>
        <v>J</v>
      </c>
      <c r="AP23" s="28" t="str">
        <f t="shared" si="27"/>
        <v>O</v>
      </c>
      <c r="AQ23" s="28" t="str">
        <f t="shared" si="27"/>
        <v>N</v>
      </c>
      <c r="AR23" s="28" t="str">
        <f t="shared" si="27"/>
        <v>L</v>
      </c>
      <c r="AS23" s="28" t="str">
        <f t="shared" si="27"/>
        <v>I</v>
      </c>
      <c r="AT23" s="28" t="str">
        <f t="shared" si="27"/>
        <v>U</v>
      </c>
      <c r="AU23" s="28" t="str">
        <f t="shared" si="27"/>
        <v>P</v>
      </c>
      <c r="AV23" s="28" t="str">
        <f t="shared" si="27"/>
        <v>K</v>
      </c>
      <c r="AW23" s="28" t="str">
        <f t="shared" si="27"/>
        <v>G</v>
      </c>
      <c r="AX23" s="28" t="str">
        <f t="shared" si="27"/>
        <v>D</v>
      </c>
      <c r="AY23" s="28" t="str">
        <f t="shared" si="27"/>
        <v>M</v>
      </c>
      <c r="AZ23" s="28" t="str">
        <f t="shared" si="27"/>
        <v>Z</v>
      </c>
      <c r="BA23" s="28" t="str">
        <f t="shared" si="27"/>
        <v>A</v>
      </c>
      <c r="BB23" s="28" t="str">
        <f t="shared" si="27"/>
        <v>R</v>
      </c>
      <c r="BC23" s="28" t="str">
        <f t="shared" si="27"/>
        <v>H</v>
      </c>
      <c r="BD23" s="28" t="str">
        <f t="shared" si="27"/>
        <v>E</v>
      </c>
      <c r="BE23" s="28" t="str">
        <f t="shared" si="27"/>
        <v>B</v>
      </c>
      <c r="BF23" s="28" t="str">
        <f t="shared" si="27"/>
        <v>S</v>
      </c>
      <c r="BG23" s="28" t="str">
        <f t="shared" si="27"/>
        <v>T</v>
      </c>
    </row>
    <row r="24" spans="1:59" ht="15" thickBot="1" x14ac:dyDescent="0.4">
      <c r="B24" s="23"/>
      <c r="C24" s="17"/>
      <c r="D24" s="17"/>
      <c r="E24" s="17"/>
      <c r="F24" s="24" t="str">
        <f t="shared" ref="F24:AE24" si="28">IF(F23=1,VLOOKUP(nReflector&amp;"_"&amp;F22,nReflectorWide,4,FALSE),"")</f>
        <v>Y</v>
      </c>
      <c r="G24" s="24" t="str">
        <f t="shared" si="28"/>
        <v>R</v>
      </c>
      <c r="H24" s="24" t="str">
        <f t="shared" si="28"/>
        <v>U</v>
      </c>
      <c r="I24" s="24" t="str">
        <f t="shared" si="28"/>
        <v>H</v>
      </c>
      <c r="J24" s="24" t="str">
        <f t="shared" si="28"/>
        <v>Q</v>
      </c>
      <c r="K24" s="24" t="str">
        <f t="shared" si="28"/>
        <v>S</v>
      </c>
      <c r="L24" s="24" t="str">
        <f t="shared" si="28"/>
        <v>L</v>
      </c>
      <c r="M24" s="24" t="str">
        <f t="shared" si="28"/>
        <v>D</v>
      </c>
      <c r="N24" s="24" t="str">
        <f t="shared" si="28"/>
        <v>P</v>
      </c>
      <c r="O24" s="24" t="str">
        <f t="shared" si="28"/>
        <v>X</v>
      </c>
      <c r="P24" s="24" t="str">
        <f t="shared" si="28"/>
        <v>N</v>
      </c>
      <c r="Q24" s="24" t="str">
        <f t="shared" si="28"/>
        <v>G</v>
      </c>
      <c r="R24" s="24" t="str">
        <f t="shared" si="28"/>
        <v>O</v>
      </c>
      <c r="S24" s="24" t="str">
        <f t="shared" si="28"/>
        <v>K</v>
      </c>
      <c r="T24" s="24" t="str">
        <f t="shared" si="28"/>
        <v>M</v>
      </c>
      <c r="U24" s="24" t="str">
        <f t="shared" si="28"/>
        <v>I</v>
      </c>
      <c r="V24" s="24" t="str">
        <f t="shared" si="28"/>
        <v>E</v>
      </c>
      <c r="W24" s="24" t="str">
        <f t="shared" si="28"/>
        <v>B</v>
      </c>
      <c r="X24" s="24" t="str">
        <f t="shared" si="28"/>
        <v>F</v>
      </c>
      <c r="Y24" s="24" t="str">
        <f t="shared" si="28"/>
        <v>Z</v>
      </c>
      <c r="Z24" s="24" t="str">
        <f t="shared" si="28"/>
        <v>C</v>
      </c>
      <c r="AA24" s="24" t="str">
        <f t="shared" si="28"/>
        <v>W</v>
      </c>
      <c r="AB24" s="24" t="str">
        <f t="shared" si="28"/>
        <v>V</v>
      </c>
      <c r="AC24" s="24" t="str">
        <f t="shared" si="28"/>
        <v>J</v>
      </c>
      <c r="AD24" s="24" t="str">
        <f t="shared" si="28"/>
        <v>A</v>
      </c>
      <c r="AE24" s="24" t="str">
        <f t="shared" si="28"/>
        <v>T</v>
      </c>
      <c r="AF24" s="25" t="str">
        <f>CONCATENATE(F24,G24,H24,I24,J24,K24,L24,M24,N24,O24,P24,Q24,R24,S24,T24&amp;U24,V24,W24,X24,Y24,Z24,AA24,AB24,AC24,AD24,AE24)</f>
        <v>YRUHQSLDPXNGOKMIEBFZCWVJAT</v>
      </c>
      <c r="AH24" s="27" t="str">
        <f>F22&amp;F24</f>
        <v>AY</v>
      </c>
      <c r="AI24" s="27" t="str">
        <f t="shared" ref="AI24:BG24" si="29">G22&amp;G24</f>
        <v>BR</v>
      </c>
      <c r="AJ24" s="27" t="str">
        <f t="shared" si="29"/>
        <v>CU</v>
      </c>
      <c r="AK24" s="27" t="str">
        <f t="shared" si="29"/>
        <v>DH</v>
      </c>
      <c r="AL24" s="27" t="str">
        <f t="shared" si="29"/>
        <v>EQ</v>
      </c>
      <c r="AM24" s="27" t="str">
        <f t="shared" si="29"/>
        <v>FS</v>
      </c>
      <c r="AN24" s="27" t="str">
        <f t="shared" si="29"/>
        <v>GL</v>
      </c>
      <c r="AO24" s="27" t="str">
        <f t="shared" si="29"/>
        <v>HD</v>
      </c>
      <c r="AP24" s="27" t="str">
        <f t="shared" si="29"/>
        <v>IP</v>
      </c>
      <c r="AQ24" s="27" t="str">
        <f t="shared" si="29"/>
        <v>JX</v>
      </c>
      <c r="AR24" s="27" t="str">
        <f t="shared" si="29"/>
        <v>KN</v>
      </c>
      <c r="AS24" s="27" t="str">
        <f t="shared" si="29"/>
        <v>LG</v>
      </c>
      <c r="AT24" s="27" t="str">
        <f t="shared" si="29"/>
        <v>MO</v>
      </c>
      <c r="AU24" s="27" t="str">
        <f t="shared" si="29"/>
        <v>NK</v>
      </c>
      <c r="AV24" s="27" t="str">
        <f t="shared" si="29"/>
        <v>OM</v>
      </c>
      <c r="AW24" s="27" t="str">
        <f t="shared" si="29"/>
        <v>PI</v>
      </c>
      <c r="AX24" s="27" t="str">
        <f t="shared" si="29"/>
        <v>QE</v>
      </c>
      <c r="AY24" s="27" t="str">
        <f t="shared" si="29"/>
        <v>RB</v>
      </c>
      <c r="AZ24" s="27" t="str">
        <f t="shared" si="29"/>
        <v>SF</v>
      </c>
      <c r="BA24" s="27" t="str">
        <f t="shared" si="29"/>
        <v>TZ</v>
      </c>
      <c r="BB24" s="27" t="str">
        <f t="shared" si="29"/>
        <v>UC</v>
      </c>
      <c r="BC24" s="27" t="str">
        <f t="shared" si="29"/>
        <v>VW</v>
      </c>
      <c r="BD24" s="27" t="str">
        <f t="shared" si="29"/>
        <v>WV</v>
      </c>
      <c r="BE24" s="27" t="str">
        <f t="shared" si="29"/>
        <v>XJ</v>
      </c>
      <c r="BF24" s="27" t="str">
        <f t="shared" si="29"/>
        <v>YA</v>
      </c>
      <c r="BG24" s="27" t="str">
        <f t="shared" si="29"/>
        <v>ZT</v>
      </c>
    </row>
    <row r="25" spans="1:59" x14ac:dyDescent="0.35">
      <c r="B25" s="21"/>
      <c r="C25" s="4"/>
      <c r="D25" s="5"/>
      <c r="E25" s="5" t="s">
        <v>385</v>
      </c>
      <c r="F25" s="6" t="s">
        <v>0</v>
      </c>
      <c r="G25" s="6" t="s">
        <v>1</v>
      </c>
      <c r="H25" s="6" t="s">
        <v>2</v>
      </c>
      <c r="I25" s="6" t="s">
        <v>3</v>
      </c>
      <c r="J25" s="6" t="s">
        <v>4</v>
      </c>
      <c r="K25" s="6" t="s">
        <v>5</v>
      </c>
      <c r="L25" s="6" t="s">
        <v>6</v>
      </c>
      <c r="M25" s="6" t="s">
        <v>7</v>
      </c>
      <c r="N25" s="6" t="s">
        <v>8</v>
      </c>
      <c r="O25" s="6" t="s">
        <v>9</v>
      </c>
      <c r="P25" s="6" t="s">
        <v>10</v>
      </c>
      <c r="Q25" s="6" t="s">
        <v>11</v>
      </c>
      <c r="R25" s="6" t="s">
        <v>12</v>
      </c>
      <c r="S25" s="6" t="s">
        <v>13</v>
      </c>
      <c r="T25" s="6" t="s">
        <v>14</v>
      </c>
      <c r="U25" s="6" t="s">
        <v>15</v>
      </c>
      <c r="V25" s="6" t="s">
        <v>16</v>
      </c>
      <c r="W25" s="6" t="s">
        <v>17</v>
      </c>
      <c r="X25" s="6" t="s">
        <v>18</v>
      </c>
      <c r="Y25" s="6" t="s">
        <v>19</v>
      </c>
      <c r="Z25" s="6" t="s">
        <v>20</v>
      </c>
      <c r="AA25" s="6" t="s">
        <v>21</v>
      </c>
      <c r="AB25" s="6" t="s">
        <v>22</v>
      </c>
      <c r="AC25" s="6" t="s">
        <v>23</v>
      </c>
      <c r="AD25" s="6" t="s">
        <v>24</v>
      </c>
      <c r="AE25" s="6" t="s">
        <v>25</v>
      </c>
      <c r="AF25" s="7"/>
      <c r="AH25" s="28" t="str">
        <f>IF(LEN(AH24)=2,LEFT(AH24,1),"")</f>
        <v>A</v>
      </c>
      <c r="AI25" s="28" t="str">
        <f t="shared" ref="AI25:BG25" si="30">IF(LEN(AI24)=2,LEFT(AI24,1),"")</f>
        <v>B</v>
      </c>
      <c r="AJ25" s="28" t="str">
        <f t="shared" si="30"/>
        <v>C</v>
      </c>
      <c r="AK25" s="28" t="str">
        <f t="shared" si="30"/>
        <v>D</v>
      </c>
      <c r="AL25" s="28" t="str">
        <f t="shared" si="30"/>
        <v>E</v>
      </c>
      <c r="AM25" s="28" t="str">
        <f t="shared" si="30"/>
        <v>F</v>
      </c>
      <c r="AN25" s="28" t="str">
        <f t="shared" si="30"/>
        <v>G</v>
      </c>
      <c r="AO25" s="28" t="str">
        <f t="shared" si="30"/>
        <v>H</v>
      </c>
      <c r="AP25" s="28" t="str">
        <f t="shared" si="30"/>
        <v>I</v>
      </c>
      <c r="AQ25" s="28" t="str">
        <f t="shared" si="30"/>
        <v>J</v>
      </c>
      <c r="AR25" s="28" t="str">
        <f t="shared" si="30"/>
        <v>K</v>
      </c>
      <c r="AS25" s="28" t="str">
        <f t="shared" si="30"/>
        <v>L</v>
      </c>
      <c r="AT25" s="28" t="str">
        <f t="shared" si="30"/>
        <v>M</v>
      </c>
      <c r="AU25" s="28" t="str">
        <f t="shared" si="30"/>
        <v>N</v>
      </c>
      <c r="AV25" s="28" t="str">
        <f t="shared" si="30"/>
        <v>O</v>
      </c>
      <c r="AW25" s="28" t="str">
        <f t="shared" si="30"/>
        <v>P</v>
      </c>
      <c r="AX25" s="28" t="str">
        <f t="shared" si="30"/>
        <v>Q</v>
      </c>
      <c r="AY25" s="28" t="str">
        <f t="shared" si="30"/>
        <v>R</v>
      </c>
      <c r="AZ25" s="28" t="str">
        <f t="shared" si="30"/>
        <v>S</v>
      </c>
      <c r="BA25" s="28" t="str">
        <f t="shared" si="30"/>
        <v>T</v>
      </c>
      <c r="BB25" s="28" t="str">
        <f t="shared" si="30"/>
        <v>U</v>
      </c>
      <c r="BC25" s="28" t="str">
        <f t="shared" si="30"/>
        <v>V</v>
      </c>
      <c r="BD25" s="28" t="str">
        <f t="shared" si="30"/>
        <v>W</v>
      </c>
      <c r="BE25" s="28" t="str">
        <f t="shared" si="30"/>
        <v>X</v>
      </c>
      <c r="BF25" s="28" t="str">
        <f t="shared" si="30"/>
        <v>Y</v>
      </c>
      <c r="BG25" s="28" t="str">
        <f t="shared" si="30"/>
        <v>Z</v>
      </c>
    </row>
    <row r="26" spans="1:59" x14ac:dyDescent="0.35">
      <c r="B26" s="22"/>
      <c r="C26" s="8"/>
      <c r="F26" s="1">
        <f t="shared" ref="F26:AE26" si="31">IF(ISERROR(FIND(F25,$AF24)),0,1)</f>
        <v>1</v>
      </c>
      <c r="G26" s="1">
        <f t="shared" si="31"/>
        <v>1</v>
      </c>
      <c r="H26" s="1">
        <f t="shared" si="31"/>
        <v>1</v>
      </c>
      <c r="I26" s="1">
        <f t="shared" si="31"/>
        <v>1</v>
      </c>
      <c r="J26" s="1">
        <f t="shared" si="31"/>
        <v>1</v>
      </c>
      <c r="K26" s="1">
        <f t="shared" si="31"/>
        <v>1</v>
      </c>
      <c r="L26" s="1">
        <f t="shared" si="31"/>
        <v>1</v>
      </c>
      <c r="M26" s="1">
        <f t="shared" si="31"/>
        <v>1</v>
      </c>
      <c r="N26" s="1">
        <f t="shared" si="31"/>
        <v>1</v>
      </c>
      <c r="O26" s="1">
        <f t="shared" si="31"/>
        <v>1</v>
      </c>
      <c r="P26" s="1">
        <f t="shared" si="31"/>
        <v>1</v>
      </c>
      <c r="Q26" s="1">
        <f t="shared" si="31"/>
        <v>1</v>
      </c>
      <c r="R26" s="1">
        <f t="shared" si="31"/>
        <v>1</v>
      </c>
      <c r="S26" s="1">
        <f t="shared" si="31"/>
        <v>1</v>
      </c>
      <c r="T26" s="1">
        <f t="shared" si="31"/>
        <v>1</v>
      </c>
      <c r="U26" s="1">
        <f t="shared" si="31"/>
        <v>1</v>
      </c>
      <c r="V26" s="1">
        <f t="shared" si="31"/>
        <v>1</v>
      </c>
      <c r="W26" s="1">
        <f t="shared" si="31"/>
        <v>1</v>
      </c>
      <c r="X26" s="1">
        <f t="shared" si="31"/>
        <v>1</v>
      </c>
      <c r="Y26" s="1">
        <f t="shared" si="31"/>
        <v>1</v>
      </c>
      <c r="Z26" s="1">
        <f t="shared" si="31"/>
        <v>1</v>
      </c>
      <c r="AA26" s="1">
        <f t="shared" si="31"/>
        <v>1</v>
      </c>
      <c r="AB26" s="1">
        <f t="shared" si="31"/>
        <v>1</v>
      </c>
      <c r="AC26" s="1">
        <f t="shared" si="31"/>
        <v>1</v>
      </c>
      <c r="AD26" s="1">
        <f t="shared" si="31"/>
        <v>1</v>
      </c>
      <c r="AE26" s="1">
        <f t="shared" si="31"/>
        <v>1</v>
      </c>
      <c r="AF26" s="10"/>
      <c r="AH26" s="28" t="str">
        <f>IF(LEN(AH24)=2,RIGHT(AH24,1),"")</f>
        <v>Y</v>
      </c>
      <c r="AI26" s="28" t="str">
        <f t="shared" ref="AI26:BG26" si="32">IF(LEN(AI24)=2,RIGHT(AI24,1),"")</f>
        <v>R</v>
      </c>
      <c r="AJ26" s="28" t="str">
        <f t="shared" si="32"/>
        <v>U</v>
      </c>
      <c r="AK26" s="28" t="str">
        <f t="shared" si="32"/>
        <v>H</v>
      </c>
      <c r="AL26" s="28" t="str">
        <f t="shared" si="32"/>
        <v>Q</v>
      </c>
      <c r="AM26" s="28" t="str">
        <f t="shared" si="32"/>
        <v>S</v>
      </c>
      <c r="AN26" s="28" t="str">
        <f t="shared" si="32"/>
        <v>L</v>
      </c>
      <c r="AO26" s="28" t="str">
        <f t="shared" si="32"/>
        <v>D</v>
      </c>
      <c r="AP26" s="28" t="str">
        <f t="shared" si="32"/>
        <v>P</v>
      </c>
      <c r="AQ26" s="28" t="str">
        <f t="shared" si="32"/>
        <v>X</v>
      </c>
      <c r="AR26" s="28" t="str">
        <f t="shared" si="32"/>
        <v>N</v>
      </c>
      <c r="AS26" s="28" t="str">
        <f t="shared" si="32"/>
        <v>G</v>
      </c>
      <c r="AT26" s="28" t="str">
        <f t="shared" si="32"/>
        <v>O</v>
      </c>
      <c r="AU26" s="28" t="str">
        <f t="shared" si="32"/>
        <v>K</v>
      </c>
      <c r="AV26" s="28" t="str">
        <f t="shared" si="32"/>
        <v>M</v>
      </c>
      <c r="AW26" s="28" t="str">
        <f t="shared" si="32"/>
        <v>I</v>
      </c>
      <c r="AX26" s="28" t="str">
        <f t="shared" si="32"/>
        <v>E</v>
      </c>
      <c r="AY26" s="28" t="str">
        <f t="shared" si="32"/>
        <v>B</v>
      </c>
      <c r="AZ26" s="28" t="str">
        <f t="shared" si="32"/>
        <v>F</v>
      </c>
      <c r="BA26" s="28" t="str">
        <f t="shared" si="32"/>
        <v>Z</v>
      </c>
      <c r="BB26" s="28" t="str">
        <f t="shared" si="32"/>
        <v>C</v>
      </c>
      <c r="BC26" s="28" t="str">
        <f t="shared" si="32"/>
        <v>W</v>
      </c>
      <c r="BD26" s="28" t="str">
        <f t="shared" si="32"/>
        <v>V</v>
      </c>
      <c r="BE26" s="28" t="str">
        <f t="shared" si="32"/>
        <v>J</v>
      </c>
      <c r="BF26" s="28" t="str">
        <f t="shared" si="32"/>
        <v>A</v>
      </c>
      <c r="BG26" s="28" t="str">
        <f t="shared" si="32"/>
        <v>T</v>
      </c>
    </row>
    <row r="27" spans="1:59" x14ac:dyDescent="0.35">
      <c r="B27" s="22" t="s">
        <v>382</v>
      </c>
      <c r="C27" s="26" t="str">
        <f>"R"&amp;C18</f>
        <v>R1</v>
      </c>
      <c r="D27" s="11">
        <f>D18</f>
        <v>5</v>
      </c>
      <c r="E27" s="11">
        <f>E18</f>
        <v>5</v>
      </c>
      <c r="F27" s="12" t="str">
        <f>F18</f>
        <v>E</v>
      </c>
      <c r="G27" s="13" t="str">
        <f t="shared" ref="G27:AE27" si="33">VLOOKUP(F27,nNextLetter,2,FALSE)</f>
        <v>F</v>
      </c>
      <c r="H27" s="13" t="str">
        <f t="shared" si="33"/>
        <v>G</v>
      </c>
      <c r="I27" s="13" t="str">
        <f t="shared" si="33"/>
        <v>H</v>
      </c>
      <c r="J27" s="13" t="str">
        <f t="shared" si="33"/>
        <v>I</v>
      </c>
      <c r="K27" s="13" t="str">
        <f t="shared" si="33"/>
        <v>J</v>
      </c>
      <c r="L27" s="13" t="str">
        <f t="shared" si="33"/>
        <v>K</v>
      </c>
      <c r="M27" s="13" t="str">
        <f t="shared" si="33"/>
        <v>L</v>
      </c>
      <c r="N27" s="13" t="str">
        <f t="shared" si="33"/>
        <v>M</v>
      </c>
      <c r="O27" s="13" t="str">
        <f t="shared" si="33"/>
        <v>N</v>
      </c>
      <c r="P27" s="13" t="str">
        <f t="shared" si="33"/>
        <v>O</v>
      </c>
      <c r="Q27" s="13" t="str">
        <f t="shared" si="33"/>
        <v>P</v>
      </c>
      <c r="R27" s="13" t="str">
        <f t="shared" si="33"/>
        <v>Q</v>
      </c>
      <c r="S27" s="13" t="str">
        <f t="shared" si="33"/>
        <v>R</v>
      </c>
      <c r="T27" s="13" t="str">
        <f t="shared" si="33"/>
        <v>S</v>
      </c>
      <c r="U27" s="13" t="str">
        <f t="shared" si="33"/>
        <v>T</v>
      </c>
      <c r="V27" s="13" t="str">
        <f t="shared" si="33"/>
        <v>U</v>
      </c>
      <c r="W27" s="13" t="str">
        <f t="shared" si="33"/>
        <v>V</v>
      </c>
      <c r="X27" s="13" t="str">
        <f t="shared" si="33"/>
        <v>W</v>
      </c>
      <c r="Y27" s="13" t="str">
        <f t="shared" si="33"/>
        <v>X</v>
      </c>
      <c r="Z27" s="13" t="str">
        <f t="shared" si="33"/>
        <v>Y</v>
      </c>
      <c r="AA27" s="13" t="str">
        <f t="shared" si="33"/>
        <v>Z</v>
      </c>
      <c r="AB27" s="13" t="str">
        <f t="shared" si="33"/>
        <v>A</v>
      </c>
      <c r="AC27" s="13" t="str">
        <f t="shared" si="33"/>
        <v>B</v>
      </c>
      <c r="AD27" s="13" t="str">
        <f t="shared" si="33"/>
        <v>C</v>
      </c>
      <c r="AE27" s="13" t="str">
        <f t="shared" si="33"/>
        <v>D</v>
      </c>
      <c r="AF27" s="10"/>
    </row>
    <row r="28" spans="1:59" x14ac:dyDescent="0.35">
      <c r="B28" s="22"/>
      <c r="C28" s="8"/>
      <c r="E28" t="s">
        <v>386</v>
      </c>
      <c r="F28" s="14" t="str">
        <f t="shared" ref="F28:AE28" si="34">IF(F26=1,VLOOKUP(nCurPosL+nRingOffsetL+(CODE(F25)-nCharOffset)-1,nNum2Let,2,FALSE),"")</f>
        <v>E</v>
      </c>
      <c r="G28" s="14" t="str">
        <f t="shared" si="34"/>
        <v>F</v>
      </c>
      <c r="H28" s="14" t="str">
        <f t="shared" si="34"/>
        <v>G</v>
      </c>
      <c r="I28" s="14" t="str">
        <f t="shared" si="34"/>
        <v>H</v>
      </c>
      <c r="J28" s="14" t="str">
        <f t="shared" si="34"/>
        <v>I</v>
      </c>
      <c r="K28" s="14" t="str">
        <f t="shared" si="34"/>
        <v>J</v>
      </c>
      <c r="L28" s="14" t="str">
        <f t="shared" si="34"/>
        <v>K</v>
      </c>
      <c r="M28" s="14" t="str">
        <f t="shared" si="34"/>
        <v>L</v>
      </c>
      <c r="N28" s="14" t="str">
        <f t="shared" si="34"/>
        <v>M</v>
      </c>
      <c r="O28" s="14" t="str">
        <f t="shared" si="34"/>
        <v>N</v>
      </c>
      <c r="P28" s="14" t="str">
        <f t="shared" si="34"/>
        <v>O</v>
      </c>
      <c r="Q28" s="14" t="str">
        <f t="shared" si="34"/>
        <v>P</v>
      </c>
      <c r="R28" s="14" t="str">
        <f t="shared" si="34"/>
        <v>Q</v>
      </c>
      <c r="S28" s="14" t="str">
        <f t="shared" si="34"/>
        <v>R</v>
      </c>
      <c r="T28" s="14" t="str">
        <f t="shared" si="34"/>
        <v>S</v>
      </c>
      <c r="U28" s="14" t="str">
        <f t="shared" si="34"/>
        <v>T</v>
      </c>
      <c r="V28" s="14" t="str">
        <f t="shared" si="34"/>
        <v>U</v>
      </c>
      <c r="W28" s="14" t="str">
        <f t="shared" si="34"/>
        <v>V</v>
      </c>
      <c r="X28" s="14" t="str">
        <f t="shared" si="34"/>
        <v>W</v>
      </c>
      <c r="Y28" s="14" t="str">
        <f t="shared" si="34"/>
        <v>X</v>
      </c>
      <c r="Z28" s="14" t="str">
        <f t="shared" si="34"/>
        <v>Y</v>
      </c>
      <c r="AA28" s="14" t="str">
        <f t="shared" si="34"/>
        <v>Z</v>
      </c>
      <c r="AB28" s="14" t="str">
        <f t="shared" si="34"/>
        <v>A</v>
      </c>
      <c r="AC28" s="14" t="str">
        <f t="shared" si="34"/>
        <v>B</v>
      </c>
      <c r="AD28" s="14" t="str">
        <f t="shared" si="34"/>
        <v>C</v>
      </c>
      <c r="AE28" s="14" t="str">
        <f t="shared" si="34"/>
        <v>D</v>
      </c>
      <c r="AF28" s="10"/>
      <c r="AH28" s="28" t="str">
        <f t="shared" ref="AH28:BG28" si="35">IF(LEN(AH30)=2,LEFT(AH30,1),"")</f>
        <v>A</v>
      </c>
      <c r="AI28" s="28" t="str">
        <f t="shared" si="35"/>
        <v>B</v>
      </c>
      <c r="AJ28" s="28" t="str">
        <f t="shared" si="35"/>
        <v>C</v>
      </c>
      <c r="AK28" s="28" t="str">
        <f t="shared" si="35"/>
        <v>D</v>
      </c>
      <c r="AL28" s="28" t="str">
        <f t="shared" si="35"/>
        <v>E</v>
      </c>
      <c r="AM28" s="28" t="str">
        <f t="shared" si="35"/>
        <v>F</v>
      </c>
      <c r="AN28" s="28" t="str">
        <f t="shared" si="35"/>
        <v>G</v>
      </c>
      <c r="AO28" s="28" t="str">
        <f t="shared" si="35"/>
        <v>H</v>
      </c>
      <c r="AP28" s="28" t="str">
        <f t="shared" si="35"/>
        <v>I</v>
      </c>
      <c r="AQ28" s="28" t="str">
        <f t="shared" si="35"/>
        <v>J</v>
      </c>
      <c r="AR28" s="28" t="str">
        <f t="shared" si="35"/>
        <v>K</v>
      </c>
      <c r="AS28" s="28" t="str">
        <f t="shared" si="35"/>
        <v>L</v>
      </c>
      <c r="AT28" s="28" t="str">
        <f t="shared" si="35"/>
        <v>M</v>
      </c>
      <c r="AU28" s="28" t="str">
        <f t="shared" si="35"/>
        <v>N</v>
      </c>
      <c r="AV28" s="28" t="str">
        <f t="shared" si="35"/>
        <v>O</v>
      </c>
      <c r="AW28" s="28" t="str">
        <f t="shared" si="35"/>
        <v>P</v>
      </c>
      <c r="AX28" s="28" t="str">
        <f t="shared" si="35"/>
        <v>Q</v>
      </c>
      <c r="AY28" s="28" t="str">
        <f t="shared" si="35"/>
        <v>R</v>
      </c>
      <c r="AZ28" s="28" t="str">
        <f t="shared" si="35"/>
        <v>S</v>
      </c>
      <c r="BA28" s="28" t="str">
        <f t="shared" si="35"/>
        <v>T</v>
      </c>
      <c r="BB28" s="28" t="str">
        <f t="shared" si="35"/>
        <v>U</v>
      </c>
      <c r="BC28" s="28" t="str">
        <f t="shared" si="35"/>
        <v>V</v>
      </c>
      <c r="BD28" s="28" t="str">
        <f t="shared" si="35"/>
        <v>W</v>
      </c>
      <c r="BE28" s="28" t="str">
        <f t="shared" si="35"/>
        <v>X</v>
      </c>
      <c r="BF28" s="28" t="str">
        <f t="shared" si="35"/>
        <v>Y</v>
      </c>
      <c r="BG28" s="28" t="str">
        <f t="shared" si="35"/>
        <v>Z</v>
      </c>
    </row>
    <row r="29" spans="1:59" x14ac:dyDescent="0.35">
      <c r="B29" s="22"/>
      <c r="C29" s="8"/>
      <c r="E29" t="s">
        <v>387</v>
      </c>
      <c r="F29" s="15" t="str">
        <f t="shared" ref="F29:AE29" si="36">IF(F26=1,VLOOKUP(nRotorL_Rev&amp;F28,nRotorRev,4,FALSE),"")</f>
        <v>A</v>
      </c>
      <c r="G29" s="15" t="str">
        <f t="shared" si="36"/>
        <v>D</v>
      </c>
      <c r="H29" s="15" t="str">
        <f t="shared" si="36"/>
        <v>F</v>
      </c>
      <c r="I29" s="15" t="str">
        <f t="shared" si="36"/>
        <v>P</v>
      </c>
      <c r="J29" s="15" t="str">
        <f t="shared" si="36"/>
        <v>V</v>
      </c>
      <c r="K29" s="15" t="str">
        <f t="shared" si="36"/>
        <v>Z</v>
      </c>
      <c r="L29" s="15" t="str">
        <f t="shared" si="36"/>
        <v>B</v>
      </c>
      <c r="M29" s="15" t="str">
        <f t="shared" si="36"/>
        <v>E</v>
      </c>
      <c r="N29" s="15" t="str">
        <f t="shared" si="36"/>
        <v>C</v>
      </c>
      <c r="O29" s="15" t="str">
        <f t="shared" si="36"/>
        <v>K</v>
      </c>
      <c r="P29" s="15" t="str">
        <f t="shared" si="36"/>
        <v>M</v>
      </c>
      <c r="Q29" s="15" t="str">
        <f t="shared" si="36"/>
        <v>T</v>
      </c>
      <c r="R29" s="15" t="str">
        <f t="shared" si="36"/>
        <v>H</v>
      </c>
      <c r="S29" s="15" t="str">
        <f t="shared" si="36"/>
        <v>X</v>
      </c>
      <c r="T29" s="15" t="str">
        <f t="shared" si="36"/>
        <v>S</v>
      </c>
      <c r="U29" s="15" t="str">
        <f t="shared" si="36"/>
        <v>L</v>
      </c>
      <c r="V29" s="15" t="str">
        <f t="shared" si="36"/>
        <v>R</v>
      </c>
      <c r="W29" s="15" t="str">
        <f t="shared" si="36"/>
        <v>I</v>
      </c>
      <c r="X29" s="15" t="str">
        <f t="shared" si="36"/>
        <v>N</v>
      </c>
      <c r="Y29" s="15" t="str">
        <f t="shared" si="36"/>
        <v>Q</v>
      </c>
      <c r="Z29" s="15" t="str">
        <f t="shared" si="36"/>
        <v>O</v>
      </c>
      <c r="AA29" s="15" t="str">
        <f t="shared" si="36"/>
        <v>J</v>
      </c>
      <c r="AB29" s="15" t="str">
        <f t="shared" si="36"/>
        <v>U</v>
      </c>
      <c r="AC29" s="15" t="str">
        <f t="shared" si="36"/>
        <v>W</v>
      </c>
      <c r="AD29" s="15" t="str">
        <f t="shared" si="36"/>
        <v>Y</v>
      </c>
      <c r="AE29" s="15" t="str">
        <f t="shared" si="36"/>
        <v>G</v>
      </c>
      <c r="AF29" s="10"/>
      <c r="AH29" s="28" t="str">
        <f t="shared" ref="AH29:BG29" si="37">IF(LEN(AH30)=2,RIGHT(AH30,1),"")</f>
        <v>W</v>
      </c>
      <c r="AI29" s="28" t="str">
        <f t="shared" si="37"/>
        <v>Z</v>
      </c>
      <c r="AJ29" s="28" t="str">
        <f t="shared" si="37"/>
        <v>B</v>
      </c>
      <c r="AK29" s="28" t="str">
        <f t="shared" si="37"/>
        <v>L</v>
      </c>
      <c r="AL29" s="28" t="str">
        <f t="shared" si="37"/>
        <v>R</v>
      </c>
      <c r="AM29" s="28" t="str">
        <f t="shared" si="37"/>
        <v>V</v>
      </c>
      <c r="AN29" s="28" t="str">
        <f t="shared" si="37"/>
        <v>X</v>
      </c>
      <c r="AO29" s="28" t="str">
        <f t="shared" si="37"/>
        <v>A</v>
      </c>
      <c r="AP29" s="28" t="str">
        <f t="shared" si="37"/>
        <v>Y</v>
      </c>
      <c r="AQ29" s="28" t="str">
        <f t="shared" si="37"/>
        <v>G</v>
      </c>
      <c r="AR29" s="28" t="str">
        <f t="shared" si="37"/>
        <v>I</v>
      </c>
      <c r="AS29" s="28" t="str">
        <f t="shared" si="37"/>
        <v>P</v>
      </c>
      <c r="AT29" s="28" t="str">
        <f t="shared" si="37"/>
        <v>D</v>
      </c>
      <c r="AU29" s="28" t="str">
        <f t="shared" si="37"/>
        <v>T</v>
      </c>
      <c r="AV29" s="28" t="str">
        <f t="shared" si="37"/>
        <v>O</v>
      </c>
      <c r="AW29" s="28" t="str">
        <f t="shared" si="37"/>
        <v>H</v>
      </c>
      <c r="AX29" s="28" t="str">
        <f t="shared" si="37"/>
        <v>N</v>
      </c>
      <c r="AY29" s="28" t="str">
        <f t="shared" si="37"/>
        <v>E</v>
      </c>
      <c r="AZ29" s="28" t="str">
        <f t="shared" si="37"/>
        <v>J</v>
      </c>
      <c r="BA29" s="28" t="str">
        <f t="shared" si="37"/>
        <v>M</v>
      </c>
      <c r="BB29" s="28" t="str">
        <f t="shared" si="37"/>
        <v>K</v>
      </c>
      <c r="BC29" s="28" t="str">
        <f t="shared" si="37"/>
        <v>F</v>
      </c>
      <c r="BD29" s="28" t="str">
        <f t="shared" si="37"/>
        <v>Q</v>
      </c>
      <c r="BE29" s="28" t="str">
        <f t="shared" si="37"/>
        <v>S</v>
      </c>
      <c r="BF29" s="28" t="str">
        <f t="shared" si="37"/>
        <v>U</v>
      </c>
      <c r="BG29" s="28" t="str">
        <f t="shared" si="37"/>
        <v>C</v>
      </c>
    </row>
    <row r="30" spans="1:59" ht="15" thickBot="1" x14ac:dyDescent="0.4">
      <c r="B30" s="23"/>
      <c r="C30" s="16"/>
      <c r="D30" s="17"/>
      <c r="E30" s="17" t="s">
        <v>388</v>
      </c>
      <c r="F30" s="18" t="str">
        <f t="shared" ref="F30:AE30" si="38">IF(F26=1,IF(CODE(F29)-CODE(F28)&lt;0,VLOOKUP((CODE(F29)-CODE(F28)+26)+(CODE(F25)-nCharOffset),nNum2Let,2,FALSE),VLOOKUP((CODE(F29)-CODE(F28))+(CODE(F25)-nCharOffset),nNum2Let,2,FALSE)),"")</f>
        <v>W</v>
      </c>
      <c r="G30" s="18" t="str">
        <f t="shared" si="38"/>
        <v>Z</v>
      </c>
      <c r="H30" s="18" t="str">
        <f t="shared" si="38"/>
        <v>B</v>
      </c>
      <c r="I30" s="18" t="str">
        <f t="shared" si="38"/>
        <v>L</v>
      </c>
      <c r="J30" s="18" t="str">
        <f t="shared" si="38"/>
        <v>R</v>
      </c>
      <c r="K30" s="18" t="str">
        <f t="shared" si="38"/>
        <v>V</v>
      </c>
      <c r="L30" s="18" t="str">
        <f t="shared" si="38"/>
        <v>X</v>
      </c>
      <c r="M30" s="18" t="str">
        <f t="shared" si="38"/>
        <v>A</v>
      </c>
      <c r="N30" s="18" t="str">
        <f t="shared" si="38"/>
        <v>Y</v>
      </c>
      <c r="O30" s="18" t="str">
        <f t="shared" si="38"/>
        <v>G</v>
      </c>
      <c r="P30" s="18" t="str">
        <f t="shared" si="38"/>
        <v>I</v>
      </c>
      <c r="Q30" s="18" t="str">
        <f t="shared" si="38"/>
        <v>P</v>
      </c>
      <c r="R30" s="18" t="str">
        <f t="shared" si="38"/>
        <v>D</v>
      </c>
      <c r="S30" s="18" t="str">
        <f t="shared" si="38"/>
        <v>T</v>
      </c>
      <c r="T30" s="18" t="str">
        <f t="shared" si="38"/>
        <v>O</v>
      </c>
      <c r="U30" s="18" t="str">
        <f t="shared" si="38"/>
        <v>H</v>
      </c>
      <c r="V30" s="18" t="str">
        <f t="shared" si="38"/>
        <v>N</v>
      </c>
      <c r="W30" s="18" t="str">
        <f t="shared" si="38"/>
        <v>E</v>
      </c>
      <c r="X30" s="18" t="str">
        <f t="shared" si="38"/>
        <v>J</v>
      </c>
      <c r="Y30" s="18" t="str">
        <f t="shared" si="38"/>
        <v>M</v>
      </c>
      <c r="Z30" s="18" t="str">
        <f t="shared" si="38"/>
        <v>K</v>
      </c>
      <c r="AA30" s="18" t="str">
        <f t="shared" si="38"/>
        <v>F</v>
      </c>
      <c r="AB30" s="18" t="str">
        <f t="shared" si="38"/>
        <v>Q</v>
      </c>
      <c r="AC30" s="18" t="str">
        <f t="shared" si="38"/>
        <v>S</v>
      </c>
      <c r="AD30" s="18" t="str">
        <f t="shared" si="38"/>
        <v>U</v>
      </c>
      <c r="AE30" s="18" t="str">
        <f t="shared" si="38"/>
        <v>C</v>
      </c>
      <c r="AF30" s="19" t="str">
        <f>CONCATENATE(F30,G30,H30,I30,J30,K30,L30,M30,N30,O30,P30,Q30,R30,S30,T30&amp;U30,V30,W30,X30,Y30,Z30,AA30,AB30,AC30,AD30,AE30)</f>
        <v>WZBLRVXAYGIPDTOHNEJMKFQSUC</v>
      </c>
      <c r="AH30" s="12" t="str">
        <f>F25&amp;F30</f>
        <v>AW</v>
      </c>
      <c r="AI30" s="12" t="str">
        <f t="shared" ref="AI30:BG30" si="39">G25&amp;G30</f>
        <v>BZ</v>
      </c>
      <c r="AJ30" s="12" t="str">
        <f t="shared" si="39"/>
        <v>CB</v>
      </c>
      <c r="AK30" s="12" t="str">
        <f t="shared" si="39"/>
        <v>DL</v>
      </c>
      <c r="AL30" s="12" t="str">
        <f t="shared" si="39"/>
        <v>ER</v>
      </c>
      <c r="AM30" s="12" t="str">
        <f t="shared" si="39"/>
        <v>FV</v>
      </c>
      <c r="AN30" s="12" t="str">
        <f t="shared" si="39"/>
        <v>GX</v>
      </c>
      <c r="AO30" s="12" t="str">
        <f t="shared" si="39"/>
        <v>HA</v>
      </c>
      <c r="AP30" s="12" t="str">
        <f t="shared" si="39"/>
        <v>IY</v>
      </c>
      <c r="AQ30" s="12" t="str">
        <f t="shared" si="39"/>
        <v>JG</v>
      </c>
      <c r="AR30" s="12" t="str">
        <f t="shared" si="39"/>
        <v>KI</v>
      </c>
      <c r="AS30" s="12" t="str">
        <f t="shared" si="39"/>
        <v>LP</v>
      </c>
      <c r="AT30" s="12" t="str">
        <f t="shared" si="39"/>
        <v>MD</v>
      </c>
      <c r="AU30" s="12" t="str">
        <f t="shared" si="39"/>
        <v>NT</v>
      </c>
      <c r="AV30" s="12" t="str">
        <f t="shared" si="39"/>
        <v>OO</v>
      </c>
      <c r="AW30" s="12" t="str">
        <f t="shared" si="39"/>
        <v>PH</v>
      </c>
      <c r="AX30" s="12" t="str">
        <f t="shared" si="39"/>
        <v>QN</v>
      </c>
      <c r="AY30" s="12" t="str">
        <f t="shared" si="39"/>
        <v>RE</v>
      </c>
      <c r="AZ30" s="12" t="str">
        <f t="shared" si="39"/>
        <v>SJ</v>
      </c>
      <c r="BA30" s="12" t="str">
        <f t="shared" si="39"/>
        <v>TM</v>
      </c>
      <c r="BB30" s="12" t="str">
        <f t="shared" si="39"/>
        <v>UK</v>
      </c>
      <c r="BC30" s="12" t="str">
        <f t="shared" si="39"/>
        <v>VF</v>
      </c>
      <c r="BD30" s="12" t="str">
        <f t="shared" si="39"/>
        <v>WQ</v>
      </c>
      <c r="BE30" s="12" t="str">
        <f t="shared" si="39"/>
        <v>XS</v>
      </c>
      <c r="BF30" s="12" t="str">
        <f t="shared" si="39"/>
        <v>YU</v>
      </c>
      <c r="BG30" s="12" t="str">
        <f t="shared" si="39"/>
        <v>ZC</v>
      </c>
    </row>
    <row r="31" spans="1:59" x14ac:dyDescent="0.35">
      <c r="B31" s="21"/>
      <c r="C31" s="4"/>
      <c r="D31" s="5"/>
      <c r="E31" s="5" t="s">
        <v>385</v>
      </c>
      <c r="F31" s="6" t="s">
        <v>0</v>
      </c>
      <c r="G31" s="6" t="s">
        <v>1</v>
      </c>
      <c r="H31" s="6" t="s">
        <v>2</v>
      </c>
      <c r="I31" s="6" t="s">
        <v>3</v>
      </c>
      <c r="J31" s="6" t="s">
        <v>4</v>
      </c>
      <c r="K31" s="6" t="s">
        <v>5</v>
      </c>
      <c r="L31" s="6" t="s">
        <v>6</v>
      </c>
      <c r="M31" s="6" t="s">
        <v>7</v>
      </c>
      <c r="N31" s="6" t="s">
        <v>8</v>
      </c>
      <c r="O31" s="6" t="s">
        <v>9</v>
      </c>
      <c r="P31" s="6" t="s">
        <v>10</v>
      </c>
      <c r="Q31" s="6" t="s">
        <v>11</v>
      </c>
      <c r="R31" s="6" t="s">
        <v>12</v>
      </c>
      <c r="S31" s="6" t="s">
        <v>13</v>
      </c>
      <c r="T31" s="6" t="s">
        <v>14</v>
      </c>
      <c r="U31" s="6" t="s">
        <v>15</v>
      </c>
      <c r="V31" s="6" t="s">
        <v>16</v>
      </c>
      <c r="W31" s="6" t="s">
        <v>17</v>
      </c>
      <c r="X31" s="6" t="s">
        <v>18</v>
      </c>
      <c r="Y31" s="6" t="s">
        <v>19</v>
      </c>
      <c r="Z31" s="6" t="s">
        <v>20</v>
      </c>
      <c r="AA31" s="6" t="s">
        <v>21</v>
      </c>
      <c r="AB31" s="6" t="s">
        <v>22</v>
      </c>
      <c r="AC31" s="6" t="s">
        <v>23</v>
      </c>
      <c r="AD31" s="6" t="s">
        <v>24</v>
      </c>
      <c r="AE31" s="6" t="s">
        <v>25</v>
      </c>
      <c r="AF31" s="7"/>
      <c r="AH31" s="28" t="str">
        <f>HLOOKUP(AH23,$AH28:$BG29,2,FALSE)</f>
        <v>Q</v>
      </c>
      <c r="AI31" s="28" t="str">
        <f>HLOOKUP(AI23,$AH28:$BG29,2,FALSE)</f>
        <v>F</v>
      </c>
      <c r="AJ31" s="28" t="str">
        <f t="shared" ref="AJ31:BG31" si="40">HLOOKUP(AJ23,$AH28:$BG29,2,FALSE)</f>
        <v>U</v>
      </c>
      <c r="AK31" s="28" t="str">
        <f t="shared" si="40"/>
        <v>B</v>
      </c>
      <c r="AL31" s="28" t="str">
        <f t="shared" si="40"/>
        <v>N</v>
      </c>
      <c r="AM31" s="28" t="str">
        <f t="shared" si="40"/>
        <v>V</v>
      </c>
      <c r="AN31" s="28" t="str">
        <f t="shared" si="40"/>
        <v>S</v>
      </c>
      <c r="AO31" s="28" t="str">
        <f t="shared" si="40"/>
        <v>G</v>
      </c>
      <c r="AP31" s="28" t="str">
        <f t="shared" si="40"/>
        <v>O</v>
      </c>
      <c r="AQ31" s="28" t="str">
        <f t="shared" si="40"/>
        <v>T</v>
      </c>
      <c r="AR31" s="28" t="str">
        <f t="shared" si="40"/>
        <v>P</v>
      </c>
      <c r="AS31" s="28" t="str">
        <f t="shared" si="40"/>
        <v>Y</v>
      </c>
      <c r="AT31" s="28" t="str">
        <f t="shared" si="40"/>
        <v>K</v>
      </c>
      <c r="AU31" s="28" t="str">
        <f t="shared" si="40"/>
        <v>H</v>
      </c>
      <c r="AV31" s="28" t="str">
        <f t="shared" si="40"/>
        <v>I</v>
      </c>
      <c r="AW31" s="28" t="str">
        <f t="shared" si="40"/>
        <v>X</v>
      </c>
      <c r="AX31" s="28" t="str">
        <f t="shared" si="40"/>
        <v>L</v>
      </c>
      <c r="AY31" s="28" t="str">
        <f t="shared" si="40"/>
        <v>D</v>
      </c>
      <c r="AZ31" s="28" t="str">
        <f t="shared" si="40"/>
        <v>C</v>
      </c>
      <c r="BA31" s="28" t="str">
        <f t="shared" si="40"/>
        <v>W</v>
      </c>
      <c r="BB31" s="28" t="str">
        <f t="shared" si="40"/>
        <v>E</v>
      </c>
      <c r="BC31" s="28" t="str">
        <f t="shared" si="40"/>
        <v>A</v>
      </c>
      <c r="BD31" s="28" t="str">
        <f t="shared" si="40"/>
        <v>R</v>
      </c>
      <c r="BE31" s="28" t="str">
        <f t="shared" si="40"/>
        <v>Z</v>
      </c>
      <c r="BF31" s="28" t="str">
        <f t="shared" si="40"/>
        <v>J</v>
      </c>
      <c r="BG31" s="28" t="str">
        <f t="shared" si="40"/>
        <v>M</v>
      </c>
    </row>
    <row r="32" spans="1:59" x14ac:dyDescent="0.35">
      <c r="B32" s="22"/>
      <c r="C32" s="8"/>
      <c r="F32" s="1">
        <f>IF(ISERROR(FIND(F31,$AF30)),0,1)</f>
        <v>1</v>
      </c>
      <c r="G32" s="1">
        <f t="shared" ref="G32:AE32" si="41">IF(ISERROR(FIND(G31,$AF30)),0,1)</f>
        <v>1</v>
      </c>
      <c r="H32" s="1">
        <f t="shared" si="41"/>
        <v>1</v>
      </c>
      <c r="I32" s="1">
        <f t="shared" si="41"/>
        <v>1</v>
      </c>
      <c r="J32" s="1">
        <f t="shared" si="41"/>
        <v>1</v>
      </c>
      <c r="K32" s="1">
        <f t="shared" si="41"/>
        <v>1</v>
      </c>
      <c r="L32" s="1">
        <f t="shared" si="41"/>
        <v>1</v>
      </c>
      <c r="M32" s="1">
        <f t="shared" si="41"/>
        <v>1</v>
      </c>
      <c r="N32" s="1">
        <f t="shared" si="41"/>
        <v>1</v>
      </c>
      <c r="O32" s="1">
        <f t="shared" si="41"/>
        <v>1</v>
      </c>
      <c r="P32" s="1">
        <f t="shared" si="41"/>
        <v>1</v>
      </c>
      <c r="Q32" s="1">
        <f t="shared" si="41"/>
        <v>1</v>
      </c>
      <c r="R32" s="1">
        <f t="shared" si="41"/>
        <v>1</v>
      </c>
      <c r="S32" s="1">
        <f t="shared" si="41"/>
        <v>1</v>
      </c>
      <c r="T32" s="1">
        <f t="shared" si="41"/>
        <v>1</v>
      </c>
      <c r="U32" s="1">
        <f t="shared" si="41"/>
        <v>1</v>
      </c>
      <c r="V32" s="1">
        <f t="shared" si="41"/>
        <v>1</v>
      </c>
      <c r="W32" s="1">
        <f t="shared" si="41"/>
        <v>1</v>
      </c>
      <c r="X32" s="1">
        <f t="shared" si="41"/>
        <v>1</v>
      </c>
      <c r="Y32" s="1">
        <f t="shared" si="41"/>
        <v>1</v>
      </c>
      <c r="Z32" s="1">
        <f t="shared" si="41"/>
        <v>1</v>
      </c>
      <c r="AA32" s="1">
        <f t="shared" si="41"/>
        <v>1</v>
      </c>
      <c r="AB32" s="1">
        <f t="shared" si="41"/>
        <v>1</v>
      </c>
      <c r="AC32" s="1">
        <f t="shared" si="41"/>
        <v>1</v>
      </c>
      <c r="AD32" s="1">
        <f t="shared" si="41"/>
        <v>1</v>
      </c>
      <c r="AE32" s="1">
        <f t="shared" si="41"/>
        <v>1</v>
      </c>
      <c r="AF32" s="10"/>
    </row>
    <row r="33" spans="2:59" x14ac:dyDescent="0.35">
      <c r="B33" s="22" t="s">
        <v>383</v>
      </c>
      <c r="C33" s="26" t="str">
        <f>"R"&amp;C12</f>
        <v>R4</v>
      </c>
      <c r="D33" s="11">
        <f>D12</f>
        <v>142</v>
      </c>
      <c r="E33" s="11">
        <f>E12</f>
        <v>12</v>
      </c>
      <c r="F33" s="12" t="str">
        <f>F12</f>
        <v>L</v>
      </c>
      <c r="G33" s="13" t="str">
        <f t="shared" ref="G33:AE33" si="42">VLOOKUP(F33,nNextLetter,2,FALSE)</f>
        <v>M</v>
      </c>
      <c r="H33" s="13" t="str">
        <f t="shared" si="42"/>
        <v>N</v>
      </c>
      <c r="I33" s="13" t="str">
        <f t="shared" si="42"/>
        <v>O</v>
      </c>
      <c r="J33" s="13" t="str">
        <f t="shared" si="42"/>
        <v>P</v>
      </c>
      <c r="K33" s="13" t="str">
        <f t="shared" si="42"/>
        <v>Q</v>
      </c>
      <c r="L33" s="13" t="str">
        <f t="shared" si="42"/>
        <v>R</v>
      </c>
      <c r="M33" s="13" t="str">
        <f t="shared" si="42"/>
        <v>S</v>
      </c>
      <c r="N33" s="13" t="str">
        <f t="shared" si="42"/>
        <v>T</v>
      </c>
      <c r="O33" s="13" t="str">
        <f t="shared" si="42"/>
        <v>U</v>
      </c>
      <c r="P33" s="13" t="str">
        <f t="shared" si="42"/>
        <v>V</v>
      </c>
      <c r="Q33" s="13" t="str">
        <f t="shared" si="42"/>
        <v>W</v>
      </c>
      <c r="R33" s="13" t="str">
        <f t="shared" si="42"/>
        <v>X</v>
      </c>
      <c r="S33" s="13" t="str">
        <f t="shared" si="42"/>
        <v>Y</v>
      </c>
      <c r="T33" s="13" t="str">
        <f t="shared" si="42"/>
        <v>Z</v>
      </c>
      <c r="U33" s="13" t="str">
        <f t="shared" si="42"/>
        <v>A</v>
      </c>
      <c r="V33" s="13" t="str">
        <f t="shared" si="42"/>
        <v>B</v>
      </c>
      <c r="W33" s="13" t="str">
        <f t="shared" si="42"/>
        <v>C</v>
      </c>
      <c r="X33" s="13" t="str">
        <f t="shared" si="42"/>
        <v>D</v>
      </c>
      <c r="Y33" s="13" t="str">
        <f t="shared" si="42"/>
        <v>E</v>
      </c>
      <c r="Z33" s="13" t="str">
        <f t="shared" si="42"/>
        <v>F</v>
      </c>
      <c r="AA33" s="13" t="str">
        <f t="shared" si="42"/>
        <v>G</v>
      </c>
      <c r="AB33" s="13" t="str">
        <f t="shared" si="42"/>
        <v>H</v>
      </c>
      <c r="AC33" s="13" t="str">
        <f t="shared" si="42"/>
        <v>I</v>
      </c>
      <c r="AD33" s="13" t="str">
        <f t="shared" si="42"/>
        <v>J</v>
      </c>
      <c r="AE33" s="13" t="str">
        <f t="shared" si="42"/>
        <v>K</v>
      </c>
      <c r="AF33" s="10"/>
    </row>
    <row r="34" spans="2:59" x14ac:dyDescent="0.35">
      <c r="B34" s="22"/>
      <c r="C34" s="8"/>
      <c r="E34" t="s">
        <v>386</v>
      </c>
      <c r="F34" s="14" t="str">
        <f t="shared" ref="F34:AE34" si="43">IF(F32=1,VLOOKUP(nCurPosM+nRingOffsetM+(CODE(F31)-nCharOffset)-1,nNum2Let,2,FALSE),"")</f>
        <v>L</v>
      </c>
      <c r="G34" s="14" t="str">
        <f t="shared" si="43"/>
        <v>M</v>
      </c>
      <c r="H34" s="14" t="str">
        <f t="shared" si="43"/>
        <v>N</v>
      </c>
      <c r="I34" s="14" t="str">
        <f t="shared" si="43"/>
        <v>O</v>
      </c>
      <c r="J34" s="14" t="str">
        <f t="shared" si="43"/>
        <v>P</v>
      </c>
      <c r="K34" s="14" t="str">
        <f t="shared" si="43"/>
        <v>Q</v>
      </c>
      <c r="L34" s="14" t="str">
        <f t="shared" si="43"/>
        <v>R</v>
      </c>
      <c r="M34" s="14" t="str">
        <f t="shared" si="43"/>
        <v>S</v>
      </c>
      <c r="N34" s="14" t="str">
        <f t="shared" si="43"/>
        <v>T</v>
      </c>
      <c r="O34" s="14" t="str">
        <f t="shared" si="43"/>
        <v>U</v>
      </c>
      <c r="P34" s="14" t="str">
        <f t="shared" si="43"/>
        <v>V</v>
      </c>
      <c r="Q34" s="14" t="str">
        <f t="shared" si="43"/>
        <v>W</v>
      </c>
      <c r="R34" s="14" t="str">
        <f t="shared" si="43"/>
        <v>X</v>
      </c>
      <c r="S34" s="14" t="str">
        <f t="shared" si="43"/>
        <v>Y</v>
      </c>
      <c r="T34" s="14" t="str">
        <f t="shared" si="43"/>
        <v>Z</v>
      </c>
      <c r="U34" s="14" t="str">
        <f t="shared" si="43"/>
        <v>A</v>
      </c>
      <c r="V34" s="14" t="str">
        <f t="shared" si="43"/>
        <v>B</v>
      </c>
      <c r="W34" s="14" t="str">
        <f t="shared" si="43"/>
        <v>C</v>
      </c>
      <c r="X34" s="14" t="str">
        <f t="shared" si="43"/>
        <v>D</v>
      </c>
      <c r="Y34" s="14" t="str">
        <f t="shared" si="43"/>
        <v>E</v>
      </c>
      <c r="Z34" s="14" t="str">
        <f t="shared" si="43"/>
        <v>F</v>
      </c>
      <c r="AA34" s="14" t="str">
        <f t="shared" si="43"/>
        <v>G</v>
      </c>
      <c r="AB34" s="14" t="str">
        <f t="shared" si="43"/>
        <v>H</v>
      </c>
      <c r="AC34" s="14" t="str">
        <f t="shared" si="43"/>
        <v>I</v>
      </c>
      <c r="AD34" s="14" t="str">
        <f t="shared" si="43"/>
        <v>J</v>
      </c>
      <c r="AE34" s="14" t="str">
        <f t="shared" si="43"/>
        <v>K</v>
      </c>
      <c r="AF34" s="10"/>
      <c r="AH34" s="28" t="str">
        <f t="shared" ref="AH34:BG34" si="44">IF(LEN(AH36)=2,LEFT(AH36,1),"")</f>
        <v>A</v>
      </c>
      <c r="AI34" s="28" t="str">
        <f t="shared" si="44"/>
        <v>B</v>
      </c>
      <c r="AJ34" s="28" t="str">
        <f t="shared" si="44"/>
        <v>C</v>
      </c>
      <c r="AK34" s="28" t="str">
        <f t="shared" si="44"/>
        <v>D</v>
      </c>
      <c r="AL34" s="28" t="str">
        <f t="shared" si="44"/>
        <v>E</v>
      </c>
      <c r="AM34" s="28" t="str">
        <f t="shared" si="44"/>
        <v>F</v>
      </c>
      <c r="AN34" s="28" t="str">
        <f t="shared" si="44"/>
        <v>G</v>
      </c>
      <c r="AO34" s="28" t="str">
        <f t="shared" si="44"/>
        <v>H</v>
      </c>
      <c r="AP34" s="28" t="str">
        <f t="shared" si="44"/>
        <v>I</v>
      </c>
      <c r="AQ34" s="28" t="str">
        <f t="shared" si="44"/>
        <v>J</v>
      </c>
      <c r="AR34" s="28" t="str">
        <f t="shared" si="44"/>
        <v>K</v>
      </c>
      <c r="AS34" s="28" t="str">
        <f t="shared" si="44"/>
        <v>L</v>
      </c>
      <c r="AT34" s="28" t="str">
        <f t="shared" si="44"/>
        <v>M</v>
      </c>
      <c r="AU34" s="28" t="str">
        <f t="shared" si="44"/>
        <v>N</v>
      </c>
      <c r="AV34" s="28" t="str">
        <f t="shared" si="44"/>
        <v>O</v>
      </c>
      <c r="AW34" s="28" t="str">
        <f t="shared" si="44"/>
        <v>P</v>
      </c>
      <c r="AX34" s="28" t="str">
        <f t="shared" si="44"/>
        <v>Q</v>
      </c>
      <c r="AY34" s="28" t="str">
        <f t="shared" si="44"/>
        <v>R</v>
      </c>
      <c r="AZ34" s="28" t="str">
        <f t="shared" si="44"/>
        <v>S</v>
      </c>
      <c r="BA34" s="28" t="str">
        <f t="shared" si="44"/>
        <v>T</v>
      </c>
      <c r="BB34" s="28" t="str">
        <f t="shared" si="44"/>
        <v>U</v>
      </c>
      <c r="BC34" s="28" t="str">
        <f t="shared" si="44"/>
        <v>V</v>
      </c>
      <c r="BD34" s="28" t="str">
        <f t="shared" si="44"/>
        <v>W</v>
      </c>
      <c r="BE34" s="28" t="str">
        <f t="shared" si="44"/>
        <v>X</v>
      </c>
      <c r="BF34" s="28" t="str">
        <f t="shared" si="44"/>
        <v>Y</v>
      </c>
      <c r="BG34" s="28" t="str">
        <f t="shared" si="44"/>
        <v>Z</v>
      </c>
    </row>
    <row r="35" spans="2:59" x14ac:dyDescent="0.35">
      <c r="B35" s="22"/>
      <c r="C35" s="8"/>
      <c r="E35" t="s">
        <v>387</v>
      </c>
      <c r="F35" s="15" t="str">
        <f t="shared" ref="F35:AE35" si="45">IF(F32=1,VLOOKUP(nRotorM_Rev&amp;F34,nRotorRev,4,FALSE),"")</f>
        <v>P</v>
      </c>
      <c r="G35" s="15" t="str">
        <f t="shared" si="45"/>
        <v>X</v>
      </c>
      <c r="H35" s="15" t="str">
        <f t="shared" si="45"/>
        <v>Q</v>
      </c>
      <c r="I35" s="15" t="str">
        <f t="shared" si="45"/>
        <v>C</v>
      </c>
      <c r="J35" s="15" t="str">
        <f t="shared" si="45"/>
        <v>E</v>
      </c>
      <c r="K35" s="15" t="str">
        <f t="shared" si="45"/>
        <v>J</v>
      </c>
      <c r="L35" s="15" t="str">
        <f t="shared" si="45"/>
        <v>M</v>
      </c>
      <c r="M35" s="15" t="str">
        <f t="shared" si="45"/>
        <v>B</v>
      </c>
      <c r="N35" s="15" t="str">
        <f t="shared" si="45"/>
        <v>S</v>
      </c>
      <c r="O35" s="15" t="str">
        <f t="shared" si="45"/>
        <v>K</v>
      </c>
      <c r="P35" s="15" t="str">
        <f t="shared" si="45"/>
        <v>D</v>
      </c>
      <c r="Q35" s="15" t="str">
        <f t="shared" si="45"/>
        <v>Y</v>
      </c>
      <c r="R35" s="15" t="str">
        <f t="shared" si="45"/>
        <v>O</v>
      </c>
      <c r="S35" s="15" t="str">
        <f t="shared" si="45"/>
        <v>I</v>
      </c>
      <c r="T35" s="15" t="str">
        <f t="shared" si="45"/>
        <v>F</v>
      </c>
      <c r="U35" s="15" t="str">
        <f t="shared" si="45"/>
        <v>H</v>
      </c>
      <c r="V35" s="15" t="str">
        <f t="shared" si="45"/>
        <v>Z</v>
      </c>
      <c r="W35" s="15" t="str">
        <f t="shared" si="45"/>
        <v>W</v>
      </c>
      <c r="X35" s="15" t="str">
        <f t="shared" si="45"/>
        <v>V</v>
      </c>
      <c r="Y35" s="15" t="str">
        <f t="shared" si="45"/>
        <v>A</v>
      </c>
      <c r="Z35" s="15" t="str">
        <f t="shared" si="45"/>
        <v>R</v>
      </c>
      <c r="AA35" s="15" t="str">
        <f t="shared" si="45"/>
        <v>T</v>
      </c>
      <c r="AB35" s="15" t="str">
        <f t="shared" si="45"/>
        <v>N</v>
      </c>
      <c r="AC35" s="15" t="str">
        <f t="shared" si="45"/>
        <v>L</v>
      </c>
      <c r="AD35" s="15" t="str">
        <f t="shared" si="45"/>
        <v>G</v>
      </c>
      <c r="AE35" s="15" t="str">
        <f t="shared" si="45"/>
        <v>U</v>
      </c>
      <c r="AF35" s="10"/>
      <c r="AH35" s="28" t="str">
        <f t="shared" ref="AH35:BG35" si="46">IF(LEN(AH36)=2,RIGHT(AH36,1),"")</f>
        <v>E</v>
      </c>
      <c r="AI35" s="28" t="str">
        <f t="shared" si="46"/>
        <v>M</v>
      </c>
      <c r="AJ35" s="28" t="str">
        <f t="shared" si="46"/>
        <v>F</v>
      </c>
      <c r="AK35" s="28" t="str">
        <f t="shared" si="46"/>
        <v>R</v>
      </c>
      <c r="AL35" s="28" t="str">
        <f t="shared" si="46"/>
        <v>T</v>
      </c>
      <c r="AM35" s="28" t="str">
        <f t="shared" si="46"/>
        <v>Y</v>
      </c>
      <c r="AN35" s="28" t="str">
        <f t="shared" si="46"/>
        <v>B</v>
      </c>
      <c r="AO35" s="28" t="str">
        <f t="shared" si="46"/>
        <v>Q</v>
      </c>
      <c r="AP35" s="28" t="str">
        <f t="shared" si="46"/>
        <v>H</v>
      </c>
      <c r="AQ35" s="28" t="str">
        <f t="shared" si="46"/>
        <v>Z</v>
      </c>
      <c r="AR35" s="28" t="str">
        <f t="shared" si="46"/>
        <v>S</v>
      </c>
      <c r="AS35" s="28" t="str">
        <f t="shared" si="46"/>
        <v>N</v>
      </c>
      <c r="AT35" s="28" t="str">
        <f t="shared" si="46"/>
        <v>D</v>
      </c>
      <c r="AU35" s="28" t="str">
        <f t="shared" si="46"/>
        <v>X</v>
      </c>
      <c r="AV35" s="28" t="str">
        <f t="shared" si="46"/>
        <v>U</v>
      </c>
      <c r="AW35" s="28" t="str">
        <f t="shared" si="46"/>
        <v>W</v>
      </c>
      <c r="AX35" s="28" t="str">
        <f t="shared" si="46"/>
        <v>O</v>
      </c>
      <c r="AY35" s="28" t="str">
        <f t="shared" si="46"/>
        <v>L</v>
      </c>
      <c r="AZ35" s="28" t="str">
        <f t="shared" si="46"/>
        <v>K</v>
      </c>
      <c r="BA35" s="28" t="str">
        <f t="shared" si="46"/>
        <v>P</v>
      </c>
      <c r="BB35" s="28" t="str">
        <f t="shared" si="46"/>
        <v>G</v>
      </c>
      <c r="BC35" s="28" t="str">
        <f t="shared" si="46"/>
        <v>I</v>
      </c>
      <c r="BD35" s="28" t="str">
        <f t="shared" si="46"/>
        <v>C</v>
      </c>
      <c r="BE35" s="28" t="str">
        <f t="shared" si="46"/>
        <v>A</v>
      </c>
      <c r="BF35" s="28" t="str">
        <f t="shared" si="46"/>
        <v>V</v>
      </c>
      <c r="BG35" s="28" t="str">
        <f t="shared" si="46"/>
        <v>J</v>
      </c>
    </row>
    <row r="36" spans="2:59" ht="15" thickBot="1" x14ac:dyDescent="0.4">
      <c r="B36" s="23"/>
      <c r="C36" s="16"/>
      <c r="D36" s="17"/>
      <c r="E36" s="17" t="s">
        <v>388</v>
      </c>
      <c r="F36" s="18" t="str">
        <f t="shared" ref="F36:AE36" si="47">IF(F32=1,IF(CODE(F35)-CODE(F34)&lt;0,VLOOKUP((CODE(F35)-CODE(F34)+26)+(CODE(F31)-nCharOffset),nNum2Let,2,FALSE),VLOOKUP((CODE(F35)-CODE(F34))+(CODE(F31)-nCharOffset),nNum2Let,2,FALSE)),"")</f>
        <v>E</v>
      </c>
      <c r="G36" s="18" t="str">
        <f t="shared" si="47"/>
        <v>M</v>
      </c>
      <c r="H36" s="18" t="str">
        <f t="shared" si="47"/>
        <v>F</v>
      </c>
      <c r="I36" s="18" t="str">
        <f t="shared" si="47"/>
        <v>R</v>
      </c>
      <c r="J36" s="18" t="str">
        <f t="shared" si="47"/>
        <v>T</v>
      </c>
      <c r="K36" s="18" t="str">
        <f t="shared" si="47"/>
        <v>Y</v>
      </c>
      <c r="L36" s="18" t="str">
        <f t="shared" si="47"/>
        <v>B</v>
      </c>
      <c r="M36" s="18" t="str">
        <f t="shared" si="47"/>
        <v>Q</v>
      </c>
      <c r="N36" s="18" t="str">
        <f t="shared" si="47"/>
        <v>H</v>
      </c>
      <c r="O36" s="18" t="str">
        <f t="shared" si="47"/>
        <v>Z</v>
      </c>
      <c r="P36" s="18" t="str">
        <f t="shared" si="47"/>
        <v>S</v>
      </c>
      <c r="Q36" s="18" t="str">
        <f t="shared" si="47"/>
        <v>N</v>
      </c>
      <c r="R36" s="18" t="str">
        <f t="shared" si="47"/>
        <v>D</v>
      </c>
      <c r="S36" s="18" t="str">
        <f t="shared" si="47"/>
        <v>X</v>
      </c>
      <c r="T36" s="18" t="str">
        <f t="shared" si="47"/>
        <v>U</v>
      </c>
      <c r="U36" s="18" t="str">
        <f t="shared" si="47"/>
        <v>W</v>
      </c>
      <c r="V36" s="18" t="str">
        <f t="shared" si="47"/>
        <v>O</v>
      </c>
      <c r="W36" s="18" t="str">
        <f t="shared" si="47"/>
        <v>L</v>
      </c>
      <c r="X36" s="18" t="str">
        <f t="shared" si="47"/>
        <v>K</v>
      </c>
      <c r="Y36" s="18" t="str">
        <f t="shared" si="47"/>
        <v>P</v>
      </c>
      <c r="Z36" s="18" t="str">
        <f t="shared" si="47"/>
        <v>G</v>
      </c>
      <c r="AA36" s="18" t="str">
        <f t="shared" si="47"/>
        <v>I</v>
      </c>
      <c r="AB36" s="18" t="str">
        <f t="shared" si="47"/>
        <v>C</v>
      </c>
      <c r="AC36" s="18" t="str">
        <f t="shared" si="47"/>
        <v>A</v>
      </c>
      <c r="AD36" s="18" t="str">
        <f t="shared" si="47"/>
        <v>V</v>
      </c>
      <c r="AE36" s="18" t="str">
        <f t="shared" si="47"/>
        <v>J</v>
      </c>
      <c r="AF36" s="19" t="str">
        <f>CONCATENATE(F36,G36,H36,I36,J36,K36,L36,M36,N36,O36,P36,Q36,R36,S36,T36&amp;U36,V36,W36,X36,Y36,Z36,AA36,AB36,AC36,AD36,AE36)</f>
        <v>EMFRTYBQHZSNDXUWOLKPGICAVJ</v>
      </c>
      <c r="AH36" s="12" t="str">
        <f>F31&amp;F36</f>
        <v>AE</v>
      </c>
      <c r="AI36" s="12" t="str">
        <f t="shared" ref="AI36:BG36" si="48">G31&amp;G36</f>
        <v>BM</v>
      </c>
      <c r="AJ36" s="12" t="str">
        <f t="shared" si="48"/>
        <v>CF</v>
      </c>
      <c r="AK36" s="12" t="str">
        <f t="shared" si="48"/>
        <v>DR</v>
      </c>
      <c r="AL36" s="12" t="str">
        <f t="shared" si="48"/>
        <v>ET</v>
      </c>
      <c r="AM36" s="12" t="str">
        <f t="shared" si="48"/>
        <v>FY</v>
      </c>
      <c r="AN36" s="12" t="str">
        <f t="shared" si="48"/>
        <v>GB</v>
      </c>
      <c r="AO36" s="12" t="str">
        <f t="shared" si="48"/>
        <v>HQ</v>
      </c>
      <c r="AP36" s="12" t="str">
        <f t="shared" si="48"/>
        <v>IH</v>
      </c>
      <c r="AQ36" s="12" t="str">
        <f t="shared" si="48"/>
        <v>JZ</v>
      </c>
      <c r="AR36" s="12" t="str">
        <f t="shared" si="48"/>
        <v>KS</v>
      </c>
      <c r="AS36" s="12" t="str">
        <f t="shared" si="48"/>
        <v>LN</v>
      </c>
      <c r="AT36" s="12" t="str">
        <f t="shared" si="48"/>
        <v>MD</v>
      </c>
      <c r="AU36" s="12" t="str">
        <f t="shared" si="48"/>
        <v>NX</v>
      </c>
      <c r="AV36" s="12" t="str">
        <f t="shared" si="48"/>
        <v>OU</v>
      </c>
      <c r="AW36" s="12" t="str">
        <f t="shared" si="48"/>
        <v>PW</v>
      </c>
      <c r="AX36" s="12" t="str">
        <f t="shared" si="48"/>
        <v>QO</v>
      </c>
      <c r="AY36" s="12" t="str">
        <f t="shared" si="48"/>
        <v>RL</v>
      </c>
      <c r="AZ36" s="12" t="str">
        <f t="shared" si="48"/>
        <v>SK</v>
      </c>
      <c r="BA36" s="12" t="str">
        <f t="shared" si="48"/>
        <v>TP</v>
      </c>
      <c r="BB36" s="12" t="str">
        <f t="shared" si="48"/>
        <v>UG</v>
      </c>
      <c r="BC36" s="12" t="str">
        <f t="shared" si="48"/>
        <v>VI</v>
      </c>
      <c r="BD36" s="12" t="str">
        <f t="shared" si="48"/>
        <v>WC</v>
      </c>
      <c r="BE36" s="12" t="str">
        <f t="shared" si="48"/>
        <v>XA</v>
      </c>
      <c r="BF36" s="12" t="str">
        <f t="shared" si="48"/>
        <v>YV</v>
      </c>
      <c r="BG36" s="12" t="str">
        <f t="shared" si="48"/>
        <v>ZJ</v>
      </c>
    </row>
    <row r="37" spans="2:59" x14ac:dyDescent="0.35">
      <c r="B37" s="21"/>
      <c r="C37" s="4"/>
      <c r="D37" s="5"/>
      <c r="E37" s="5" t="s">
        <v>385</v>
      </c>
      <c r="F37" s="6" t="s">
        <v>0</v>
      </c>
      <c r="G37" s="6" t="s">
        <v>1</v>
      </c>
      <c r="H37" s="6" t="s">
        <v>2</v>
      </c>
      <c r="I37" s="6" t="s">
        <v>3</v>
      </c>
      <c r="J37" s="6" t="s">
        <v>4</v>
      </c>
      <c r="K37" s="6" t="s">
        <v>5</v>
      </c>
      <c r="L37" s="6" t="s">
        <v>6</v>
      </c>
      <c r="M37" s="6" t="s">
        <v>7</v>
      </c>
      <c r="N37" s="6" t="s">
        <v>8</v>
      </c>
      <c r="O37" s="6" t="s">
        <v>9</v>
      </c>
      <c r="P37" s="6" t="s">
        <v>10</v>
      </c>
      <c r="Q37" s="6" t="s">
        <v>11</v>
      </c>
      <c r="R37" s="6" t="s">
        <v>12</v>
      </c>
      <c r="S37" s="6" t="s">
        <v>13</v>
      </c>
      <c r="T37" s="6" t="s">
        <v>14</v>
      </c>
      <c r="U37" s="6" t="s">
        <v>15</v>
      </c>
      <c r="V37" s="6" t="s">
        <v>16</v>
      </c>
      <c r="W37" s="6" t="s">
        <v>17</v>
      </c>
      <c r="X37" s="6" t="s">
        <v>18</v>
      </c>
      <c r="Y37" s="6" t="s">
        <v>19</v>
      </c>
      <c r="Z37" s="6" t="s">
        <v>20</v>
      </c>
      <c r="AA37" s="6" t="s">
        <v>21</v>
      </c>
      <c r="AB37" s="6" t="s">
        <v>22</v>
      </c>
      <c r="AC37" s="6" t="s">
        <v>23</v>
      </c>
      <c r="AD37" s="6" t="s">
        <v>24</v>
      </c>
      <c r="AE37" s="6" t="s">
        <v>25</v>
      </c>
      <c r="AF37" s="20"/>
      <c r="AH37" s="28" t="str">
        <f>HLOOKUP(AH31,$AH34:$BG35,2,FALSE)</f>
        <v>O</v>
      </c>
      <c r="AI37" s="28" t="str">
        <f>HLOOKUP(AI31,$AH34:$BG35,2,FALSE)</f>
        <v>Y</v>
      </c>
      <c r="AJ37" s="28" t="str">
        <f>HLOOKUP(AJ31,$AH34:$BG35,2,FALSE)</f>
        <v>G</v>
      </c>
      <c r="AK37" s="28" t="str">
        <f t="shared" ref="AK37:BG37" si="49">HLOOKUP(AK31,$AH34:$BG35,2,FALSE)</f>
        <v>M</v>
      </c>
      <c r="AL37" s="28" t="str">
        <f t="shared" si="49"/>
        <v>X</v>
      </c>
      <c r="AM37" s="28" t="str">
        <f t="shared" si="49"/>
        <v>I</v>
      </c>
      <c r="AN37" s="28" t="str">
        <f t="shared" si="49"/>
        <v>K</v>
      </c>
      <c r="AO37" s="28" t="str">
        <f t="shared" si="49"/>
        <v>B</v>
      </c>
      <c r="AP37" s="28" t="str">
        <f t="shared" si="49"/>
        <v>U</v>
      </c>
      <c r="AQ37" s="28" t="str">
        <f t="shared" si="49"/>
        <v>P</v>
      </c>
      <c r="AR37" s="28" t="str">
        <f t="shared" si="49"/>
        <v>W</v>
      </c>
      <c r="AS37" s="28" t="str">
        <f t="shared" si="49"/>
        <v>V</v>
      </c>
      <c r="AT37" s="28" t="str">
        <f t="shared" si="49"/>
        <v>S</v>
      </c>
      <c r="AU37" s="28" t="str">
        <f t="shared" si="49"/>
        <v>Q</v>
      </c>
      <c r="AV37" s="28" t="str">
        <f t="shared" si="49"/>
        <v>H</v>
      </c>
      <c r="AW37" s="28" t="str">
        <f t="shared" si="49"/>
        <v>A</v>
      </c>
      <c r="AX37" s="28" t="str">
        <f t="shared" si="49"/>
        <v>N</v>
      </c>
      <c r="AY37" s="28" t="str">
        <f t="shared" si="49"/>
        <v>R</v>
      </c>
      <c r="AZ37" s="28" t="str">
        <f t="shared" si="49"/>
        <v>F</v>
      </c>
      <c r="BA37" s="28" t="str">
        <f t="shared" si="49"/>
        <v>C</v>
      </c>
      <c r="BB37" s="28" t="str">
        <f t="shared" si="49"/>
        <v>T</v>
      </c>
      <c r="BC37" s="28" t="str">
        <f t="shared" si="49"/>
        <v>E</v>
      </c>
      <c r="BD37" s="28" t="str">
        <f t="shared" si="49"/>
        <v>L</v>
      </c>
      <c r="BE37" s="28" t="str">
        <f t="shared" si="49"/>
        <v>J</v>
      </c>
      <c r="BF37" s="28" t="str">
        <f t="shared" si="49"/>
        <v>Z</v>
      </c>
      <c r="BG37" s="28" t="str">
        <f t="shared" si="49"/>
        <v>D</v>
      </c>
    </row>
    <row r="38" spans="2:59" x14ac:dyDescent="0.35">
      <c r="B38" s="22"/>
      <c r="C38" s="8"/>
      <c r="F38" s="1">
        <f t="shared" ref="F38:AE38" si="50">IF(ISERROR(FIND(F37,$AF36)),0,1)</f>
        <v>1</v>
      </c>
      <c r="G38" s="1">
        <f t="shared" si="50"/>
        <v>1</v>
      </c>
      <c r="H38" s="1">
        <f t="shared" si="50"/>
        <v>1</v>
      </c>
      <c r="I38" s="1">
        <f t="shared" si="50"/>
        <v>1</v>
      </c>
      <c r="J38" s="1">
        <f t="shared" si="50"/>
        <v>1</v>
      </c>
      <c r="K38" s="1">
        <f t="shared" si="50"/>
        <v>1</v>
      </c>
      <c r="L38" s="1">
        <f t="shared" si="50"/>
        <v>1</v>
      </c>
      <c r="M38" s="1">
        <f t="shared" si="50"/>
        <v>1</v>
      </c>
      <c r="N38" s="1">
        <f t="shared" si="50"/>
        <v>1</v>
      </c>
      <c r="O38" s="1">
        <f t="shared" si="50"/>
        <v>1</v>
      </c>
      <c r="P38" s="1">
        <f t="shared" si="50"/>
        <v>1</v>
      </c>
      <c r="Q38" s="1">
        <f t="shared" si="50"/>
        <v>1</v>
      </c>
      <c r="R38" s="1">
        <f t="shared" si="50"/>
        <v>1</v>
      </c>
      <c r="S38" s="1">
        <f t="shared" si="50"/>
        <v>1</v>
      </c>
      <c r="T38" s="1">
        <f t="shared" si="50"/>
        <v>1</v>
      </c>
      <c r="U38" s="1">
        <f t="shared" si="50"/>
        <v>1</v>
      </c>
      <c r="V38" s="1">
        <f t="shared" si="50"/>
        <v>1</v>
      </c>
      <c r="W38" s="1">
        <f t="shared" si="50"/>
        <v>1</v>
      </c>
      <c r="X38" s="1">
        <f t="shared" si="50"/>
        <v>1</v>
      </c>
      <c r="Y38" s="1">
        <f t="shared" si="50"/>
        <v>1</v>
      </c>
      <c r="Z38" s="1">
        <f t="shared" si="50"/>
        <v>1</v>
      </c>
      <c r="AA38" s="1">
        <f t="shared" si="50"/>
        <v>1</v>
      </c>
      <c r="AB38" s="1">
        <f t="shared" si="50"/>
        <v>1</v>
      </c>
      <c r="AC38" s="1">
        <f t="shared" si="50"/>
        <v>1</v>
      </c>
      <c r="AD38" s="1">
        <f t="shared" si="50"/>
        <v>1</v>
      </c>
      <c r="AE38" s="1">
        <f t="shared" si="50"/>
        <v>1</v>
      </c>
      <c r="AF38" s="10"/>
    </row>
    <row r="39" spans="2:59" x14ac:dyDescent="0.35">
      <c r="B39" s="22" t="s">
        <v>384</v>
      </c>
      <c r="C39" s="26" t="str">
        <f>"R"&amp;C6</f>
        <v>R2</v>
      </c>
      <c r="D39" s="11">
        <f>D6</f>
        <v>3707</v>
      </c>
      <c r="E39" s="11">
        <f>E6</f>
        <v>15</v>
      </c>
      <c r="F39" s="12" t="str">
        <f>F6</f>
        <v>O</v>
      </c>
      <c r="G39" s="13" t="str">
        <f t="shared" ref="G39:AE39" si="51">VLOOKUP(F39,nNextLetter,2,FALSE)</f>
        <v>P</v>
      </c>
      <c r="H39" s="13" t="str">
        <f t="shared" si="51"/>
        <v>Q</v>
      </c>
      <c r="I39" s="13" t="str">
        <f t="shared" si="51"/>
        <v>R</v>
      </c>
      <c r="J39" s="13" t="str">
        <f t="shared" si="51"/>
        <v>S</v>
      </c>
      <c r="K39" s="13" t="str">
        <f t="shared" si="51"/>
        <v>T</v>
      </c>
      <c r="L39" s="13" t="str">
        <f t="shared" si="51"/>
        <v>U</v>
      </c>
      <c r="M39" s="13" t="str">
        <f t="shared" si="51"/>
        <v>V</v>
      </c>
      <c r="N39" s="13" t="str">
        <f t="shared" si="51"/>
        <v>W</v>
      </c>
      <c r="O39" s="13" t="str">
        <f t="shared" si="51"/>
        <v>X</v>
      </c>
      <c r="P39" s="13" t="str">
        <f t="shared" si="51"/>
        <v>Y</v>
      </c>
      <c r="Q39" s="13" t="str">
        <f t="shared" si="51"/>
        <v>Z</v>
      </c>
      <c r="R39" s="13" t="str">
        <f t="shared" si="51"/>
        <v>A</v>
      </c>
      <c r="S39" s="13" t="str">
        <f t="shared" si="51"/>
        <v>B</v>
      </c>
      <c r="T39" s="13" t="str">
        <f t="shared" si="51"/>
        <v>C</v>
      </c>
      <c r="U39" s="13" t="str">
        <f t="shared" si="51"/>
        <v>D</v>
      </c>
      <c r="V39" s="13" t="str">
        <f t="shared" si="51"/>
        <v>E</v>
      </c>
      <c r="W39" s="13" t="str">
        <f t="shared" si="51"/>
        <v>F</v>
      </c>
      <c r="X39" s="13" t="str">
        <f t="shared" si="51"/>
        <v>G</v>
      </c>
      <c r="Y39" s="13" t="str">
        <f t="shared" si="51"/>
        <v>H</v>
      </c>
      <c r="Z39" s="13" t="str">
        <f t="shared" si="51"/>
        <v>I</v>
      </c>
      <c r="AA39" s="13" t="str">
        <f t="shared" si="51"/>
        <v>J</v>
      </c>
      <c r="AB39" s="13" t="str">
        <f t="shared" si="51"/>
        <v>K</v>
      </c>
      <c r="AC39" s="13" t="str">
        <f t="shared" si="51"/>
        <v>L</v>
      </c>
      <c r="AD39" s="13" t="str">
        <f t="shared" si="51"/>
        <v>M</v>
      </c>
      <c r="AE39" s="13" t="str">
        <f t="shared" si="51"/>
        <v>N</v>
      </c>
      <c r="AF39" s="10"/>
    </row>
    <row r="40" spans="2:59" x14ac:dyDescent="0.35">
      <c r="B40" s="22"/>
      <c r="C40" s="8"/>
      <c r="E40" t="s">
        <v>386</v>
      </c>
      <c r="F40" s="14" t="str">
        <f>IF(F38=1,VLOOKUP(nCurPosR+nRingOffsetR+(CODE(F37)-nCharOffset)-1,nNum2Let,2,FALSE),"")</f>
        <v>O</v>
      </c>
      <c r="G40" s="14" t="str">
        <f t="shared" ref="G40:AE40" si="52">IF(G38=1,VLOOKUP(nCurPosR+nRingOffsetR+(CODE(G37)-nCharOffset)-1,nNum2Let,2,FALSE),"")</f>
        <v>P</v>
      </c>
      <c r="H40" s="14" t="str">
        <f t="shared" si="52"/>
        <v>Q</v>
      </c>
      <c r="I40" s="14" t="str">
        <f t="shared" si="52"/>
        <v>R</v>
      </c>
      <c r="J40" s="14" t="str">
        <f t="shared" si="52"/>
        <v>S</v>
      </c>
      <c r="K40" s="14" t="str">
        <f t="shared" si="52"/>
        <v>T</v>
      </c>
      <c r="L40" s="14" t="str">
        <f t="shared" si="52"/>
        <v>U</v>
      </c>
      <c r="M40" s="14" t="str">
        <f t="shared" si="52"/>
        <v>V</v>
      </c>
      <c r="N40" s="14" t="str">
        <f t="shared" si="52"/>
        <v>W</v>
      </c>
      <c r="O40" s="14" t="str">
        <f t="shared" si="52"/>
        <v>X</v>
      </c>
      <c r="P40" s="14" t="str">
        <f t="shared" si="52"/>
        <v>Y</v>
      </c>
      <c r="Q40" s="14" t="str">
        <f t="shared" si="52"/>
        <v>Z</v>
      </c>
      <c r="R40" s="14" t="str">
        <f t="shared" si="52"/>
        <v>A</v>
      </c>
      <c r="S40" s="14" t="str">
        <f t="shared" si="52"/>
        <v>B</v>
      </c>
      <c r="T40" s="14" t="str">
        <f t="shared" si="52"/>
        <v>C</v>
      </c>
      <c r="U40" s="14" t="str">
        <f t="shared" si="52"/>
        <v>D</v>
      </c>
      <c r="V40" s="14" t="str">
        <f t="shared" si="52"/>
        <v>E</v>
      </c>
      <c r="W40" s="14" t="str">
        <f t="shared" si="52"/>
        <v>F</v>
      </c>
      <c r="X40" s="14" t="str">
        <f t="shared" si="52"/>
        <v>G</v>
      </c>
      <c r="Y40" s="14" t="str">
        <f t="shared" si="52"/>
        <v>H</v>
      </c>
      <c r="Z40" s="14" t="str">
        <f t="shared" si="52"/>
        <v>I</v>
      </c>
      <c r="AA40" s="14" t="str">
        <f t="shared" si="52"/>
        <v>J</v>
      </c>
      <c r="AB40" s="14" t="str">
        <f t="shared" si="52"/>
        <v>K</v>
      </c>
      <c r="AC40" s="14" t="str">
        <f t="shared" si="52"/>
        <v>L</v>
      </c>
      <c r="AD40" s="14" t="str">
        <f t="shared" si="52"/>
        <v>M</v>
      </c>
      <c r="AE40" s="14" t="str">
        <f t="shared" si="52"/>
        <v>N</v>
      </c>
      <c r="AF40" s="10"/>
      <c r="AH40" s="28" t="str">
        <f t="shared" ref="AH40:BG40" si="53">IF(LEN(AH42)=2,LEFT(AH42,1),"")</f>
        <v>A</v>
      </c>
      <c r="AI40" s="28" t="str">
        <f t="shared" si="53"/>
        <v>B</v>
      </c>
      <c r="AJ40" s="28" t="str">
        <f t="shared" si="53"/>
        <v>C</v>
      </c>
      <c r="AK40" s="28" t="str">
        <f t="shared" si="53"/>
        <v>D</v>
      </c>
      <c r="AL40" s="28" t="str">
        <f t="shared" si="53"/>
        <v>E</v>
      </c>
      <c r="AM40" s="28" t="str">
        <f t="shared" si="53"/>
        <v>F</v>
      </c>
      <c r="AN40" s="28" t="str">
        <f t="shared" si="53"/>
        <v>G</v>
      </c>
      <c r="AO40" s="28" t="str">
        <f t="shared" si="53"/>
        <v>H</v>
      </c>
      <c r="AP40" s="28" t="str">
        <f t="shared" si="53"/>
        <v>I</v>
      </c>
      <c r="AQ40" s="28" t="str">
        <f t="shared" si="53"/>
        <v>J</v>
      </c>
      <c r="AR40" s="28" t="str">
        <f t="shared" si="53"/>
        <v>K</v>
      </c>
      <c r="AS40" s="28" t="str">
        <f t="shared" si="53"/>
        <v>L</v>
      </c>
      <c r="AT40" s="28" t="str">
        <f t="shared" si="53"/>
        <v>M</v>
      </c>
      <c r="AU40" s="28" t="str">
        <f t="shared" si="53"/>
        <v>N</v>
      </c>
      <c r="AV40" s="28" t="str">
        <f t="shared" si="53"/>
        <v>O</v>
      </c>
      <c r="AW40" s="28" t="str">
        <f t="shared" si="53"/>
        <v>P</v>
      </c>
      <c r="AX40" s="28" t="str">
        <f t="shared" si="53"/>
        <v>Q</v>
      </c>
      <c r="AY40" s="28" t="str">
        <f t="shared" si="53"/>
        <v>R</v>
      </c>
      <c r="AZ40" s="28" t="str">
        <f t="shared" si="53"/>
        <v>S</v>
      </c>
      <c r="BA40" s="28" t="str">
        <f t="shared" si="53"/>
        <v>T</v>
      </c>
      <c r="BB40" s="28" t="str">
        <f t="shared" si="53"/>
        <v>U</v>
      </c>
      <c r="BC40" s="28" t="str">
        <f t="shared" si="53"/>
        <v>V</v>
      </c>
      <c r="BD40" s="28" t="str">
        <f t="shared" si="53"/>
        <v>W</v>
      </c>
      <c r="BE40" s="28" t="str">
        <f t="shared" si="53"/>
        <v>X</v>
      </c>
      <c r="BF40" s="28" t="str">
        <f t="shared" si="53"/>
        <v>Y</v>
      </c>
      <c r="BG40" s="28" t="str">
        <f t="shared" si="53"/>
        <v>Z</v>
      </c>
    </row>
    <row r="41" spans="2:59" x14ac:dyDescent="0.35">
      <c r="B41" s="22"/>
      <c r="C41" s="8"/>
      <c r="E41" t="s">
        <v>387</v>
      </c>
      <c r="F41" s="15" t="str">
        <f t="shared" ref="F41:AE41" si="54">IF(F38=1,VLOOKUP(nRotorR_Rev&amp;F40,nRotorRev,4,FALSE),"")</f>
        <v>Y</v>
      </c>
      <c r="G41" s="15" t="str">
        <f t="shared" si="54"/>
        <v>U</v>
      </c>
      <c r="H41" s="15" t="str">
        <f t="shared" si="54"/>
        <v>Q</v>
      </c>
      <c r="I41" s="15" t="str">
        <f t="shared" si="54"/>
        <v>G</v>
      </c>
      <c r="J41" s="15" t="str">
        <f t="shared" si="54"/>
        <v>E</v>
      </c>
      <c r="K41" s="15" t="str">
        <f t="shared" si="54"/>
        <v>N</v>
      </c>
      <c r="L41" s="15" t="str">
        <f t="shared" si="54"/>
        <v>H</v>
      </c>
      <c r="M41" s="15" t="str">
        <f t="shared" si="54"/>
        <v>X</v>
      </c>
      <c r="N41" s="15" t="str">
        <f t="shared" si="54"/>
        <v>M</v>
      </c>
      <c r="O41" s="15" t="str">
        <f t="shared" si="54"/>
        <v>I</v>
      </c>
      <c r="P41" s="15" t="str">
        <f t="shared" si="54"/>
        <v>V</v>
      </c>
      <c r="Q41" s="15" t="str">
        <f t="shared" si="54"/>
        <v>S</v>
      </c>
      <c r="R41" s="15" t="str">
        <f t="shared" si="54"/>
        <v>A</v>
      </c>
      <c r="S41" s="15" t="str">
        <f t="shared" si="54"/>
        <v>J</v>
      </c>
      <c r="T41" s="15" t="str">
        <f t="shared" si="54"/>
        <v>P</v>
      </c>
      <c r="U41" s="15" t="str">
        <f t="shared" si="54"/>
        <v>C</v>
      </c>
      <c r="V41" s="15" t="str">
        <f t="shared" si="54"/>
        <v>Z</v>
      </c>
      <c r="W41" s="15" t="str">
        <f t="shared" si="54"/>
        <v>W</v>
      </c>
      <c r="X41" s="15" t="str">
        <f t="shared" si="54"/>
        <v>R</v>
      </c>
      <c r="Y41" s="15" t="str">
        <f t="shared" si="54"/>
        <v>L</v>
      </c>
      <c r="Z41" s="15" t="str">
        <f t="shared" si="54"/>
        <v>F</v>
      </c>
      <c r="AA41" s="15" t="str">
        <f t="shared" si="54"/>
        <v>B</v>
      </c>
      <c r="AB41" s="15" t="str">
        <f t="shared" si="54"/>
        <v>D</v>
      </c>
      <c r="AC41" s="15" t="str">
        <f t="shared" si="54"/>
        <v>K</v>
      </c>
      <c r="AD41" s="15" t="str">
        <f t="shared" si="54"/>
        <v>O</v>
      </c>
      <c r="AE41" s="15" t="str">
        <f t="shared" si="54"/>
        <v>T</v>
      </c>
      <c r="AF41" s="10"/>
      <c r="AH41" s="28" t="str">
        <f t="shared" ref="AH41:BG41" si="55">IF(LEN(AH42)=2,RIGHT(AH42,1),"")</f>
        <v>K</v>
      </c>
      <c r="AI41" s="28" t="str">
        <f t="shared" si="55"/>
        <v>G</v>
      </c>
      <c r="AJ41" s="28" t="str">
        <f t="shared" si="55"/>
        <v>C</v>
      </c>
      <c r="AK41" s="28" t="str">
        <f t="shared" si="55"/>
        <v>S</v>
      </c>
      <c r="AL41" s="28" t="str">
        <f t="shared" si="55"/>
        <v>Q</v>
      </c>
      <c r="AM41" s="28" t="str">
        <f t="shared" si="55"/>
        <v>Z</v>
      </c>
      <c r="AN41" s="28" t="str">
        <f t="shared" si="55"/>
        <v>T</v>
      </c>
      <c r="AO41" s="28" t="str">
        <f t="shared" si="55"/>
        <v>J</v>
      </c>
      <c r="AP41" s="28" t="str">
        <f t="shared" si="55"/>
        <v>Y</v>
      </c>
      <c r="AQ41" s="28" t="str">
        <f t="shared" si="55"/>
        <v>U</v>
      </c>
      <c r="AR41" s="28" t="str">
        <f t="shared" si="55"/>
        <v>H</v>
      </c>
      <c r="AS41" s="28" t="str">
        <f t="shared" si="55"/>
        <v>E</v>
      </c>
      <c r="AT41" s="28" t="str">
        <f t="shared" si="55"/>
        <v>M</v>
      </c>
      <c r="AU41" s="28" t="str">
        <f t="shared" si="55"/>
        <v>V</v>
      </c>
      <c r="AV41" s="28" t="str">
        <f t="shared" si="55"/>
        <v>B</v>
      </c>
      <c r="AW41" s="28" t="str">
        <f t="shared" si="55"/>
        <v>O</v>
      </c>
      <c r="AX41" s="28" t="str">
        <f t="shared" si="55"/>
        <v>L</v>
      </c>
      <c r="AY41" s="28" t="str">
        <f t="shared" si="55"/>
        <v>I</v>
      </c>
      <c r="AZ41" s="28" t="str">
        <f t="shared" si="55"/>
        <v>D</v>
      </c>
      <c r="BA41" s="28" t="str">
        <f t="shared" si="55"/>
        <v>X</v>
      </c>
      <c r="BB41" s="28" t="str">
        <f t="shared" si="55"/>
        <v>R</v>
      </c>
      <c r="BC41" s="28" t="str">
        <f t="shared" si="55"/>
        <v>N</v>
      </c>
      <c r="BD41" s="28" t="str">
        <f t="shared" si="55"/>
        <v>P</v>
      </c>
      <c r="BE41" s="28" t="str">
        <f t="shared" si="55"/>
        <v>W</v>
      </c>
      <c r="BF41" s="28" t="str">
        <f t="shared" si="55"/>
        <v>A</v>
      </c>
      <c r="BG41" s="28" t="str">
        <f t="shared" si="55"/>
        <v>F</v>
      </c>
    </row>
    <row r="42" spans="2:59" ht="15" thickBot="1" x14ac:dyDescent="0.4">
      <c r="B42" s="23"/>
      <c r="C42" s="16"/>
      <c r="D42" s="17"/>
      <c r="E42" s="17" t="s">
        <v>388</v>
      </c>
      <c r="F42" s="18" t="str">
        <f t="shared" ref="F42:AE42" si="56">IF(F38=1,IF(CODE(F41)-CODE(F40)&lt;0,VLOOKUP((CODE(F41)-CODE(F40)+26)+(CODE(F37)-nCharOffset),nNum2Let,2,FALSE),VLOOKUP((CODE(F41)-CODE(F40))+(CODE(F37)-nCharOffset),nNum2Let,2,FALSE)),"")</f>
        <v>K</v>
      </c>
      <c r="G42" s="18" t="str">
        <f t="shared" si="56"/>
        <v>G</v>
      </c>
      <c r="H42" s="18" t="str">
        <f t="shared" si="56"/>
        <v>C</v>
      </c>
      <c r="I42" s="18" t="str">
        <f t="shared" si="56"/>
        <v>S</v>
      </c>
      <c r="J42" s="18" t="str">
        <f t="shared" si="56"/>
        <v>Q</v>
      </c>
      <c r="K42" s="18" t="str">
        <f t="shared" si="56"/>
        <v>Z</v>
      </c>
      <c r="L42" s="18" t="str">
        <f t="shared" si="56"/>
        <v>T</v>
      </c>
      <c r="M42" s="18" t="str">
        <f t="shared" si="56"/>
        <v>J</v>
      </c>
      <c r="N42" s="18" t="str">
        <f t="shared" si="56"/>
        <v>Y</v>
      </c>
      <c r="O42" s="18" t="str">
        <f t="shared" si="56"/>
        <v>U</v>
      </c>
      <c r="P42" s="18" t="str">
        <f t="shared" si="56"/>
        <v>H</v>
      </c>
      <c r="Q42" s="18" t="str">
        <f t="shared" si="56"/>
        <v>E</v>
      </c>
      <c r="R42" s="18" t="str">
        <f t="shared" si="56"/>
        <v>M</v>
      </c>
      <c r="S42" s="18" t="str">
        <f t="shared" si="56"/>
        <v>V</v>
      </c>
      <c r="T42" s="18" t="str">
        <f t="shared" si="56"/>
        <v>B</v>
      </c>
      <c r="U42" s="18" t="str">
        <f t="shared" si="56"/>
        <v>O</v>
      </c>
      <c r="V42" s="18" t="str">
        <f t="shared" si="56"/>
        <v>L</v>
      </c>
      <c r="W42" s="18" t="str">
        <f t="shared" si="56"/>
        <v>I</v>
      </c>
      <c r="X42" s="18" t="str">
        <f t="shared" si="56"/>
        <v>D</v>
      </c>
      <c r="Y42" s="18" t="str">
        <f t="shared" si="56"/>
        <v>X</v>
      </c>
      <c r="Z42" s="18" t="str">
        <f t="shared" si="56"/>
        <v>R</v>
      </c>
      <c r="AA42" s="18" t="str">
        <f t="shared" si="56"/>
        <v>N</v>
      </c>
      <c r="AB42" s="18" t="str">
        <f t="shared" si="56"/>
        <v>P</v>
      </c>
      <c r="AC42" s="18" t="str">
        <f t="shared" si="56"/>
        <v>W</v>
      </c>
      <c r="AD42" s="18" t="str">
        <f t="shared" si="56"/>
        <v>A</v>
      </c>
      <c r="AE42" s="18" t="str">
        <f t="shared" si="56"/>
        <v>F</v>
      </c>
      <c r="AF42" s="19" t="str">
        <f>CONCATENATE(F42,G42,H42,I42,J42,K42,L42,M42,N42,O42,P42,Q42,R42,S42,T42&amp;U42,V42,W42,X42,Y42,Z42,AA42,AB42,AC42,AD42,AE42)</f>
        <v>KGCSQZTJYUHEMVBOLIDXRNPWAF</v>
      </c>
      <c r="AH42" s="12" t="str">
        <f>F37&amp;F42</f>
        <v>AK</v>
      </c>
      <c r="AI42" s="12" t="str">
        <f t="shared" ref="AI42:BG42" si="57">G37&amp;G42</f>
        <v>BG</v>
      </c>
      <c r="AJ42" s="12" t="str">
        <f t="shared" si="57"/>
        <v>CC</v>
      </c>
      <c r="AK42" s="12" t="str">
        <f t="shared" si="57"/>
        <v>DS</v>
      </c>
      <c r="AL42" s="12" t="str">
        <f t="shared" si="57"/>
        <v>EQ</v>
      </c>
      <c r="AM42" s="12" t="str">
        <f t="shared" si="57"/>
        <v>FZ</v>
      </c>
      <c r="AN42" s="12" t="str">
        <f t="shared" si="57"/>
        <v>GT</v>
      </c>
      <c r="AO42" s="12" t="str">
        <f t="shared" si="57"/>
        <v>HJ</v>
      </c>
      <c r="AP42" s="12" t="str">
        <f t="shared" si="57"/>
        <v>IY</v>
      </c>
      <c r="AQ42" s="12" t="str">
        <f t="shared" si="57"/>
        <v>JU</v>
      </c>
      <c r="AR42" s="12" t="str">
        <f t="shared" si="57"/>
        <v>KH</v>
      </c>
      <c r="AS42" s="12" t="str">
        <f t="shared" si="57"/>
        <v>LE</v>
      </c>
      <c r="AT42" s="12" t="str">
        <f t="shared" si="57"/>
        <v>MM</v>
      </c>
      <c r="AU42" s="12" t="str">
        <f t="shared" si="57"/>
        <v>NV</v>
      </c>
      <c r="AV42" s="12" t="str">
        <f t="shared" si="57"/>
        <v>OB</v>
      </c>
      <c r="AW42" s="12" t="str">
        <f t="shared" si="57"/>
        <v>PO</v>
      </c>
      <c r="AX42" s="12" t="str">
        <f t="shared" si="57"/>
        <v>QL</v>
      </c>
      <c r="AY42" s="12" t="str">
        <f t="shared" si="57"/>
        <v>RI</v>
      </c>
      <c r="AZ42" s="12" t="str">
        <f t="shared" si="57"/>
        <v>SD</v>
      </c>
      <c r="BA42" s="12" t="str">
        <f t="shared" si="57"/>
        <v>TX</v>
      </c>
      <c r="BB42" s="12" t="str">
        <f t="shared" si="57"/>
        <v>UR</v>
      </c>
      <c r="BC42" s="12" t="str">
        <f t="shared" si="57"/>
        <v>VN</v>
      </c>
      <c r="BD42" s="12" t="str">
        <f t="shared" si="57"/>
        <v>WP</v>
      </c>
      <c r="BE42" s="12" t="str">
        <f t="shared" si="57"/>
        <v>XW</v>
      </c>
      <c r="BF42" s="12" t="str">
        <f t="shared" si="57"/>
        <v>YA</v>
      </c>
      <c r="BG42" s="12" t="str">
        <f t="shared" si="57"/>
        <v>ZF</v>
      </c>
    </row>
    <row r="43" spans="2:59" x14ac:dyDescent="0.35">
      <c r="F43" s="3" t="s">
        <v>0</v>
      </c>
      <c r="G43" s="3" t="s">
        <v>1</v>
      </c>
      <c r="H43" s="3" t="s">
        <v>2</v>
      </c>
      <c r="I43" s="3" t="s">
        <v>3</v>
      </c>
      <c r="J43" s="3" t="s">
        <v>4</v>
      </c>
      <c r="K43" s="3" t="s">
        <v>5</v>
      </c>
      <c r="L43" s="3" t="s">
        <v>6</v>
      </c>
      <c r="M43" s="3" t="s">
        <v>7</v>
      </c>
      <c r="N43" s="3" t="s">
        <v>8</v>
      </c>
      <c r="O43" s="3" t="s">
        <v>9</v>
      </c>
      <c r="P43" s="3" t="s">
        <v>10</v>
      </c>
      <c r="Q43" s="3" t="s">
        <v>11</v>
      </c>
      <c r="R43" s="3" t="s">
        <v>12</v>
      </c>
      <c r="S43" s="3" t="s">
        <v>13</v>
      </c>
      <c r="T43" s="3" t="s">
        <v>14</v>
      </c>
      <c r="U43" s="3" t="s">
        <v>15</v>
      </c>
      <c r="V43" s="3" t="s">
        <v>16</v>
      </c>
      <c r="W43" s="3" t="s">
        <v>17</v>
      </c>
      <c r="X43" s="3" t="s">
        <v>18</v>
      </c>
      <c r="Y43" s="3" t="s">
        <v>19</v>
      </c>
      <c r="Z43" s="3" t="s">
        <v>20</v>
      </c>
      <c r="AA43" s="3" t="s">
        <v>21</v>
      </c>
      <c r="AB43" s="3" t="s">
        <v>22</v>
      </c>
      <c r="AC43" s="3" t="s">
        <v>23</v>
      </c>
      <c r="AD43" s="3" t="s">
        <v>24</v>
      </c>
      <c r="AE43" s="3" t="s">
        <v>25</v>
      </c>
      <c r="AH43" s="42" t="str">
        <f>HLOOKUP(AH37,$AH40:$BG41,2,FALSE)</f>
        <v>B</v>
      </c>
      <c r="AI43" s="42" t="str">
        <f>HLOOKUP(AI37,$AH40:$BG41,2,FALSE)</f>
        <v>A</v>
      </c>
      <c r="AJ43" s="42" t="str">
        <f t="shared" ref="AJ43:BG43" si="58">HLOOKUP(AJ37,$AH40:$BG41,2,FALSE)</f>
        <v>T</v>
      </c>
      <c r="AK43" s="42" t="str">
        <f t="shared" si="58"/>
        <v>M</v>
      </c>
      <c r="AL43" s="42" t="str">
        <f t="shared" si="58"/>
        <v>W</v>
      </c>
      <c r="AM43" s="42" t="str">
        <f t="shared" si="58"/>
        <v>Y</v>
      </c>
      <c r="AN43" s="42" t="str">
        <f t="shared" si="58"/>
        <v>H</v>
      </c>
      <c r="AO43" s="42" t="str">
        <f t="shared" si="58"/>
        <v>G</v>
      </c>
      <c r="AP43" s="42" t="str">
        <f t="shared" si="58"/>
        <v>R</v>
      </c>
      <c r="AQ43" s="42" t="str">
        <f t="shared" si="58"/>
        <v>O</v>
      </c>
      <c r="AR43" s="42" t="str">
        <f t="shared" si="58"/>
        <v>P</v>
      </c>
      <c r="AS43" s="42" t="str">
        <f t="shared" si="58"/>
        <v>N</v>
      </c>
      <c r="AT43" s="42" t="str">
        <f t="shared" si="58"/>
        <v>D</v>
      </c>
      <c r="AU43" s="42" t="str">
        <f t="shared" si="58"/>
        <v>L</v>
      </c>
      <c r="AV43" s="42" t="str">
        <f t="shared" si="58"/>
        <v>J</v>
      </c>
      <c r="AW43" s="42" t="str">
        <f t="shared" si="58"/>
        <v>K</v>
      </c>
      <c r="AX43" s="42" t="str">
        <f t="shared" si="58"/>
        <v>V</v>
      </c>
      <c r="AY43" s="42" t="str">
        <f t="shared" si="58"/>
        <v>I</v>
      </c>
      <c r="AZ43" s="42" t="str">
        <f t="shared" si="58"/>
        <v>Z</v>
      </c>
      <c r="BA43" s="42" t="str">
        <f t="shared" si="58"/>
        <v>C</v>
      </c>
      <c r="BB43" s="42" t="str">
        <f t="shared" si="58"/>
        <v>X</v>
      </c>
      <c r="BC43" s="42" t="str">
        <f t="shared" si="58"/>
        <v>Q</v>
      </c>
      <c r="BD43" s="42" t="str">
        <f t="shared" si="58"/>
        <v>E</v>
      </c>
      <c r="BE43" s="42" t="str">
        <f t="shared" si="58"/>
        <v>U</v>
      </c>
      <c r="BF43" s="42" t="str">
        <f t="shared" si="58"/>
        <v>F</v>
      </c>
      <c r="BG43" s="42" t="str">
        <f t="shared" si="58"/>
        <v>S</v>
      </c>
    </row>
    <row r="44" spans="2:59" x14ac:dyDescent="0.35"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H44" s="95" t="s">
        <v>608</v>
      </c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U44" s="96"/>
      <c r="AV44" s="96"/>
      <c r="AW44" s="96"/>
      <c r="AX44" s="96"/>
      <c r="AY44" s="96"/>
      <c r="AZ44" s="96"/>
      <c r="BA44" s="96"/>
      <c r="BB44" s="96"/>
      <c r="BC44" s="96"/>
      <c r="BD44" s="96"/>
      <c r="BE44" s="96"/>
      <c r="BF44" s="96"/>
      <c r="BG44" s="97"/>
    </row>
  </sheetData>
  <sheetProtection sheet="1" objects="1" scenarios="1"/>
  <mergeCells count="2">
    <mergeCell ref="AH6:BG6"/>
    <mergeCell ref="AH44:BG44"/>
  </mergeCells>
  <pageMargins left="0.70866141732283472" right="0.70866141732283472" top="0.74803149606299213" bottom="0.74803149606299213" header="0.31496062992125984" footer="0.31496062992125984"/>
  <pageSetup paperSize="8" scale="6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>
    <pageSetUpPr fitToPage="1"/>
  </sheetPr>
  <dimension ref="A1:BG44"/>
  <sheetViews>
    <sheetView showGridLines="0" showRowColHeaders="0" zoomScale="80" zoomScaleNormal="80" workbookViewId="0"/>
  </sheetViews>
  <sheetFormatPr defaultRowHeight="14.5" x14ac:dyDescent="0.35"/>
  <cols>
    <col min="2" max="2" width="20.54296875" bestFit="1" customWidth="1"/>
    <col min="3" max="3" width="4.54296875" customWidth="1"/>
    <col min="4" max="4" width="8.1796875" bestFit="1" customWidth="1"/>
    <col min="5" max="5" width="15.54296875" bestFit="1" customWidth="1"/>
    <col min="6" max="6" width="3.453125" customWidth="1"/>
    <col min="7" max="7" width="4" customWidth="1"/>
    <col min="8" max="8" width="3.26953125" customWidth="1"/>
    <col min="9" max="9" width="4.1796875" customWidth="1"/>
    <col min="10" max="10" width="3.453125" customWidth="1"/>
    <col min="11" max="31" width="3.26953125" customWidth="1"/>
    <col min="32" max="32" width="32.26953125" bestFit="1" customWidth="1"/>
    <col min="34" max="59" width="3.453125" customWidth="1"/>
  </cols>
  <sheetData>
    <row r="1" spans="1:59" x14ac:dyDescent="0.35">
      <c r="B1" s="29" t="s">
        <v>378</v>
      </c>
      <c r="C1" s="75">
        <v>64</v>
      </c>
      <c r="D1" s="76" t="str">
        <f>nRotorL&amp;nRotorM&amp;nRotorR</f>
        <v>142</v>
      </c>
      <c r="E1" s="76" t="str">
        <f>F18&amp;F12&amp;F6</f>
        <v>ELO</v>
      </c>
      <c r="J1" s="44" t="s">
        <v>4</v>
      </c>
      <c r="K1" s="44" t="s">
        <v>13</v>
      </c>
      <c r="L1" s="44" t="s">
        <v>8</v>
      </c>
      <c r="M1" s="44" t="s">
        <v>6</v>
      </c>
      <c r="N1" s="44" t="s">
        <v>12</v>
      </c>
      <c r="O1" s="44" t="s">
        <v>0</v>
      </c>
      <c r="P1" s="44" t="s">
        <v>18</v>
      </c>
      <c r="Q1" s="44" t="s">
        <v>2</v>
      </c>
      <c r="R1" s="44" t="s">
        <v>17</v>
      </c>
      <c r="S1" s="44" t="s">
        <v>0</v>
      </c>
      <c r="T1" s="44" t="s">
        <v>12</v>
      </c>
      <c r="U1" s="44" t="s">
        <v>1</v>
      </c>
      <c r="V1" s="44" t="s">
        <v>11</v>
      </c>
      <c r="W1" s="44" t="s">
        <v>4</v>
      </c>
      <c r="X1" s="44" t="s">
        <v>17</v>
      </c>
      <c r="Y1" s="44">
        <v>1</v>
      </c>
      <c r="Z1" s="44">
        <v>1</v>
      </c>
    </row>
    <row r="2" spans="1:59" x14ac:dyDescent="0.35">
      <c r="D2" s="77">
        <f>nCounter</f>
        <v>3707</v>
      </c>
    </row>
    <row r="3" spans="1:59" ht="15" thickBot="1" x14ac:dyDescent="0.4">
      <c r="D3" s="78">
        <f>n_RO11</f>
        <v>0</v>
      </c>
      <c r="F3" s="1"/>
      <c r="AF3" s="79" t="s">
        <v>423</v>
      </c>
    </row>
    <row r="4" spans="1:59" x14ac:dyDescent="0.35">
      <c r="B4" s="21"/>
      <c r="C4" s="4"/>
      <c r="E4" s="5" t="s">
        <v>385</v>
      </c>
      <c r="F4" s="6" t="s">
        <v>0</v>
      </c>
      <c r="G4" s="6" t="s">
        <v>1</v>
      </c>
      <c r="H4" s="6" t="s">
        <v>2</v>
      </c>
      <c r="I4" s="6" t="s">
        <v>3</v>
      </c>
      <c r="J4" s="6" t="s">
        <v>4</v>
      </c>
      <c r="K4" s="6" t="s">
        <v>5</v>
      </c>
      <c r="L4" s="6" t="s">
        <v>6</v>
      </c>
      <c r="M4" s="6" t="s">
        <v>7</v>
      </c>
      <c r="N4" s="6" t="s">
        <v>8</v>
      </c>
      <c r="O4" s="6" t="s">
        <v>9</v>
      </c>
      <c r="P4" s="6" t="s">
        <v>10</v>
      </c>
      <c r="Q4" s="6" t="s">
        <v>11</v>
      </c>
      <c r="R4" s="6" t="s">
        <v>12</v>
      </c>
      <c r="S4" s="6" t="s">
        <v>13</v>
      </c>
      <c r="T4" s="6" t="s">
        <v>14</v>
      </c>
      <c r="U4" s="6" t="s">
        <v>15</v>
      </c>
      <c r="V4" s="6" t="s">
        <v>16</v>
      </c>
      <c r="W4" s="6" t="s">
        <v>17</v>
      </c>
      <c r="X4" s="6" t="s">
        <v>18</v>
      </c>
      <c r="Y4" s="6" t="s">
        <v>19</v>
      </c>
      <c r="Z4" s="6" t="s">
        <v>20</v>
      </c>
      <c r="AA4" s="6" t="s">
        <v>21</v>
      </c>
      <c r="AB4" s="6" t="s">
        <v>22</v>
      </c>
      <c r="AC4" s="6" t="s">
        <v>23</v>
      </c>
      <c r="AD4" s="6" t="s">
        <v>24</v>
      </c>
      <c r="AE4" s="6" t="s">
        <v>25</v>
      </c>
      <c r="AF4" s="10"/>
    </row>
    <row r="5" spans="1:59" x14ac:dyDescent="0.35">
      <c r="B5" s="22"/>
      <c r="C5" s="8"/>
      <c r="D5" s="9" t="s">
        <v>28</v>
      </c>
      <c r="E5" s="9" t="s">
        <v>27</v>
      </c>
      <c r="F5" s="1">
        <f t="shared" ref="F5:AE5" si="0">IF(ISERROR(FIND(F4,$AF3)),0,1)</f>
        <v>1</v>
      </c>
      <c r="G5" s="1">
        <f t="shared" si="0"/>
        <v>1</v>
      </c>
      <c r="H5" s="1">
        <f t="shared" si="0"/>
        <v>1</v>
      </c>
      <c r="I5" s="1">
        <f t="shared" si="0"/>
        <v>1</v>
      </c>
      <c r="J5" s="1">
        <f t="shared" si="0"/>
        <v>1</v>
      </c>
      <c r="K5" s="1">
        <f t="shared" si="0"/>
        <v>1</v>
      </c>
      <c r="L5" s="1">
        <f t="shared" si="0"/>
        <v>1</v>
      </c>
      <c r="M5" s="1">
        <f t="shared" si="0"/>
        <v>1</v>
      </c>
      <c r="N5" s="1">
        <f t="shared" si="0"/>
        <v>1</v>
      </c>
      <c r="O5" s="1">
        <f t="shared" si="0"/>
        <v>1</v>
      </c>
      <c r="P5" s="1">
        <f t="shared" si="0"/>
        <v>1</v>
      </c>
      <c r="Q5" s="1">
        <f t="shared" si="0"/>
        <v>1</v>
      </c>
      <c r="R5" s="1">
        <f t="shared" si="0"/>
        <v>1</v>
      </c>
      <c r="S5" s="1">
        <f t="shared" si="0"/>
        <v>1</v>
      </c>
      <c r="T5" s="1">
        <f t="shared" si="0"/>
        <v>1</v>
      </c>
      <c r="U5" s="1">
        <f t="shared" si="0"/>
        <v>1</v>
      </c>
      <c r="V5" s="1">
        <f t="shared" si="0"/>
        <v>1</v>
      </c>
      <c r="W5" s="1">
        <f t="shared" si="0"/>
        <v>1</v>
      </c>
      <c r="X5" s="1">
        <f t="shared" si="0"/>
        <v>1</v>
      </c>
      <c r="Y5" s="1">
        <f t="shared" si="0"/>
        <v>1</v>
      </c>
      <c r="Z5" s="1">
        <f t="shared" si="0"/>
        <v>1</v>
      </c>
      <c r="AA5" s="1">
        <f t="shared" si="0"/>
        <v>1</v>
      </c>
      <c r="AB5" s="1">
        <f t="shared" si="0"/>
        <v>1</v>
      </c>
      <c r="AC5" s="1">
        <f t="shared" si="0"/>
        <v>1</v>
      </c>
      <c r="AD5" s="1">
        <f t="shared" si="0"/>
        <v>1</v>
      </c>
      <c r="AE5" s="1">
        <f t="shared" si="0"/>
        <v>1</v>
      </c>
      <c r="AF5" s="10"/>
    </row>
    <row r="6" spans="1:59" x14ac:dyDescent="0.35">
      <c r="B6" s="22" t="s">
        <v>379</v>
      </c>
      <c r="C6" s="41">
        <f>n_RotorR</f>
        <v>2</v>
      </c>
      <c r="D6" s="11">
        <f>D3+D2</f>
        <v>3707</v>
      </c>
      <c r="E6" s="11">
        <f>IF(MOD(D6,26)=0,26,MOD(D6,26))</f>
        <v>15</v>
      </c>
      <c r="F6" s="12" t="str">
        <f>CHAR(E6+nCharOffset)</f>
        <v>O</v>
      </c>
      <c r="G6" s="13" t="str">
        <f t="shared" ref="G6:AE6" si="1">VLOOKUP(F6,nNextLetter,2,FALSE)</f>
        <v>P</v>
      </c>
      <c r="H6" s="13" t="str">
        <f t="shared" si="1"/>
        <v>Q</v>
      </c>
      <c r="I6" s="13" t="str">
        <f t="shared" si="1"/>
        <v>R</v>
      </c>
      <c r="J6" s="13" t="str">
        <f t="shared" si="1"/>
        <v>S</v>
      </c>
      <c r="K6" s="13" t="str">
        <f t="shared" si="1"/>
        <v>T</v>
      </c>
      <c r="L6" s="13" t="str">
        <f t="shared" si="1"/>
        <v>U</v>
      </c>
      <c r="M6" s="13" t="str">
        <f t="shared" si="1"/>
        <v>V</v>
      </c>
      <c r="N6" s="13" t="str">
        <f t="shared" si="1"/>
        <v>W</v>
      </c>
      <c r="O6" s="13" t="str">
        <f t="shared" si="1"/>
        <v>X</v>
      </c>
      <c r="P6" s="13" t="str">
        <f t="shared" si="1"/>
        <v>Y</v>
      </c>
      <c r="Q6" s="13" t="str">
        <f t="shared" si="1"/>
        <v>Z</v>
      </c>
      <c r="R6" s="13" t="str">
        <f t="shared" si="1"/>
        <v>A</v>
      </c>
      <c r="S6" s="13" t="str">
        <f t="shared" si="1"/>
        <v>B</v>
      </c>
      <c r="T6" s="13" t="str">
        <f t="shared" si="1"/>
        <v>C</v>
      </c>
      <c r="U6" s="13" t="str">
        <f t="shared" si="1"/>
        <v>D</v>
      </c>
      <c r="V6" s="13" t="str">
        <f t="shared" si="1"/>
        <v>E</v>
      </c>
      <c r="W6" s="13" t="str">
        <f t="shared" si="1"/>
        <v>F</v>
      </c>
      <c r="X6" s="13" t="str">
        <f t="shared" si="1"/>
        <v>G</v>
      </c>
      <c r="Y6" s="13" t="str">
        <f t="shared" si="1"/>
        <v>H</v>
      </c>
      <c r="Z6" s="13" t="str">
        <f t="shared" si="1"/>
        <v>I</v>
      </c>
      <c r="AA6" s="13" t="str">
        <f t="shared" si="1"/>
        <v>J</v>
      </c>
      <c r="AB6" s="13" t="str">
        <f t="shared" si="1"/>
        <v>K</v>
      </c>
      <c r="AC6" s="13" t="str">
        <f t="shared" si="1"/>
        <v>L</v>
      </c>
      <c r="AD6" s="13" t="str">
        <f t="shared" si="1"/>
        <v>M</v>
      </c>
      <c r="AE6" s="13" t="str">
        <f t="shared" si="1"/>
        <v>N</v>
      </c>
      <c r="AF6" s="10"/>
      <c r="AH6" s="95" t="s">
        <v>607</v>
      </c>
      <c r="AI6" s="96"/>
      <c r="AJ6" s="96"/>
      <c r="AK6" s="96"/>
      <c r="AL6" s="96"/>
      <c r="AM6" s="96"/>
      <c r="AN6" s="96"/>
      <c r="AO6" s="96"/>
      <c r="AP6" s="96"/>
      <c r="AQ6" s="96"/>
      <c r="AR6" s="96"/>
      <c r="AS6" s="96"/>
      <c r="AT6" s="96"/>
      <c r="AU6" s="96"/>
      <c r="AV6" s="96"/>
      <c r="AW6" s="96"/>
      <c r="AX6" s="96"/>
      <c r="AY6" s="96"/>
      <c r="AZ6" s="96"/>
      <c r="BA6" s="96"/>
      <c r="BB6" s="96"/>
      <c r="BC6" s="96"/>
      <c r="BD6" s="96"/>
      <c r="BE6" s="96"/>
      <c r="BF6" s="96"/>
      <c r="BG6" s="97"/>
    </row>
    <row r="7" spans="1:59" x14ac:dyDescent="0.35">
      <c r="B7" s="22" t="s">
        <v>389</v>
      </c>
      <c r="C7" s="41" t="str">
        <f>n_RingPosR</f>
        <v>A</v>
      </c>
      <c r="D7" s="11">
        <f>VLOOKUP(C7,nRingOffset,2,FALSE)</f>
        <v>0</v>
      </c>
      <c r="E7" t="s">
        <v>386</v>
      </c>
      <c r="F7" s="14" t="str">
        <f t="shared" ref="F7:AE7" si="2">IF(F5=1,VLOOKUP(nCurPosR+nRingOffsetR+(CODE(F4)-nCharOffset)-1,nNum2Let,2,FALSE),"")</f>
        <v>O</v>
      </c>
      <c r="G7" s="14" t="str">
        <f t="shared" si="2"/>
        <v>P</v>
      </c>
      <c r="H7" s="14" t="str">
        <f t="shared" si="2"/>
        <v>Q</v>
      </c>
      <c r="I7" s="14" t="str">
        <f t="shared" si="2"/>
        <v>R</v>
      </c>
      <c r="J7" s="14" t="str">
        <f t="shared" si="2"/>
        <v>S</v>
      </c>
      <c r="K7" s="14" t="str">
        <f t="shared" si="2"/>
        <v>T</v>
      </c>
      <c r="L7" s="14" t="str">
        <f t="shared" si="2"/>
        <v>U</v>
      </c>
      <c r="M7" s="14" t="str">
        <f t="shared" si="2"/>
        <v>V</v>
      </c>
      <c r="N7" s="14" t="str">
        <f t="shared" si="2"/>
        <v>W</v>
      </c>
      <c r="O7" s="14" t="str">
        <f t="shared" si="2"/>
        <v>X</v>
      </c>
      <c r="P7" s="14" t="str">
        <f t="shared" si="2"/>
        <v>Y</v>
      </c>
      <c r="Q7" s="14" t="str">
        <f t="shared" si="2"/>
        <v>Z</v>
      </c>
      <c r="R7" s="14" t="str">
        <f t="shared" si="2"/>
        <v>A</v>
      </c>
      <c r="S7" s="14" t="str">
        <f t="shared" si="2"/>
        <v>B</v>
      </c>
      <c r="T7" s="14" t="str">
        <f t="shared" si="2"/>
        <v>C</v>
      </c>
      <c r="U7" s="14" t="str">
        <f t="shared" si="2"/>
        <v>D</v>
      </c>
      <c r="V7" s="14" t="str">
        <f t="shared" si="2"/>
        <v>E</v>
      </c>
      <c r="W7" s="14" t="str">
        <f t="shared" si="2"/>
        <v>F</v>
      </c>
      <c r="X7" s="14" t="str">
        <f t="shared" si="2"/>
        <v>G</v>
      </c>
      <c r="Y7" s="14" t="str">
        <f t="shared" si="2"/>
        <v>H</v>
      </c>
      <c r="Z7" s="14" t="str">
        <f t="shared" si="2"/>
        <v>I</v>
      </c>
      <c r="AA7" s="14" t="str">
        <f t="shared" si="2"/>
        <v>J</v>
      </c>
      <c r="AB7" s="14" t="str">
        <f t="shared" si="2"/>
        <v>K</v>
      </c>
      <c r="AC7" s="14" t="str">
        <f t="shared" si="2"/>
        <v>L</v>
      </c>
      <c r="AD7" s="14" t="str">
        <f t="shared" si="2"/>
        <v>M</v>
      </c>
      <c r="AE7" s="14" t="str">
        <f t="shared" si="2"/>
        <v>N</v>
      </c>
      <c r="AF7" s="10"/>
      <c r="AH7" s="42" t="str">
        <f t="shared" ref="AH7:BG7" si="3">IF(LEN(AH9)=2,LEFT(AH9,1),"")</f>
        <v>A</v>
      </c>
      <c r="AI7" s="42" t="str">
        <f t="shared" si="3"/>
        <v>B</v>
      </c>
      <c r="AJ7" s="42" t="str">
        <f t="shared" si="3"/>
        <v>C</v>
      </c>
      <c r="AK7" s="42" t="str">
        <f t="shared" si="3"/>
        <v>D</v>
      </c>
      <c r="AL7" s="42" t="str">
        <f t="shared" si="3"/>
        <v>E</v>
      </c>
      <c r="AM7" s="42" t="str">
        <f t="shared" si="3"/>
        <v>F</v>
      </c>
      <c r="AN7" s="42" t="str">
        <f t="shared" si="3"/>
        <v>G</v>
      </c>
      <c r="AO7" s="42" t="str">
        <f t="shared" si="3"/>
        <v>H</v>
      </c>
      <c r="AP7" s="42" t="str">
        <f t="shared" si="3"/>
        <v>I</v>
      </c>
      <c r="AQ7" s="42" t="str">
        <f t="shared" si="3"/>
        <v>J</v>
      </c>
      <c r="AR7" s="42" t="str">
        <f t="shared" si="3"/>
        <v>K</v>
      </c>
      <c r="AS7" s="42" t="str">
        <f t="shared" si="3"/>
        <v>L</v>
      </c>
      <c r="AT7" s="42" t="str">
        <f t="shared" si="3"/>
        <v>M</v>
      </c>
      <c r="AU7" s="42" t="str">
        <f t="shared" si="3"/>
        <v>N</v>
      </c>
      <c r="AV7" s="42" t="str">
        <f t="shared" si="3"/>
        <v>O</v>
      </c>
      <c r="AW7" s="42" t="str">
        <f t="shared" si="3"/>
        <v>P</v>
      </c>
      <c r="AX7" s="42" t="str">
        <f t="shared" si="3"/>
        <v>Q</v>
      </c>
      <c r="AY7" s="42" t="str">
        <f t="shared" si="3"/>
        <v>R</v>
      </c>
      <c r="AZ7" s="42" t="str">
        <f t="shared" si="3"/>
        <v>S</v>
      </c>
      <c r="BA7" s="42" t="str">
        <f t="shared" si="3"/>
        <v>T</v>
      </c>
      <c r="BB7" s="42" t="str">
        <f t="shared" si="3"/>
        <v>U</v>
      </c>
      <c r="BC7" s="42" t="str">
        <f t="shared" si="3"/>
        <v>V</v>
      </c>
      <c r="BD7" s="42" t="str">
        <f t="shared" si="3"/>
        <v>W</v>
      </c>
      <c r="BE7" s="42" t="str">
        <f t="shared" si="3"/>
        <v>X</v>
      </c>
      <c r="BF7" s="42" t="str">
        <f t="shared" si="3"/>
        <v>Y</v>
      </c>
      <c r="BG7" s="42" t="str">
        <f t="shared" si="3"/>
        <v>Z</v>
      </c>
    </row>
    <row r="8" spans="1:59" x14ac:dyDescent="0.35">
      <c r="B8" s="22"/>
      <c r="C8" s="8"/>
      <c r="E8" t="s">
        <v>387</v>
      </c>
      <c r="F8" s="15" t="str">
        <f t="shared" ref="F8:AE8" si="4">IF(F5=1,VLOOKUP(nRotorR&amp;F7,nRotor,4,FALSE),"")</f>
        <v>M</v>
      </c>
      <c r="G8" s="15" t="str">
        <f t="shared" si="4"/>
        <v>C</v>
      </c>
      <c r="H8" s="15" t="str">
        <f t="shared" si="4"/>
        <v>Q</v>
      </c>
      <c r="I8" s="15" t="str">
        <f t="shared" si="4"/>
        <v>G</v>
      </c>
      <c r="J8" s="15" t="str">
        <f t="shared" si="4"/>
        <v>Z</v>
      </c>
      <c r="K8" s="15" t="str">
        <f t="shared" si="4"/>
        <v>N</v>
      </c>
      <c r="L8" s="15" t="str">
        <f t="shared" si="4"/>
        <v>P</v>
      </c>
      <c r="M8" s="15" t="str">
        <f t="shared" si="4"/>
        <v>Y</v>
      </c>
      <c r="N8" s="15" t="str">
        <f t="shared" si="4"/>
        <v>F</v>
      </c>
      <c r="O8" s="15" t="str">
        <f t="shared" si="4"/>
        <v>V</v>
      </c>
      <c r="P8" s="15" t="str">
        <f t="shared" si="4"/>
        <v>O</v>
      </c>
      <c r="Q8" s="15" t="str">
        <f t="shared" si="4"/>
        <v>E</v>
      </c>
      <c r="R8" s="15" t="str">
        <f t="shared" si="4"/>
        <v>A</v>
      </c>
      <c r="S8" s="15" t="str">
        <f t="shared" si="4"/>
        <v>J</v>
      </c>
      <c r="T8" s="15" t="str">
        <f t="shared" si="4"/>
        <v>D</v>
      </c>
      <c r="U8" s="15" t="str">
        <f t="shared" si="4"/>
        <v>K</v>
      </c>
      <c r="V8" s="15" t="str">
        <f t="shared" si="4"/>
        <v>S</v>
      </c>
      <c r="W8" s="15" t="str">
        <f t="shared" si="4"/>
        <v>I</v>
      </c>
      <c r="X8" s="15" t="str">
        <f t="shared" si="4"/>
        <v>R</v>
      </c>
      <c r="Y8" s="15" t="str">
        <f t="shared" si="4"/>
        <v>U</v>
      </c>
      <c r="Z8" s="15" t="str">
        <f t="shared" si="4"/>
        <v>X</v>
      </c>
      <c r="AA8" s="15" t="str">
        <f t="shared" si="4"/>
        <v>B</v>
      </c>
      <c r="AB8" s="15" t="str">
        <f t="shared" si="4"/>
        <v>L</v>
      </c>
      <c r="AC8" s="15" t="str">
        <f t="shared" si="4"/>
        <v>H</v>
      </c>
      <c r="AD8" s="15" t="str">
        <f t="shared" si="4"/>
        <v>W</v>
      </c>
      <c r="AE8" s="15" t="str">
        <f t="shared" si="4"/>
        <v>T</v>
      </c>
      <c r="AF8" s="10"/>
      <c r="AH8" s="28" t="str">
        <f t="shared" ref="AH8:BG8" si="5">IF(LEN(AH9)=2,RIGHT(AH9,1),"")</f>
        <v>Y</v>
      </c>
      <c r="AI8" s="28" t="str">
        <f t="shared" si="5"/>
        <v>O</v>
      </c>
      <c r="AJ8" s="28" t="str">
        <f t="shared" si="5"/>
        <v>C</v>
      </c>
      <c r="AK8" s="28" t="str">
        <f t="shared" si="5"/>
        <v>S</v>
      </c>
      <c r="AL8" s="28" t="str">
        <f t="shared" si="5"/>
        <v>L</v>
      </c>
      <c r="AM8" s="28" t="str">
        <f t="shared" si="5"/>
        <v>Z</v>
      </c>
      <c r="AN8" s="28" t="str">
        <f t="shared" si="5"/>
        <v>B</v>
      </c>
      <c r="AO8" s="28" t="str">
        <f t="shared" si="5"/>
        <v>K</v>
      </c>
      <c r="AP8" s="28" t="str">
        <f t="shared" si="5"/>
        <v>R</v>
      </c>
      <c r="AQ8" s="28" t="str">
        <f t="shared" si="5"/>
        <v>H</v>
      </c>
      <c r="AR8" s="28" t="str">
        <f t="shared" si="5"/>
        <v>A</v>
      </c>
      <c r="AS8" s="28" t="str">
        <f t="shared" si="5"/>
        <v>Q</v>
      </c>
      <c r="AT8" s="28" t="str">
        <f t="shared" si="5"/>
        <v>M</v>
      </c>
      <c r="AU8" s="28" t="str">
        <f t="shared" si="5"/>
        <v>V</v>
      </c>
      <c r="AV8" s="28" t="str">
        <f t="shared" si="5"/>
        <v>P</v>
      </c>
      <c r="AW8" s="28" t="str">
        <f t="shared" si="5"/>
        <v>W</v>
      </c>
      <c r="AX8" s="28" t="str">
        <f t="shared" si="5"/>
        <v>E</v>
      </c>
      <c r="AY8" s="28" t="str">
        <f t="shared" si="5"/>
        <v>U</v>
      </c>
      <c r="AZ8" s="28" t="str">
        <f t="shared" si="5"/>
        <v>D</v>
      </c>
      <c r="BA8" s="28" t="str">
        <f t="shared" si="5"/>
        <v>G</v>
      </c>
      <c r="BB8" s="28" t="str">
        <f t="shared" si="5"/>
        <v>J</v>
      </c>
      <c r="BC8" s="28" t="str">
        <f t="shared" si="5"/>
        <v>N</v>
      </c>
      <c r="BD8" s="28" t="str">
        <f t="shared" si="5"/>
        <v>X</v>
      </c>
      <c r="BE8" s="28" t="str">
        <f t="shared" si="5"/>
        <v>T</v>
      </c>
      <c r="BF8" s="28" t="str">
        <f t="shared" si="5"/>
        <v>I</v>
      </c>
      <c r="BG8" s="28" t="str">
        <f t="shared" si="5"/>
        <v>F</v>
      </c>
    </row>
    <row r="9" spans="1:59" ht="15" thickBot="1" x14ac:dyDescent="0.4">
      <c r="B9" s="23"/>
      <c r="C9" s="16"/>
      <c r="D9" s="17"/>
      <c r="E9" s="17" t="s">
        <v>388</v>
      </c>
      <c r="F9" s="18" t="str">
        <f t="shared" ref="F9:AE9" si="6">IF(F5=1,IF(CODE(F8)-CODE(F7)&lt;0,VLOOKUP((CODE(F8)-CODE(F7)+26)+(CODE(F4)-nCharOffset),nNum2Let,2,FALSE),VLOOKUP((CODE(F8)-CODE(F7))+(CODE(F4)-nCharOffset),nNum2Let,2,FALSE)),"")</f>
        <v>Y</v>
      </c>
      <c r="G9" s="18" t="str">
        <f t="shared" si="6"/>
        <v>O</v>
      </c>
      <c r="H9" s="18" t="str">
        <f t="shared" si="6"/>
        <v>C</v>
      </c>
      <c r="I9" s="18" t="str">
        <f t="shared" si="6"/>
        <v>S</v>
      </c>
      <c r="J9" s="18" t="str">
        <f t="shared" si="6"/>
        <v>L</v>
      </c>
      <c r="K9" s="18" t="str">
        <f t="shared" si="6"/>
        <v>Z</v>
      </c>
      <c r="L9" s="18" t="str">
        <f t="shared" si="6"/>
        <v>B</v>
      </c>
      <c r="M9" s="18" t="str">
        <f t="shared" si="6"/>
        <v>K</v>
      </c>
      <c r="N9" s="18" t="str">
        <f t="shared" si="6"/>
        <v>R</v>
      </c>
      <c r="O9" s="18" t="str">
        <f t="shared" si="6"/>
        <v>H</v>
      </c>
      <c r="P9" s="18" t="str">
        <f t="shared" si="6"/>
        <v>A</v>
      </c>
      <c r="Q9" s="18" t="str">
        <f t="shared" si="6"/>
        <v>Q</v>
      </c>
      <c r="R9" s="18" t="str">
        <f t="shared" si="6"/>
        <v>M</v>
      </c>
      <c r="S9" s="18" t="str">
        <f t="shared" si="6"/>
        <v>V</v>
      </c>
      <c r="T9" s="18" t="str">
        <f t="shared" si="6"/>
        <v>P</v>
      </c>
      <c r="U9" s="18" t="str">
        <f t="shared" si="6"/>
        <v>W</v>
      </c>
      <c r="V9" s="18" t="str">
        <f t="shared" si="6"/>
        <v>E</v>
      </c>
      <c r="W9" s="18" t="str">
        <f t="shared" si="6"/>
        <v>U</v>
      </c>
      <c r="X9" s="18" t="str">
        <f t="shared" si="6"/>
        <v>D</v>
      </c>
      <c r="Y9" s="18" t="str">
        <f t="shared" si="6"/>
        <v>G</v>
      </c>
      <c r="Z9" s="18" t="str">
        <f t="shared" si="6"/>
        <v>J</v>
      </c>
      <c r="AA9" s="18" t="str">
        <f t="shared" si="6"/>
        <v>N</v>
      </c>
      <c r="AB9" s="18" t="str">
        <f t="shared" si="6"/>
        <v>X</v>
      </c>
      <c r="AC9" s="18" t="str">
        <f t="shared" si="6"/>
        <v>T</v>
      </c>
      <c r="AD9" s="18" t="str">
        <f t="shared" si="6"/>
        <v>I</v>
      </c>
      <c r="AE9" s="18" t="str">
        <f t="shared" si="6"/>
        <v>F</v>
      </c>
      <c r="AF9" s="19" t="str">
        <f>CONCATENATE(F9,G9,H9,I9,J9,K9,L9,M9,N9,O9,P9,Q9,R9,S9,T9&amp;U9,V9,W9,X9,Y9,Z9,AA9,AB9,AC9,AD9,AE9)</f>
        <v>YOCSLZBKRHAQMVPWEUDGJNXTIF</v>
      </c>
      <c r="AH9" s="12" t="str">
        <f>F4&amp;F9</f>
        <v>AY</v>
      </c>
      <c r="AI9" s="12" t="str">
        <f t="shared" ref="AI9:BG9" si="7">G4&amp;G9</f>
        <v>BO</v>
      </c>
      <c r="AJ9" s="12" t="str">
        <f t="shared" si="7"/>
        <v>CC</v>
      </c>
      <c r="AK9" s="12" t="str">
        <f t="shared" si="7"/>
        <v>DS</v>
      </c>
      <c r="AL9" s="12" t="str">
        <f t="shared" si="7"/>
        <v>EL</v>
      </c>
      <c r="AM9" s="12" t="str">
        <f t="shared" si="7"/>
        <v>FZ</v>
      </c>
      <c r="AN9" s="12" t="str">
        <f t="shared" si="7"/>
        <v>GB</v>
      </c>
      <c r="AO9" s="12" t="str">
        <f t="shared" si="7"/>
        <v>HK</v>
      </c>
      <c r="AP9" s="12" t="str">
        <f t="shared" si="7"/>
        <v>IR</v>
      </c>
      <c r="AQ9" s="12" t="str">
        <f t="shared" si="7"/>
        <v>JH</v>
      </c>
      <c r="AR9" s="12" t="str">
        <f t="shared" si="7"/>
        <v>KA</v>
      </c>
      <c r="AS9" s="12" t="str">
        <f t="shared" si="7"/>
        <v>LQ</v>
      </c>
      <c r="AT9" s="12" t="str">
        <f t="shared" si="7"/>
        <v>MM</v>
      </c>
      <c r="AU9" s="12" t="str">
        <f t="shared" si="7"/>
        <v>NV</v>
      </c>
      <c r="AV9" s="12" t="str">
        <f t="shared" si="7"/>
        <v>OP</v>
      </c>
      <c r="AW9" s="12" t="str">
        <f t="shared" si="7"/>
        <v>PW</v>
      </c>
      <c r="AX9" s="12" t="str">
        <f t="shared" si="7"/>
        <v>QE</v>
      </c>
      <c r="AY9" s="12" t="str">
        <f t="shared" si="7"/>
        <v>RU</v>
      </c>
      <c r="AZ9" s="12" t="str">
        <f t="shared" si="7"/>
        <v>SD</v>
      </c>
      <c r="BA9" s="12" t="str">
        <f t="shared" si="7"/>
        <v>TG</v>
      </c>
      <c r="BB9" s="12" t="str">
        <f t="shared" si="7"/>
        <v>UJ</v>
      </c>
      <c r="BC9" s="12" t="str">
        <f t="shared" si="7"/>
        <v>VN</v>
      </c>
      <c r="BD9" s="12" t="str">
        <f t="shared" si="7"/>
        <v>WX</v>
      </c>
      <c r="BE9" s="12" t="str">
        <f t="shared" si="7"/>
        <v>XT</v>
      </c>
      <c r="BF9" s="12" t="str">
        <f t="shared" si="7"/>
        <v>YI</v>
      </c>
      <c r="BG9" s="12" t="str">
        <f t="shared" si="7"/>
        <v>ZF</v>
      </c>
    </row>
    <row r="10" spans="1:59" x14ac:dyDescent="0.35">
      <c r="B10" s="21"/>
      <c r="C10" s="4"/>
      <c r="D10" s="5"/>
      <c r="E10" s="5" t="s">
        <v>385</v>
      </c>
      <c r="F10" s="6" t="s">
        <v>0</v>
      </c>
      <c r="G10" s="6" t="s">
        <v>1</v>
      </c>
      <c r="H10" s="6" t="s">
        <v>2</v>
      </c>
      <c r="I10" s="6" t="s">
        <v>3</v>
      </c>
      <c r="J10" s="6" t="s">
        <v>4</v>
      </c>
      <c r="K10" s="6" t="s">
        <v>5</v>
      </c>
      <c r="L10" s="6" t="s">
        <v>6</v>
      </c>
      <c r="M10" s="6" t="s">
        <v>7</v>
      </c>
      <c r="N10" s="6" t="s">
        <v>8</v>
      </c>
      <c r="O10" s="6" t="s">
        <v>9</v>
      </c>
      <c r="P10" s="6" t="s">
        <v>10</v>
      </c>
      <c r="Q10" s="6" t="s">
        <v>11</v>
      </c>
      <c r="R10" s="6" t="s">
        <v>12</v>
      </c>
      <c r="S10" s="6" t="s">
        <v>13</v>
      </c>
      <c r="T10" s="6" t="s">
        <v>14</v>
      </c>
      <c r="U10" s="6" t="s">
        <v>15</v>
      </c>
      <c r="V10" s="6" t="s">
        <v>16</v>
      </c>
      <c r="W10" s="6" t="s">
        <v>17</v>
      </c>
      <c r="X10" s="6" t="s">
        <v>18</v>
      </c>
      <c r="Y10" s="6" t="s">
        <v>19</v>
      </c>
      <c r="Z10" s="6" t="s">
        <v>20</v>
      </c>
      <c r="AA10" s="6" t="s">
        <v>21</v>
      </c>
      <c r="AB10" s="6" t="s">
        <v>22</v>
      </c>
      <c r="AC10" s="6" t="s">
        <v>23</v>
      </c>
      <c r="AD10" s="6" t="s">
        <v>24</v>
      </c>
      <c r="AE10" s="6" t="s">
        <v>25</v>
      </c>
      <c r="AF10" s="20"/>
    </row>
    <row r="11" spans="1:59" x14ac:dyDescent="0.35">
      <c r="A11" s="43">
        <f>INT(D2/26)</f>
        <v>142</v>
      </c>
      <c r="B11" s="10"/>
      <c r="C11" s="8"/>
      <c r="F11" s="1">
        <f>IF(ISERROR(FIND(F10,$AF9)),0,1)</f>
        <v>1</v>
      </c>
      <c r="G11" s="1">
        <f t="shared" ref="G11:AE11" si="8">IF(ISERROR(FIND(G10,$AF9)),0,1)</f>
        <v>1</v>
      </c>
      <c r="H11" s="1">
        <f t="shared" si="8"/>
        <v>1</v>
      </c>
      <c r="I11" s="1">
        <f t="shared" si="8"/>
        <v>1</v>
      </c>
      <c r="J11" s="1">
        <f t="shared" si="8"/>
        <v>1</v>
      </c>
      <c r="K11" s="1">
        <f t="shared" si="8"/>
        <v>1</v>
      </c>
      <c r="L11" s="1">
        <f t="shared" si="8"/>
        <v>1</v>
      </c>
      <c r="M11" s="1">
        <f t="shared" si="8"/>
        <v>1</v>
      </c>
      <c r="N11" s="1">
        <f t="shared" si="8"/>
        <v>1</v>
      </c>
      <c r="O11" s="1">
        <f t="shared" si="8"/>
        <v>1</v>
      </c>
      <c r="P11" s="1">
        <f t="shared" si="8"/>
        <v>1</v>
      </c>
      <c r="Q11" s="1">
        <f t="shared" si="8"/>
        <v>1</v>
      </c>
      <c r="R11" s="1">
        <f t="shared" si="8"/>
        <v>1</v>
      </c>
      <c r="S11" s="1">
        <f t="shared" si="8"/>
        <v>1</v>
      </c>
      <c r="T11" s="1">
        <f t="shared" si="8"/>
        <v>1</v>
      </c>
      <c r="U11" s="1">
        <f t="shared" si="8"/>
        <v>1</v>
      </c>
      <c r="V11" s="1">
        <f t="shared" si="8"/>
        <v>1</v>
      </c>
      <c r="W11" s="1">
        <f t="shared" si="8"/>
        <v>1</v>
      </c>
      <c r="X11" s="1">
        <f t="shared" si="8"/>
        <v>1</v>
      </c>
      <c r="Y11" s="1">
        <f t="shared" si="8"/>
        <v>1</v>
      </c>
      <c r="Z11" s="1">
        <f t="shared" si="8"/>
        <v>1</v>
      </c>
      <c r="AA11" s="1">
        <f t="shared" si="8"/>
        <v>1</v>
      </c>
      <c r="AB11" s="1">
        <f t="shared" si="8"/>
        <v>1</v>
      </c>
      <c r="AC11" s="1">
        <f t="shared" si="8"/>
        <v>1</v>
      </c>
      <c r="AD11" s="1">
        <f t="shared" si="8"/>
        <v>1</v>
      </c>
      <c r="AE11" s="1">
        <f t="shared" si="8"/>
        <v>1</v>
      </c>
      <c r="AF11" s="10"/>
    </row>
    <row r="12" spans="1:59" x14ac:dyDescent="0.35">
      <c r="A12" s="43">
        <f>IF(A11=0,26,A11)</f>
        <v>142</v>
      </c>
      <c r="B12" s="10" t="s">
        <v>380</v>
      </c>
      <c r="C12" s="41">
        <f>n_RotorM</f>
        <v>4</v>
      </c>
      <c r="D12" s="11">
        <f>A12</f>
        <v>142</v>
      </c>
      <c r="E12" s="11">
        <f>IF(MOD(D12,26)=0,26,MOD(D12,26))</f>
        <v>12</v>
      </c>
      <c r="F12" s="12" t="str">
        <f>CHAR(E12+nCharOffset)</f>
        <v>L</v>
      </c>
      <c r="G12" s="13" t="str">
        <f t="shared" ref="G12:AE12" si="9">VLOOKUP(F12,nNextLetter,2,FALSE)</f>
        <v>M</v>
      </c>
      <c r="H12" s="13" t="str">
        <f t="shared" si="9"/>
        <v>N</v>
      </c>
      <c r="I12" s="13" t="str">
        <f t="shared" si="9"/>
        <v>O</v>
      </c>
      <c r="J12" s="13" t="str">
        <f t="shared" si="9"/>
        <v>P</v>
      </c>
      <c r="K12" s="13" t="str">
        <f t="shared" si="9"/>
        <v>Q</v>
      </c>
      <c r="L12" s="13" t="str">
        <f t="shared" si="9"/>
        <v>R</v>
      </c>
      <c r="M12" s="13" t="str">
        <f t="shared" si="9"/>
        <v>S</v>
      </c>
      <c r="N12" s="13" t="str">
        <f t="shared" si="9"/>
        <v>T</v>
      </c>
      <c r="O12" s="13" t="str">
        <f t="shared" si="9"/>
        <v>U</v>
      </c>
      <c r="P12" s="13" t="str">
        <f t="shared" si="9"/>
        <v>V</v>
      </c>
      <c r="Q12" s="13" t="str">
        <f t="shared" si="9"/>
        <v>W</v>
      </c>
      <c r="R12" s="13" t="str">
        <f t="shared" si="9"/>
        <v>X</v>
      </c>
      <c r="S12" s="13" t="str">
        <f t="shared" si="9"/>
        <v>Y</v>
      </c>
      <c r="T12" s="13" t="str">
        <f t="shared" si="9"/>
        <v>Z</v>
      </c>
      <c r="U12" s="13" t="str">
        <f t="shared" si="9"/>
        <v>A</v>
      </c>
      <c r="V12" s="13" t="str">
        <f t="shared" si="9"/>
        <v>B</v>
      </c>
      <c r="W12" s="13" t="str">
        <f t="shared" si="9"/>
        <v>C</v>
      </c>
      <c r="X12" s="13" t="str">
        <f t="shared" si="9"/>
        <v>D</v>
      </c>
      <c r="Y12" s="13" t="str">
        <f t="shared" si="9"/>
        <v>E</v>
      </c>
      <c r="Z12" s="13" t="str">
        <f t="shared" si="9"/>
        <v>F</v>
      </c>
      <c r="AA12" s="13" t="str">
        <f t="shared" si="9"/>
        <v>G</v>
      </c>
      <c r="AB12" s="13" t="str">
        <f t="shared" si="9"/>
        <v>H</v>
      </c>
      <c r="AC12" s="13" t="str">
        <f t="shared" si="9"/>
        <v>I</v>
      </c>
      <c r="AD12" s="13" t="str">
        <f t="shared" si="9"/>
        <v>J</v>
      </c>
      <c r="AE12" s="13" t="str">
        <f t="shared" si="9"/>
        <v>K</v>
      </c>
      <c r="AF12" s="10"/>
    </row>
    <row r="13" spans="1:59" x14ac:dyDescent="0.35">
      <c r="B13" s="22" t="s">
        <v>390</v>
      </c>
      <c r="C13" s="41" t="str">
        <f>n_RingPosM</f>
        <v>A</v>
      </c>
      <c r="D13" s="11">
        <f>VLOOKUP(C13,nRingOffset,2,FALSE)</f>
        <v>0</v>
      </c>
      <c r="E13" t="s">
        <v>386</v>
      </c>
      <c r="F13" s="14" t="str">
        <f t="shared" ref="F13:AE13" si="10">IF(F11=1,VLOOKUP(nCurPosM+nRingOffsetM+(CODE(F10)-nCharOffset)-1,nNum2Let,2,FALSE),"")</f>
        <v>L</v>
      </c>
      <c r="G13" s="14" t="str">
        <f t="shared" si="10"/>
        <v>M</v>
      </c>
      <c r="H13" s="14" t="str">
        <f t="shared" si="10"/>
        <v>N</v>
      </c>
      <c r="I13" s="14" t="str">
        <f t="shared" si="10"/>
        <v>O</v>
      </c>
      <c r="J13" s="14" t="str">
        <f t="shared" si="10"/>
        <v>P</v>
      </c>
      <c r="K13" s="14" t="str">
        <f t="shared" si="10"/>
        <v>Q</v>
      </c>
      <c r="L13" s="14" t="str">
        <f t="shared" si="10"/>
        <v>R</v>
      </c>
      <c r="M13" s="14" t="str">
        <f t="shared" si="10"/>
        <v>S</v>
      </c>
      <c r="N13" s="14" t="str">
        <f t="shared" si="10"/>
        <v>T</v>
      </c>
      <c r="O13" s="14" t="str">
        <f t="shared" si="10"/>
        <v>U</v>
      </c>
      <c r="P13" s="14" t="str">
        <f t="shared" si="10"/>
        <v>V</v>
      </c>
      <c r="Q13" s="14" t="str">
        <f t="shared" si="10"/>
        <v>W</v>
      </c>
      <c r="R13" s="14" t="str">
        <f t="shared" si="10"/>
        <v>X</v>
      </c>
      <c r="S13" s="14" t="str">
        <f t="shared" si="10"/>
        <v>Y</v>
      </c>
      <c r="T13" s="14" t="str">
        <f t="shared" si="10"/>
        <v>Z</v>
      </c>
      <c r="U13" s="14" t="str">
        <f t="shared" si="10"/>
        <v>A</v>
      </c>
      <c r="V13" s="14" t="str">
        <f t="shared" si="10"/>
        <v>B</v>
      </c>
      <c r="W13" s="14" t="str">
        <f t="shared" si="10"/>
        <v>C</v>
      </c>
      <c r="X13" s="14" t="str">
        <f t="shared" si="10"/>
        <v>D</v>
      </c>
      <c r="Y13" s="14" t="str">
        <f t="shared" si="10"/>
        <v>E</v>
      </c>
      <c r="Z13" s="14" t="str">
        <f t="shared" si="10"/>
        <v>F</v>
      </c>
      <c r="AA13" s="14" t="str">
        <f t="shared" si="10"/>
        <v>G</v>
      </c>
      <c r="AB13" s="14" t="str">
        <f t="shared" si="10"/>
        <v>H</v>
      </c>
      <c r="AC13" s="14" t="str">
        <f t="shared" si="10"/>
        <v>I</v>
      </c>
      <c r="AD13" s="14" t="str">
        <f t="shared" si="10"/>
        <v>J</v>
      </c>
      <c r="AE13" s="14" t="str">
        <f t="shared" si="10"/>
        <v>K</v>
      </c>
      <c r="AF13" s="10"/>
      <c r="AH13" s="28" t="str">
        <f t="shared" ref="AH13:BG13" si="11">IF(LEN(AH15)=2,LEFT(AH15,1),"")</f>
        <v>A</v>
      </c>
      <c r="AI13" s="28" t="str">
        <f t="shared" si="11"/>
        <v>B</v>
      </c>
      <c r="AJ13" s="28" t="str">
        <f t="shared" si="11"/>
        <v>C</v>
      </c>
      <c r="AK13" s="28" t="str">
        <f t="shared" si="11"/>
        <v>D</v>
      </c>
      <c r="AL13" s="28" t="str">
        <f t="shared" si="11"/>
        <v>E</v>
      </c>
      <c r="AM13" s="28" t="str">
        <f t="shared" si="11"/>
        <v>F</v>
      </c>
      <c r="AN13" s="28" t="str">
        <f t="shared" si="11"/>
        <v>G</v>
      </c>
      <c r="AO13" s="28" t="str">
        <f t="shared" si="11"/>
        <v>H</v>
      </c>
      <c r="AP13" s="28" t="str">
        <f t="shared" si="11"/>
        <v>I</v>
      </c>
      <c r="AQ13" s="28" t="str">
        <f t="shared" si="11"/>
        <v>J</v>
      </c>
      <c r="AR13" s="28" t="str">
        <f t="shared" si="11"/>
        <v>K</v>
      </c>
      <c r="AS13" s="28" t="str">
        <f t="shared" si="11"/>
        <v>L</v>
      </c>
      <c r="AT13" s="28" t="str">
        <f t="shared" si="11"/>
        <v>M</v>
      </c>
      <c r="AU13" s="28" t="str">
        <f t="shared" si="11"/>
        <v>N</v>
      </c>
      <c r="AV13" s="28" t="str">
        <f t="shared" si="11"/>
        <v>O</v>
      </c>
      <c r="AW13" s="28" t="str">
        <f t="shared" si="11"/>
        <v>P</v>
      </c>
      <c r="AX13" s="28" t="str">
        <f t="shared" si="11"/>
        <v>Q</v>
      </c>
      <c r="AY13" s="28" t="str">
        <f t="shared" si="11"/>
        <v>R</v>
      </c>
      <c r="AZ13" s="28" t="str">
        <f t="shared" si="11"/>
        <v>S</v>
      </c>
      <c r="BA13" s="28" t="str">
        <f t="shared" si="11"/>
        <v>T</v>
      </c>
      <c r="BB13" s="28" t="str">
        <f t="shared" si="11"/>
        <v>U</v>
      </c>
      <c r="BC13" s="28" t="str">
        <f t="shared" si="11"/>
        <v>V</v>
      </c>
      <c r="BD13" s="28" t="str">
        <f t="shared" si="11"/>
        <v>W</v>
      </c>
      <c r="BE13" s="28" t="str">
        <f t="shared" si="11"/>
        <v>X</v>
      </c>
      <c r="BF13" s="28" t="str">
        <f t="shared" si="11"/>
        <v>Y</v>
      </c>
      <c r="BG13" s="28" t="str">
        <f t="shared" si="11"/>
        <v>Z</v>
      </c>
    </row>
    <row r="14" spans="1:59" x14ac:dyDescent="0.35">
      <c r="B14" s="22"/>
      <c r="C14" s="8"/>
      <c r="E14" t="s">
        <v>387</v>
      </c>
      <c r="F14" s="15" t="str">
        <f t="shared" ref="F14:AE14" si="12">IF(F11=1,VLOOKUP(nRotorM&amp;F13,nRotor,4,FALSE),"")</f>
        <v>I</v>
      </c>
      <c r="G14" s="15" t="str">
        <f t="shared" si="12"/>
        <v>R</v>
      </c>
      <c r="H14" s="15" t="str">
        <f t="shared" si="12"/>
        <v>H</v>
      </c>
      <c r="I14" s="15" t="str">
        <f t="shared" si="12"/>
        <v>X</v>
      </c>
      <c r="J14" s="15" t="str">
        <f t="shared" si="12"/>
        <v>L</v>
      </c>
      <c r="K14" s="15" t="str">
        <f t="shared" si="12"/>
        <v>N</v>
      </c>
      <c r="L14" s="15" t="str">
        <f t="shared" si="12"/>
        <v>F</v>
      </c>
      <c r="M14" s="15" t="str">
        <f t="shared" si="12"/>
        <v>T</v>
      </c>
      <c r="N14" s="15" t="str">
        <f t="shared" si="12"/>
        <v>G</v>
      </c>
      <c r="O14" s="15" t="str">
        <f t="shared" si="12"/>
        <v>K</v>
      </c>
      <c r="P14" s="15" t="str">
        <f t="shared" si="12"/>
        <v>D</v>
      </c>
      <c r="Q14" s="15" t="str">
        <f t="shared" si="12"/>
        <v>C</v>
      </c>
      <c r="R14" s="15" t="str">
        <f t="shared" si="12"/>
        <v>M</v>
      </c>
      <c r="S14" s="15" t="str">
        <f t="shared" si="12"/>
        <v>W</v>
      </c>
      <c r="T14" s="15" t="str">
        <f t="shared" si="12"/>
        <v>B</v>
      </c>
      <c r="U14" s="15" t="str">
        <f t="shared" si="12"/>
        <v>E</v>
      </c>
      <c r="V14" s="15" t="str">
        <f t="shared" si="12"/>
        <v>S</v>
      </c>
      <c r="W14" s="15" t="str">
        <f t="shared" si="12"/>
        <v>O</v>
      </c>
      <c r="X14" s="15" t="str">
        <f t="shared" si="12"/>
        <v>V</v>
      </c>
      <c r="Y14" s="15" t="str">
        <f t="shared" si="12"/>
        <v>P</v>
      </c>
      <c r="Z14" s="15" t="str">
        <f t="shared" si="12"/>
        <v>Z</v>
      </c>
      <c r="AA14" s="15" t="str">
        <f t="shared" si="12"/>
        <v>J</v>
      </c>
      <c r="AB14" s="15" t="str">
        <f t="shared" si="12"/>
        <v>A</v>
      </c>
      <c r="AC14" s="15" t="str">
        <f t="shared" si="12"/>
        <v>Y</v>
      </c>
      <c r="AD14" s="15" t="str">
        <f t="shared" si="12"/>
        <v>Q</v>
      </c>
      <c r="AE14" s="15" t="str">
        <f t="shared" si="12"/>
        <v>U</v>
      </c>
      <c r="AF14" s="10"/>
      <c r="AH14" s="28" t="str">
        <f t="shared" ref="AH14:BG14" si="13">IF(LEN(AH15)=2,RIGHT(AH15,1),"")</f>
        <v>X</v>
      </c>
      <c r="AI14" s="28" t="str">
        <f t="shared" si="13"/>
        <v>G</v>
      </c>
      <c r="AJ14" s="28" t="str">
        <f t="shared" si="13"/>
        <v>W</v>
      </c>
      <c r="AK14" s="28" t="str">
        <f t="shared" si="13"/>
        <v>M</v>
      </c>
      <c r="AL14" s="28" t="str">
        <f t="shared" si="13"/>
        <v>A</v>
      </c>
      <c r="AM14" s="28" t="str">
        <f t="shared" si="13"/>
        <v>C</v>
      </c>
      <c r="AN14" s="28" t="str">
        <f t="shared" si="13"/>
        <v>U</v>
      </c>
      <c r="AO14" s="28" t="str">
        <f t="shared" si="13"/>
        <v>I</v>
      </c>
      <c r="AP14" s="28" t="str">
        <f t="shared" si="13"/>
        <v>V</v>
      </c>
      <c r="AQ14" s="28" t="str">
        <f t="shared" si="13"/>
        <v>Z</v>
      </c>
      <c r="AR14" s="28" t="str">
        <f t="shared" si="13"/>
        <v>S</v>
      </c>
      <c r="AS14" s="28" t="str">
        <f t="shared" si="13"/>
        <v>R</v>
      </c>
      <c r="AT14" s="28" t="str">
        <f t="shared" si="13"/>
        <v>B</v>
      </c>
      <c r="AU14" s="28" t="str">
        <f t="shared" si="13"/>
        <v>L</v>
      </c>
      <c r="AV14" s="28" t="str">
        <f t="shared" si="13"/>
        <v>Q</v>
      </c>
      <c r="AW14" s="28" t="str">
        <f t="shared" si="13"/>
        <v>T</v>
      </c>
      <c r="AX14" s="28" t="str">
        <f t="shared" si="13"/>
        <v>H</v>
      </c>
      <c r="AY14" s="28" t="str">
        <f t="shared" si="13"/>
        <v>D</v>
      </c>
      <c r="AZ14" s="28" t="str">
        <f t="shared" si="13"/>
        <v>K</v>
      </c>
      <c r="BA14" s="28" t="str">
        <f t="shared" si="13"/>
        <v>E</v>
      </c>
      <c r="BB14" s="28" t="str">
        <f t="shared" si="13"/>
        <v>O</v>
      </c>
      <c r="BC14" s="28" t="str">
        <f t="shared" si="13"/>
        <v>Y</v>
      </c>
      <c r="BD14" s="28" t="str">
        <f t="shared" si="13"/>
        <v>P</v>
      </c>
      <c r="BE14" s="28" t="str">
        <f t="shared" si="13"/>
        <v>N</v>
      </c>
      <c r="BF14" s="28" t="str">
        <f t="shared" si="13"/>
        <v>F</v>
      </c>
      <c r="BG14" s="28" t="str">
        <f t="shared" si="13"/>
        <v>J</v>
      </c>
    </row>
    <row r="15" spans="1:59" ht="15" thickBot="1" x14ac:dyDescent="0.4">
      <c r="B15" s="23"/>
      <c r="C15" s="16"/>
      <c r="D15" s="17"/>
      <c r="E15" s="17" t="s">
        <v>388</v>
      </c>
      <c r="F15" s="18" t="str">
        <f t="shared" ref="F15:AE15" si="14">IF(F11=1,IF(CODE(F14)-CODE(F13)&lt;0,VLOOKUP((CODE(F14)-CODE(F13)+26)+(CODE(F10)-nCharOffset),nNum2Let,2,FALSE),VLOOKUP((CODE(F14)-CODE(F13))+(CODE(F10)-nCharOffset),nNum2Let,2,FALSE)),"")</f>
        <v>X</v>
      </c>
      <c r="G15" s="18" t="str">
        <f t="shared" si="14"/>
        <v>G</v>
      </c>
      <c r="H15" s="18" t="str">
        <f t="shared" si="14"/>
        <v>W</v>
      </c>
      <c r="I15" s="18" t="str">
        <f t="shared" si="14"/>
        <v>M</v>
      </c>
      <c r="J15" s="18" t="str">
        <f t="shared" si="14"/>
        <v>A</v>
      </c>
      <c r="K15" s="18" t="str">
        <f t="shared" si="14"/>
        <v>C</v>
      </c>
      <c r="L15" s="18" t="str">
        <f t="shared" si="14"/>
        <v>U</v>
      </c>
      <c r="M15" s="18" t="str">
        <f t="shared" si="14"/>
        <v>I</v>
      </c>
      <c r="N15" s="18" t="str">
        <f t="shared" si="14"/>
        <v>V</v>
      </c>
      <c r="O15" s="18" t="str">
        <f t="shared" si="14"/>
        <v>Z</v>
      </c>
      <c r="P15" s="18" t="str">
        <f t="shared" si="14"/>
        <v>S</v>
      </c>
      <c r="Q15" s="18" t="str">
        <f t="shared" si="14"/>
        <v>R</v>
      </c>
      <c r="R15" s="18" t="str">
        <f t="shared" si="14"/>
        <v>B</v>
      </c>
      <c r="S15" s="18" t="str">
        <f t="shared" si="14"/>
        <v>L</v>
      </c>
      <c r="T15" s="18" t="str">
        <f t="shared" si="14"/>
        <v>Q</v>
      </c>
      <c r="U15" s="18" t="str">
        <f t="shared" si="14"/>
        <v>T</v>
      </c>
      <c r="V15" s="18" t="str">
        <f t="shared" si="14"/>
        <v>H</v>
      </c>
      <c r="W15" s="18" t="str">
        <f t="shared" si="14"/>
        <v>D</v>
      </c>
      <c r="X15" s="18" t="str">
        <f t="shared" si="14"/>
        <v>K</v>
      </c>
      <c r="Y15" s="18" t="str">
        <f t="shared" si="14"/>
        <v>E</v>
      </c>
      <c r="Z15" s="18" t="str">
        <f t="shared" si="14"/>
        <v>O</v>
      </c>
      <c r="AA15" s="18" t="str">
        <f t="shared" si="14"/>
        <v>Y</v>
      </c>
      <c r="AB15" s="18" t="str">
        <f t="shared" si="14"/>
        <v>P</v>
      </c>
      <c r="AC15" s="18" t="str">
        <f t="shared" si="14"/>
        <v>N</v>
      </c>
      <c r="AD15" s="18" t="str">
        <f t="shared" si="14"/>
        <v>F</v>
      </c>
      <c r="AE15" s="18" t="str">
        <f t="shared" si="14"/>
        <v>J</v>
      </c>
      <c r="AF15" s="19" t="str">
        <f>CONCATENATE(F15,G15,H15,I15,J15,K15,L15,M15,N15,O15,P15,Q15,R15,S15,T15&amp;U15,V15,W15,X15,Y15,Z15,AA15,AB15,AC15,AD15,AE15)</f>
        <v>XGWMACUIVZSRBLQTHDKEOYPNFJ</v>
      </c>
      <c r="AH15" s="12" t="str">
        <f>F10&amp;F15</f>
        <v>AX</v>
      </c>
      <c r="AI15" s="12" t="str">
        <f t="shared" ref="AI15:BG15" si="15">G10&amp;G15</f>
        <v>BG</v>
      </c>
      <c r="AJ15" s="12" t="str">
        <f t="shared" si="15"/>
        <v>CW</v>
      </c>
      <c r="AK15" s="12" t="str">
        <f t="shared" si="15"/>
        <v>DM</v>
      </c>
      <c r="AL15" s="12" t="str">
        <f t="shared" si="15"/>
        <v>EA</v>
      </c>
      <c r="AM15" s="12" t="str">
        <f t="shared" si="15"/>
        <v>FC</v>
      </c>
      <c r="AN15" s="12" t="str">
        <f t="shared" si="15"/>
        <v>GU</v>
      </c>
      <c r="AO15" s="12" t="str">
        <f t="shared" si="15"/>
        <v>HI</v>
      </c>
      <c r="AP15" s="12" t="str">
        <f t="shared" si="15"/>
        <v>IV</v>
      </c>
      <c r="AQ15" s="12" t="str">
        <f t="shared" si="15"/>
        <v>JZ</v>
      </c>
      <c r="AR15" s="12" t="str">
        <f t="shared" si="15"/>
        <v>KS</v>
      </c>
      <c r="AS15" s="12" t="str">
        <f t="shared" si="15"/>
        <v>LR</v>
      </c>
      <c r="AT15" s="12" t="str">
        <f t="shared" si="15"/>
        <v>MB</v>
      </c>
      <c r="AU15" s="12" t="str">
        <f t="shared" si="15"/>
        <v>NL</v>
      </c>
      <c r="AV15" s="12" t="str">
        <f t="shared" si="15"/>
        <v>OQ</v>
      </c>
      <c r="AW15" s="12" t="str">
        <f t="shared" si="15"/>
        <v>PT</v>
      </c>
      <c r="AX15" s="12" t="str">
        <f t="shared" si="15"/>
        <v>QH</v>
      </c>
      <c r="AY15" s="12" t="str">
        <f t="shared" si="15"/>
        <v>RD</v>
      </c>
      <c r="AZ15" s="12" t="str">
        <f t="shared" si="15"/>
        <v>SK</v>
      </c>
      <c r="BA15" s="12" t="str">
        <f t="shared" si="15"/>
        <v>TE</v>
      </c>
      <c r="BB15" s="12" t="str">
        <f t="shared" si="15"/>
        <v>UO</v>
      </c>
      <c r="BC15" s="12" t="str">
        <f t="shared" si="15"/>
        <v>VY</v>
      </c>
      <c r="BD15" s="12" t="str">
        <f t="shared" si="15"/>
        <v>WP</v>
      </c>
      <c r="BE15" s="12" t="str">
        <f t="shared" si="15"/>
        <v>XN</v>
      </c>
      <c r="BF15" s="12" t="str">
        <f t="shared" si="15"/>
        <v>YF</v>
      </c>
      <c r="BG15" s="12" t="str">
        <f t="shared" si="15"/>
        <v>ZJ</v>
      </c>
    </row>
    <row r="16" spans="1:59" x14ac:dyDescent="0.35">
      <c r="B16" s="21"/>
      <c r="C16" s="4"/>
      <c r="D16" s="5"/>
      <c r="E16" s="5" t="s">
        <v>385</v>
      </c>
      <c r="F16" s="6" t="s">
        <v>0</v>
      </c>
      <c r="G16" s="6" t="s">
        <v>1</v>
      </c>
      <c r="H16" s="6" t="s">
        <v>2</v>
      </c>
      <c r="I16" s="6" t="s">
        <v>3</v>
      </c>
      <c r="J16" s="6" t="s">
        <v>4</v>
      </c>
      <c r="K16" s="6" t="s">
        <v>5</v>
      </c>
      <c r="L16" s="6" t="s">
        <v>6</v>
      </c>
      <c r="M16" s="6" t="s">
        <v>7</v>
      </c>
      <c r="N16" s="6" t="s">
        <v>8</v>
      </c>
      <c r="O16" s="6" t="s">
        <v>9</v>
      </c>
      <c r="P16" s="6" t="s">
        <v>10</v>
      </c>
      <c r="Q16" s="6" t="s">
        <v>11</v>
      </c>
      <c r="R16" s="6" t="s">
        <v>12</v>
      </c>
      <c r="S16" s="6" t="s">
        <v>13</v>
      </c>
      <c r="T16" s="6" t="s">
        <v>14</v>
      </c>
      <c r="U16" s="6" t="s">
        <v>15</v>
      </c>
      <c r="V16" s="6" t="s">
        <v>16</v>
      </c>
      <c r="W16" s="6" t="s">
        <v>17</v>
      </c>
      <c r="X16" s="6" t="s">
        <v>18</v>
      </c>
      <c r="Y16" s="6" t="s">
        <v>19</v>
      </c>
      <c r="Z16" s="6" t="s">
        <v>20</v>
      </c>
      <c r="AA16" s="6" t="s">
        <v>21</v>
      </c>
      <c r="AB16" s="6" t="s">
        <v>22</v>
      </c>
      <c r="AC16" s="6" t="s">
        <v>23</v>
      </c>
      <c r="AD16" s="6" t="s">
        <v>24</v>
      </c>
      <c r="AE16" s="6" t="s">
        <v>25</v>
      </c>
      <c r="AF16" s="7"/>
      <c r="AH16" s="28" t="str">
        <f>HLOOKUP(AH8,$AH13:$BG14,2,FALSE)</f>
        <v>F</v>
      </c>
      <c r="AI16" s="28" t="str">
        <f>HLOOKUP(AI8,$AH13:$BG14,2,FALSE)</f>
        <v>Q</v>
      </c>
      <c r="AJ16" s="28" t="str">
        <f>HLOOKUP(AJ8,$AH13:$BG14,2,FALSE)</f>
        <v>W</v>
      </c>
      <c r="AK16" s="28" t="str">
        <f t="shared" ref="AK16:BG16" si="16">HLOOKUP(AK8,$AH13:$BG14,2,FALSE)</f>
        <v>K</v>
      </c>
      <c r="AL16" s="28" t="str">
        <f t="shared" si="16"/>
        <v>R</v>
      </c>
      <c r="AM16" s="28" t="str">
        <f t="shared" si="16"/>
        <v>J</v>
      </c>
      <c r="AN16" s="28" t="str">
        <f t="shared" si="16"/>
        <v>G</v>
      </c>
      <c r="AO16" s="28" t="str">
        <f t="shared" si="16"/>
        <v>S</v>
      </c>
      <c r="AP16" s="28" t="str">
        <f t="shared" si="16"/>
        <v>D</v>
      </c>
      <c r="AQ16" s="28" t="str">
        <f t="shared" si="16"/>
        <v>I</v>
      </c>
      <c r="AR16" s="28" t="str">
        <f t="shared" si="16"/>
        <v>X</v>
      </c>
      <c r="AS16" s="28" t="str">
        <f t="shared" si="16"/>
        <v>H</v>
      </c>
      <c r="AT16" s="28" t="str">
        <f t="shared" si="16"/>
        <v>B</v>
      </c>
      <c r="AU16" s="28" t="str">
        <f t="shared" si="16"/>
        <v>Y</v>
      </c>
      <c r="AV16" s="28" t="str">
        <f t="shared" si="16"/>
        <v>T</v>
      </c>
      <c r="AW16" s="28" t="str">
        <f t="shared" si="16"/>
        <v>P</v>
      </c>
      <c r="AX16" s="28" t="str">
        <f t="shared" si="16"/>
        <v>A</v>
      </c>
      <c r="AY16" s="28" t="str">
        <f t="shared" si="16"/>
        <v>O</v>
      </c>
      <c r="AZ16" s="28" t="str">
        <f t="shared" si="16"/>
        <v>M</v>
      </c>
      <c r="BA16" s="28" t="str">
        <f t="shared" si="16"/>
        <v>U</v>
      </c>
      <c r="BB16" s="28" t="str">
        <f t="shared" si="16"/>
        <v>Z</v>
      </c>
      <c r="BC16" s="28" t="str">
        <f t="shared" si="16"/>
        <v>L</v>
      </c>
      <c r="BD16" s="28" t="str">
        <f t="shared" si="16"/>
        <v>N</v>
      </c>
      <c r="BE16" s="28" t="str">
        <f t="shared" si="16"/>
        <v>E</v>
      </c>
      <c r="BF16" s="28" t="str">
        <f t="shared" si="16"/>
        <v>V</v>
      </c>
      <c r="BG16" s="28" t="str">
        <f t="shared" si="16"/>
        <v>C</v>
      </c>
    </row>
    <row r="17" spans="1:59" x14ac:dyDescent="0.35">
      <c r="A17" s="43">
        <f>INT(D2/676)</f>
        <v>5</v>
      </c>
      <c r="B17" s="10"/>
      <c r="C17" s="8"/>
      <c r="F17" s="1">
        <f>IF(ISERROR(FIND(F16,$AF15)),0,1)</f>
        <v>1</v>
      </c>
      <c r="G17" s="1">
        <f t="shared" ref="G17:AE17" si="17">IF(ISERROR(FIND(G16,$AF15)),0,1)</f>
        <v>1</v>
      </c>
      <c r="H17" s="1">
        <f t="shared" si="17"/>
        <v>1</v>
      </c>
      <c r="I17" s="1">
        <f t="shared" si="17"/>
        <v>1</v>
      </c>
      <c r="J17" s="1">
        <f t="shared" si="17"/>
        <v>1</v>
      </c>
      <c r="K17" s="1">
        <f t="shared" si="17"/>
        <v>1</v>
      </c>
      <c r="L17" s="1">
        <f t="shared" si="17"/>
        <v>1</v>
      </c>
      <c r="M17" s="1">
        <f t="shared" si="17"/>
        <v>1</v>
      </c>
      <c r="N17" s="1">
        <f t="shared" si="17"/>
        <v>1</v>
      </c>
      <c r="O17" s="1">
        <f t="shared" si="17"/>
        <v>1</v>
      </c>
      <c r="P17" s="1">
        <f t="shared" si="17"/>
        <v>1</v>
      </c>
      <c r="Q17" s="1">
        <f t="shared" si="17"/>
        <v>1</v>
      </c>
      <c r="R17" s="1">
        <f t="shared" si="17"/>
        <v>1</v>
      </c>
      <c r="S17" s="1">
        <f t="shared" si="17"/>
        <v>1</v>
      </c>
      <c r="T17" s="1">
        <f t="shared" si="17"/>
        <v>1</v>
      </c>
      <c r="U17" s="1">
        <f t="shared" si="17"/>
        <v>1</v>
      </c>
      <c r="V17" s="1">
        <f t="shared" si="17"/>
        <v>1</v>
      </c>
      <c r="W17" s="1">
        <f t="shared" si="17"/>
        <v>1</v>
      </c>
      <c r="X17" s="1">
        <f t="shared" si="17"/>
        <v>1</v>
      </c>
      <c r="Y17" s="1">
        <f t="shared" si="17"/>
        <v>1</v>
      </c>
      <c r="Z17" s="1">
        <f t="shared" si="17"/>
        <v>1</v>
      </c>
      <c r="AA17" s="1">
        <f t="shared" si="17"/>
        <v>1</v>
      </c>
      <c r="AB17" s="1">
        <f t="shared" si="17"/>
        <v>1</v>
      </c>
      <c r="AC17" s="1">
        <f t="shared" si="17"/>
        <v>1</v>
      </c>
      <c r="AD17" s="1">
        <f t="shared" si="17"/>
        <v>1</v>
      </c>
      <c r="AE17" s="1">
        <f t="shared" si="17"/>
        <v>1</v>
      </c>
      <c r="AF17" s="10"/>
    </row>
    <row r="18" spans="1:59" x14ac:dyDescent="0.35">
      <c r="A18" s="43">
        <f>IF(A17=0,26,A17)</f>
        <v>5</v>
      </c>
      <c r="B18" s="10" t="s">
        <v>381</v>
      </c>
      <c r="C18" s="41">
        <f>n_RotorL</f>
        <v>1</v>
      </c>
      <c r="D18" s="11">
        <f>A18</f>
        <v>5</v>
      </c>
      <c r="E18" s="11">
        <f>IF(MOD(D18,26)=0,26,MOD(D18,26))</f>
        <v>5</v>
      </c>
      <c r="F18" s="12" t="str">
        <f>CHAR(E18+nCharOffset)</f>
        <v>E</v>
      </c>
      <c r="G18" s="13" t="str">
        <f t="shared" ref="G18:AE18" si="18">VLOOKUP(F18,nNextLetter,2,FALSE)</f>
        <v>F</v>
      </c>
      <c r="H18" s="13" t="str">
        <f t="shared" si="18"/>
        <v>G</v>
      </c>
      <c r="I18" s="13" t="str">
        <f t="shared" si="18"/>
        <v>H</v>
      </c>
      <c r="J18" s="13" t="str">
        <f t="shared" si="18"/>
        <v>I</v>
      </c>
      <c r="K18" s="13" t="str">
        <f t="shared" si="18"/>
        <v>J</v>
      </c>
      <c r="L18" s="13" t="str">
        <f t="shared" si="18"/>
        <v>K</v>
      </c>
      <c r="M18" s="13" t="str">
        <f t="shared" si="18"/>
        <v>L</v>
      </c>
      <c r="N18" s="13" t="str">
        <f t="shared" si="18"/>
        <v>M</v>
      </c>
      <c r="O18" s="13" t="str">
        <f t="shared" si="18"/>
        <v>N</v>
      </c>
      <c r="P18" s="13" t="str">
        <f t="shared" si="18"/>
        <v>O</v>
      </c>
      <c r="Q18" s="13" t="str">
        <f t="shared" si="18"/>
        <v>P</v>
      </c>
      <c r="R18" s="13" t="str">
        <f t="shared" si="18"/>
        <v>Q</v>
      </c>
      <c r="S18" s="13" t="str">
        <f t="shared" si="18"/>
        <v>R</v>
      </c>
      <c r="T18" s="13" t="str">
        <f t="shared" si="18"/>
        <v>S</v>
      </c>
      <c r="U18" s="13" t="str">
        <f t="shared" si="18"/>
        <v>T</v>
      </c>
      <c r="V18" s="13" t="str">
        <f t="shared" si="18"/>
        <v>U</v>
      </c>
      <c r="W18" s="13" t="str">
        <f t="shared" si="18"/>
        <v>V</v>
      </c>
      <c r="X18" s="13" t="str">
        <f t="shared" si="18"/>
        <v>W</v>
      </c>
      <c r="Y18" s="13" t="str">
        <f t="shared" si="18"/>
        <v>X</v>
      </c>
      <c r="Z18" s="13" t="str">
        <f t="shared" si="18"/>
        <v>Y</v>
      </c>
      <c r="AA18" s="13" t="str">
        <f t="shared" si="18"/>
        <v>Z</v>
      </c>
      <c r="AB18" s="13" t="str">
        <f t="shared" si="18"/>
        <v>A</v>
      </c>
      <c r="AC18" s="13" t="str">
        <f t="shared" si="18"/>
        <v>B</v>
      </c>
      <c r="AD18" s="13" t="str">
        <f t="shared" si="18"/>
        <v>C</v>
      </c>
      <c r="AE18" s="13" t="str">
        <f t="shared" si="18"/>
        <v>D</v>
      </c>
      <c r="AF18" s="10"/>
    </row>
    <row r="19" spans="1:59" x14ac:dyDescent="0.35">
      <c r="B19" s="22" t="s">
        <v>391</v>
      </c>
      <c r="C19" s="41" t="str">
        <f>n_RingPosL</f>
        <v>A</v>
      </c>
      <c r="D19" s="11">
        <f>VLOOKUP(C19,nRingOffset,2,FALSE)</f>
        <v>0</v>
      </c>
      <c r="E19" t="s">
        <v>386</v>
      </c>
      <c r="F19" s="14" t="str">
        <f t="shared" ref="F19:AE19" si="19">IF(F17=1,VLOOKUP(nCurPosL+nRingOffsetL+(CODE(F16)-nCharOffset)-1,nNum2Let,2,FALSE),"")</f>
        <v>E</v>
      </c>
      <c r="G19" s="14" t="str">
        <f t="shared" si="19"/>
        <v>F</v>
      </c>
      <c r="H19" s="14" t="str">
        <f t="shared" si="19"/>
        <v>G</v>
      </c>
      <c r="I19" s="14" t="str">
        <f t="shared" si="19"/>
        <v>H</v>
      </c>
      <c r="J19" s="14" t="str">
        <f t="shared" si="19"/>
        <v>I</v>
      </c>
      <c r="K19" s="14" t="str">
        <f t="shared" si="19"/>
        <v>J</v>
      </c>
      <c r="L19" s="14" t="str">
        <f t="shared" si="19"/>
        <v>K</v>
      </c>
      <c r="M19" s="14" t="str">
        <f t="shared" si="19"/>
        <v>L</v>
      </c>
      <c r="N19" s="14" t="str">
        <f t="shared" si="19"/>
        <v>M</v>
      </c>
      <c r="O19" s="14" t="str">
        <f t="shared" si="19"/>
        <v>N</v>
      </c>
      <c r="P19" s="14" t="str">
        <f t="shared" si="19"/>
        <v>O</v>
      </c>
      <c r="Q19" s="14" t="str">
        <f t="shared" si="19"/>
        <v>P</v>
      </c>
      <c r="R19" s="14" t="str">
        <f t="shared" si="19"/>
        <v>Q</v>
      </c>
      <c r="S19" s="14" t="str">
        <f t="shared" si="19"/>
        <v>R</v>
      </c>
      <c r="T19" s="14" t="str">
        <f t="shared" si="19"/>
        <v>S</v>
      </c>
      <c r="U19" s="14" t="str">
        <f t="shared" si="19"/>
        <v>T</v>
      </c>
      <c r="V19" s="14" t="str">
        <f t="shared" si="19"/>
        <v>U</v>
      </c>
      <c r="W19" s="14" t="str">
        <f t="shared" si="19"/>
        <v>V</v>
      </c>
      <c r="X19" s="14" t="str">
        <f t="shared" si="19"/>
        <v>W</v>
      </c>
      <c r="Y19" s="14" t="str">
        <f t="shared" si="19"/>
        <v>X</v>
      </c>
      <c r="Z19" s="14" t="str">
        <f t="shared" si="19"/>
        <v>Y</v>
      </c>
      <c r="AA19" s="14" t="str">
        <f t="shared" si="19"/>
        <v>Z</v>
      </c>
      <c r="AB19" s="14" t="str">
        <f t="shared" si="19"/>
        <v>A</v>
      </c>
      <c r="AC19" s="14" t="str">
        <f t="shared" si="19"/>
        <v>B</v>
      </c>
      <c r="AD19" s="14" t="str">
        <f t="shared" si="19"/>
        <v>C</v>
      </c>
      <c r="AE19" s="14" t="str">
        <f t="shared" si="19"/>
        <v>D</v>
      </c>
      <c r="AF19" s="10"/>
      <c r="AH19" s="28" t="str">
        <f t="shared" ref="AH19:BG19" si="20">IF(LEN(AH21)=2,LEFT(AH21,1),"")</f>
        <v>A</v>
      </c>
      <c r="AI19" s="28" t="str">
        <f t="shared" si="20"/>
        <v>B</v>
      </c>
      <c r="AJ19" s="28" t="str">
        <f t="shared" si="20"/>
        <v>C</v>
      </c>
      <c r="AK19" s="28" t="str">
        <f t="shared" si="20"/>
        <v>D</v>
      </c>
      <c r="AL19" s="28" t="str">
        <f t="shared" si="20"/>
        <v>E</v>
      </c>
      <c r="AM19" s="28" t="str">
        <f t="shared" si="20"/>
        <v>F</v>
      </c>
      <c r="AN19" s="28" t="str">
        <f t="shared" si="20"/>
        <v>G</v>
      </c>
      <c r="AO19" s="28" t="str">
        <f t="shared" si="20"/>
        <v>H</v>
      </c>
      <c r="AP19" s="28" t="str">
        <f t="shared" si="20"/>
        <v>I</v>
      </c>
      <c r="AQ19" s="28" t="str">
        <f t="shared" si="20"/>
        <v>J</v>
      </c>
      <c r="AR19" s="28" t="str">
        <f t="shared" si="20"/>
        <v>K</v>
      </c>
      <c r="AS19" s="28" t="str">
        <f t="shared" si="20"/>
        <v>L</v>
      </c>
      <c r="AT19" s="28" t="str">
        <f t="shared" si="20"/>
        <v>M</v>
      </c>
      <c r="AU19" s="28" t="str">
        <f t="shared" si="20"/>
        <v>N</v>
      </c>
      <c r="AV19" s="28" t="str">
        <f t="shared" si="20"/>
        <v>O</v>
      </c>
      <c r="AW19" s="28" t="str">
        <f t="shared" si="20"/>
        <v>P</v>
      </c>
      <c r="AX19" s="28" t="str">
        <f t="shared" si="20"/>
        <v>Q</v>
      </c>
      <c r="AY19" s="28" t="str">
        <f t="shared" si="20"/>
        <v>R</v>
      </c>
      <c r="AZ19" s="28" t="str">
        <f t="shared" si="20"/>
        <v>S</v>
      </c>
      <c r="BA19" s="28" t="str">
        <f t="shared" si="20"/>
        <v>T</v>
      </c>
      <c r="BB19" s="28" t="str">
        <f t="shared" si="20"/>
        <v>U</v>
      </c>
      <c r="BC19" s="28" t="str">
        <f t="shared" si="20"/>
        <v>V</v>
      </c>
      <c r="BD19" s="28" t="str">
        <f t="shared" si="20"/>
        <v>W</v>
      </c>
      <c r="BE19" s="28" t="str">
        <f t="shared" si="20"/>
        <v>X</v>
      </c>
      <c r="BF19" s="28" t="str">
        <f t="shared" si="20"/>
        <v>Y</v>
      </c>
      <c r="BG19" s="28" t="str">
        <f t="shared" si="20"/>
        <v>Z</v>
      </c>
    </row>
    <row r="20" spans="1:59" x14ac:dyDescent="0.35">
      <c r="B20" s="22"/>
      <c r="C20" s="8"/>
      <c r="E20" t="s">
        <v>387</v>
      </c>
      <c r="F20" s="15" t="str">
        <f t="shared" ref="F20:AE20" si="21">IF(F17=1,VLOOKUP(nRotorL&amp;F19,nRotor,4,FALSE),"")</f>
        <v>L</v>
      </c>
      <c r="G20" s="15" t="str">
        <f t="shared" si="21"/>
        <v>G</v>
      </c>
      <c r="H20" s="15" t="str">
        <f t="shared" si="21"/>
        <v>D</v>
      </c>
      <c r="I20" s="15" t="str">
        <f t="shared" si="21"/>
        <v>Q</v>
      </c>
      <c r="J20" s="15" t="str">
        <f t="shared" si="21"/>
        <v>V</v>
      </c>
      <c r="K20" s="15" t="str">
        <f t="shared" si="21"/>
        <v>Z</v>
      </c>
      <c r="L20" s="15" t="str">
        <f t="shared" si="21"/>
        <v>N</v>
      </c>
      <c r="M20" s="15" t="str">
        <f t="shared" si="21"/>
        <v>T</v>
      </c>
      <c r="N20" s="15" t="str">
        <f t="shared" si="21"/>
        <v>O</v>
      </c>
      <c r="O20" s="15" t="str">
        <f t="shared" si="21"/>
        <v>W</v>
      </c>
      <c r="P20" s="15" t="str">
        <f t="shared" si="21"/>
        <v>Y</v>
      </c>
      <c r="Q20" s="15" t="str">
        <f t="shared" si="21"/>
        <v>H</v>
      </c>
      <c r="R20" s="15" t="str">
        <f t="shared" si="21"/>
        <v>X</v>
      </c>
      <c r="S20" s="15" t="str">
        <f t="shared" si="21"/>
        <v>U</v>
      </c>
      <c r="T20" s="15" t="str">
        <f t="shared" si="21"/>
        <v>S</v>
      </c>
      <c r="U20" s="15" t="str">
        <f t="shared" si="21"/>
        <v>P</v>
      </c>
      <c r="V20" s="15" t="str">
        <f t="shared" si="21"/>
        <v>A</v>
      </c>
      <c r="W20" s="15" t="str">
        <f t="shared" si="21"/>
        <v>I</v>
      </c>
      <c r="X20" s="15" t="str">
        <f t="shared" si="21"/>
        <v>B</v>
      </c>
      <c r="Y20" s="15" t="str">
        <f t="shared" si="21"/>
        <v>R</v>
      </c>
      <c r="Z20" s="15" t="str">
        <f t="shared" si="21"/>
        <v>C</v>
      </c>
      <c r="AA20" s="15" t="str">
        <f t="shared" si="21"/>
        <v>J</v>
      </c>
      <c r="AB20" s="15" t="str">
        <f t="shared" si="21"/>
        <v>E</v>
      </c>
      <c r="AC20" s="15" t="str">
        <f t="shared" si="21"/>
        <v>K</v>
      </c>
      <c r="AD20" s="15" t="str">
        <f t="shared" si="21"/>
        <v>M</v>
      </c>
      <c r="AE20" s="15" t="str">
        <f t="shared" si="21"/>
        <v>F</v>
      </c>
      <c r="AF20" s="10"/>
      <c r="AH20" s="28" t="str">
        <f t="shared" ref="AH20:BG20" si="22">IF(LEN(AH21)=2,RIGHT(AH21,1),"")</f>
        <v>H</v>
      </c>
      <c r="AI20" s="28" t="str">
        <f t="shared" si="22"/>
        <v>C</v>
      </c>
      <c r="AJ20" s="28" t="str">
        <f t="shared" si="22"/>
        <v>Z</v>
      </c>
      <c r="AK20" s="28" t="str">
        <f t="shared" si="22"/>
        <v>M</v>
      </c>
      <c r="AL20" s="28" t="str">
        <f t="shared" si="22"/>
        <v>R</v>
      </c>
      <c r="AM20" s="28" t="str">
        <f t="shared" si="22"/>
        <v>V</v>
      </c>
      <c r="AN20" s="28" t="str">
        <f t="shared" si="22"/>
        <v>J</v>
      </c>
      <c r="AO20" s="28" t="str">
        <f t="shared" si="22"/>
        <v>P</v>
      </c>
      <c r="AP20" s="28" t="str">
        <f t="shared" si="22"/>
        <v>K</v>
      </c>
      <c r="AQ20" s="28" t="str">
        <f t="shared" si="22"/>
        <v>S</v>
      </c>
      <c r="AR20" s="28" t="str">
        <f t="shared" si="22"/>
        <v>U</v>
      </c>
      <c r="AS20" s="28" t="str">
        <f t="shared" si="22"/>
        <v>D</v>
      </c>
      <c r="AT20" s="28" t="str">
        <f t="shared" si="22"/>
        <v>T</v>
      </c>
      <c r="AU20" s="28" t="str">
        <f t="shared" si="22"/>
        <v>Q</v>
      </c>
      <c r="AV20" s="28" t="str">
        <f t="shared" si="22"/>
        <v>O</v>
      </c>
      <c r="AW20" s="28" t="str">
        <f t="shared" si="22"/>
        <v>L</v>
      </c>
      <c r="AX20" s="28" t="str">
        <f t="shared" si="22"/>
        <v>W</v>
      </c>
      <c r="AY20" s="28" t="str">
        <f t="shared" si="22"/>
        <v>E</v>
      </c>
      <c r="AZ20" s="28" t="str">
        <f t="shared" si="22"/>
        <v>X</v>
      </c>
      <c r="BA20" s="28" t="str">
        <f t="shared" si="22"/>
        <v>N</v>
      </c>
      <c r="BB20" s="28" t="str">
        <f t="shared" si="22"/>
        <v>Y</v>
      </c>
      <c r="BC20" s="28" t="str">
        <f t="shared" si="22"/>
        <v>F</v>
      </c>
      <c r="BD20" s="28" t="str">
        <f t="shared" si="22"/>
        <v>A</v>
      </c>
      <c r="BE20" s="28" t="str">
        <f t="shared" si="22"/>
        <v>G</v>
      </c>
      <c r="BF20" s="28" t="str">
        <f t="shared" si="22"/>
        <v>I</v>
      </c>
      <c r="BG20" s="28" t="str">
        <f t="shared" si="22"/>
        <v>B</v>
      </c>
    </row>
    <row r="21" spans="1:59" ht="15" thickBot="1" x14ac:dyDescent="0.4">
      <c r="B21" s="23"/>
      <c r="C21" s="16"/>
      <c r="D21" s="17"/>
      <c r="E21" s="17" t="s">
        <v>388</v>
      </c>
      <c r="F21" s="18" t="str">
        <f t="shared" ref="F21:AE21" si="23">IF(F17=1,IF(CODE(F20)-CODE(F19)&lt;0,VLOOKUP((CODE(F20)-CODE(F19)+26)+(CODE(F16)-nCharOffset),nNum2Let,2,FALSE),VLOOKUP((CODE(F20)-CODE(F19))+(CODE(F16)-nCharOffset),nNum2Let,2,FALSE)),"")</f>
        <v>H</v>
      </c>
      <c r="G21" s="18" t="str">
        <f t="shared" si="23"/>
        <v>C</v>
      </c>
      <c r="H21" s="18" t="str">
        <f t="shared" si="23"/>
        <v>Z</v>
      </c>
      <c r="I21" s="18" t="str">
        <f t="shared" si="23"/>
        <v>M</v>
      </c>
      <c r="J21" s="18" t="str">
        <f t="shared" si="23"/>
        <v>R</v>
      </c>
      <c r="K21" s="18" t="str">
        <f t="shared" si="23"/>
        <v>V</v>
      </c>
      <c r="L21" s="18" t="str">
        <f t="shared" si="23"/>
        <v>J</v>
      </c>
      <c r="M21" s="18" t="str">
        <f t="shared" si="23"/>
        <v>P</v>
      </c>
      <c r="N21" s="18" t="str">
        <f t="shared" si="23"/>
        <v>K</v>
      </c>
      <c r="O21" s="18" t="str">
        <f t="shared" si="23"/>
        <v>S</v>
      </c>
      <c r="P21" s="18" t="str">
        <f t="shared" si="23"/>
        <v>U</v>
      </c>
      <c r="Q21" s="18" t="str">
        <f t="shared" si="23"/>
        <v>D</v>
      </c>
      <c r="R21" s="18" t="str">
        <f t="shared" si="23"/>
        <v>T</v>
      </c>
      <c r="S21" s="18" t="str">
        <f t="shared" si="23"/>
        <v>Q</v>
      </c>
      <c r="T21" s="18" t="str">
        <f t="shared" si="23"/>
        <v>O</v>
      </c>
      <c r="U21" s="18" t="str">
        <f t="shared" si="23"/>
        <v>L</v>
      </c>
      <c r="V21" s="18" t="str">
        <f t="shared" si="23"/>
        <v>W</v>
      </c>
      <c r="W21" s="18" t="str">
        <f t="shared" si="23"/>
        <v>E</v>
      </c>
      <c r="X21" s="18" t="str">
        <f t="shared" si="23"/>
        <v>X</v>
      </c>
      <c r="Y21" s="18" t="str">
        <f t="shared" si="23"/>
        <v>N</v>
      </c>
      <c r="Z21" s="18" t="str">
        <f t="shared" si="23"/>
        <v>Y</v>
      </c>
      <c r="AA21" s="18" t="str">
        <f t="shared" si="23"/>
        <v>F</v>
      </c>
      <c r="AB21" s="18" t="str">
        <f t="shared" si="23"/>
        <v>A</v>
      </c>
      <c r="AC21" s="18" t="str">
        <f t="shared" si="23"/>
        <v>G</v>
      </c>
      <c r="AD21" s="18" t="str">
        <f t="shared" si="23"/>
        <v>I</v>
      </c>
      <c r="AE21" s="18" t="str">
        <f t="shared" si="23"/>
        <v>B</v>
      </c>
      <c r="AF21" s="19" t="str">
        <f>CONCATENATE(F21,G21,H21,I21,J21,K21,L21,M21,N21,O21,P21,Q21,R21,S21,T21&amp;U21,V21,W21,X21,Y21,Z21,AA21,AB21,AC21,AD21,AE21)</f>
        <v>HCZMRVJPKSUDTQOLWEXNYFAGIB</v>
      </c>
      <c r="AH21" s="12" t="str">
        <f>F16&amp;F21</f>
        <v>AH</v>
      </c>
      <c r="AI21" s="12" t="str">
        <f t="shared" ref="AI21:BG21" si="24">G16&amp;G21</f>
        <v>BC</v>
      </c>
      <c r="AJ21" s="12" t="str">
        <f t="shared" si="24"/>
        <v>CZ</v>
      </c>
      <c r="AK21" s="12" t="str">
        <f t="shared" si="24"/>
        <v>DM</v>
      </c>
      <c r="AL21" s="12" t="str">
        <f t="shared" si="24"/>
        <v>ER</v>
      </c>
      <c r="AM21" s="12" t="str">
        <f t="shared" si="24"/>
        <v>FV</v>
      </c>
      <c r="AN21" s="12" t="str">
        <f t="shared" si="24"/>
        <v>GJ</v>
      </c>
      <c r="AO21" s="12" t="str">
        <f t="shared" si="24"/>
        <v>HP</v>
      </c>
      <c r="AP21" s="12" t="str">
        <f t="shared" si="24"/>
        <v>IK</v>
      </c>
      <c r="AQ21" s="12" t="str">
        <f t="shared" si="24"/>
        <v>JS</v>
      </c>
      <c r="AR21" s="12" t="str">
        <f t="shared" si="24"/>
        <v>KU</v>
      </c>
      <c r="AS21" s="12" t="str">
        <f t="shared" si="24"/>
        <v>LD</v>
      </c>
      <c r="AT21" s="12" t="str">
        <f t="shared" si="24"/>
        <v>MT</v>
      </c>
      <c r="AU21" s="12" t="str">
        <f t="shared" si="24"/>
        <v>NQ</v>
      </c>
      <c r="AV21" s="12" t="str">
        <f t="shared" si="24"/>
        <v>OO</v>
      </c>
      <c r="AW21" s="12" t="str">
        <f t="shared" si="24"/>
        <v>PL</v>
      </c>
      <c r="AX21" s="12" t="str">
        <f t="shared" si="24"/>
        <v>QW</v>
      </c>
      <c r="AY21" s="12" t="str">
        <f t="shared" si="24"/>
        <v>RE</v>
      </c>
      <c r="AZ21" s="12" t="str">
        <f t="shared" si="24"/>
        <v>SX</v>
      </c>
      <c r="BA21" s="12" t="str">
        <f t="shared" si="24"/>
        <v>TN</v>
      </c>
      <c r="BB21" s="12" t="str">
        <f t="shared" si="24"/>
        <v>UY</v>
      </c>
      <c r="BC21" s="12" t="str">
        <f t="shared" si="24"/>
        <v>VF</v>
      </c>
      <c r="BD21" s="12" t="str">
        <f t="shared" si="24"/>
        <v>WA</v>
      </c>
      <c r="BE21" s="12" t="str">
        <f t="shared" si="24"/>
        <v>XG</v>
      </c>
      <c r="BF21" s="12" t="str">
        <f t="shared" si="24"/>
        <v>YI</v>
      </c>
      <c r="BG21" s="12" t="str">
        <f t="shared" si="24"/>
        <v>ZB</v>
      </c>
    </row>
    <row r="22" spans="1:59" x14ac:dyDescent="0.35">
      <c r="B22" s="21"/>
      <c r="C22" s="5"/>
      <c r="D22" s="5"/>
      <c r="E22" s="5" t="s">
        <v>385</v>
      </c>
      <c r="F22" s="6" t="s">
        <v>0</v>
      </c>
      <c r="G22" s="6" t="s">
        <v>1</v>
      </c>
      <c r="H22" s="6" t="s">
        <v>2</v>
      </c>
      <c r="I22" s="6" t="s">
        <v>3</v>
      </c>
      <c r="J22" s="6" t="s">
        <v>4</v>
      </c>
      <c r="K22" s="6" t="s">
        <v>5</v>
      </c>
      <c r="L22" s="6" t="s">
        <v>6</v>
      </c>
      <c r="M22" s="6" t="s">
        <v>7</v>
      </c>
      <c r="N22" s="6" t="s">
        <v>8</v>
      </c>
      <c r="O22" s="6" t="s">
        <v>9</v>
      </c>
      <c r="P22" s="6" t="s">
        <v>10</v>
      </c>
      <c r="Q22" s="6" t="s">
        <v>11</v>
      </c>
      <c r="R22" s="6" t="s">
        <v>12</v>
      </c>
      <c r="S22" s="6" t="s">
        <v>13</v>
      </c>
      <c r="T22" s="6" t="s">
        <v>14</v>
      </c>
      <c r="U22" s="6" t="s">
        <v>15</v>
      </c>
      <c r="V22" s="6" t="s">
        <v>16</v>
      </c>
      <c r="W22" s="6" t="s">
        <v>17</v>
      </c>
      <c r="X22" s="6" t="s">
        <v>18</v>
      </c>
      <c r="Y22" s="6" t="s">
        <v>19</v>
      </c>
      <c r="Z22" s="6" t="s">
        <v>20</v>
      </c>
      <c r="AA22" s="6" t="s">
        <v>21</v>
      </c>
      <c r="AB22" s="6" t="s">
        <v>22</v>
      </c>
      <c r="AC22" s="6" t="s">
        <v>23</v>
      </c>
      <c r="AD22" s="6" t="s">
        <v>24</v>
      </c>
      <c r="AE22" s="6" t="s">
        <v>25</v>
      </c>
      <c r="AF22" s="7"/>
      <c r="AH22" s="28" t="str">
        <f>HLOOKUP(AH16,$AH19:$BG20,2,FALSE)</f>
        <v>V</v>
      </c>
      <c r="AI22" s="28" t="str">
        <f>HLOOKUP(AI16,$AH19:$BG20,2,FALSE)</f>
        <v>W</v>
      </c>
      <c r="AJ22" s="28" t="str">
        <f t="shared" ref="AJ22:BG22" si="25">HLOOKUP(AJ16,$AH19:$BG20,2,FALSE)</f>
        <v>A</v>
      </c>
      <c r="AK22" s="28" t="str">
        <f t="shared" si="25"/>
        <v>U</v>
      </c>
      <c r="AL22" s="28" t="str">
        <f t="shared" si="25"/>
        <v>E</v>
      </c>
      <c r="AM22" s="28" t="str">
        <f t="shared" si="25"/>
        <v>S</v>
      </c>
      <c r="AN22" s="28" t="str">
        <f t="shared" si="25"/>
        <v>J</v>
      </c>
      <c r="AO22" s="28" t="str">
        <f t="shared" si="25"/>
        <v>X</v>
      </c>
      <c r="AP22" s="28" t="str">
        <f t="shared" si="25"/>
        <v>M</v>
      </c>
      <c r="AQ22" s="28" t="str">
        <f t="shared" si="25"/>
        <v>K</v>
      </c>
      <c r="AR22" s="28" t="str">
        <f t="shared" si="25"/>
        <v>G</v>
      </c>
      <c r="AS22" s="28" t="str">
        <f t="shared" si="25"/>
        <v>P</v>
      </c>
      <c r="AT22" s="28" t="str">
        <f t="shared" si="25"/>
        <v>C</v>
      </c>
      <c r="AU22" s="28" t="str">
        <f t="shared" si="25"/>
        <v>I</v>
      </c>
      <c r="AV22" s="28" t="str">
        <f t="shared" si="25"/>
        <v>N</v>
      </c>
      <c r="AW22" s="28" t="str">
        <f t="shared" si="25"/>
        <v>L</v>
      </c>
      <c r="AX22" s="28" t="str">
        <f t="shared" si="25"/>
        <v>H</v>
      </c>
      <c r="AY22" s="28" t="str">
        <f t="shared" si="25"/>
        <v>O</v>
      </c>
      <c r="AZ22" s="28" t="str">
        <f t="shared" si="25"/>
        <v>T</v>
      </c>
      <c r="BA22" s="28" t="str">
        <f t="shared" si="25"/>
        <v>Y</v>
      </c>
      <c r="BB22" s="28" t="str">
        <f t="shared" si="25"/>
        <v>B</v>
      </c>
      <c r="BC22" s="28" t="str">
        <f t="shared" si="25"/>
        <v>D</v>
      </c>
      <c r="BD22" s="28" t="str">
        <f t="shared" si="25"/>
        <v>Q</v>
      </c>
      <c r="BE22" s="28" t="str">
        <f t="shared" si="25"/>
        <v>R</v>
      </c>
      <c r="BF22" s="28" t="str">
        <f t="shared" si="25"/>
        <v>F</v>
      </c>
      <c r="BG22" s="28" t="str">
        <f t="shared" si="25"/>
        <v>Z</v>
      </c>
    </row>
    <row r="23" spans="1:59" x14ac:dyDescent="0.35">
      <c r="B23" s="22" t="s">
        <v>26</v>
      </c>
      <c r="C23" s="41" t="str">
        <f>n_Reflector</f>
        <v>B</v>
      </c>
      <c r="D23" s="11" t="str">
        <f>"Wide"&amp;C23</f>
        <v>WideB</v>
      </c>
      <c r="F23" s="1">
        <f>IF(ISERROR(FIND(F22,$AF21)),0,1)</f>
        <v>1</v>
      </c>
      <c r="G23" s="1">
        <f t="shared" ref="G23:AE23" si="26">IF(ISERROR(FIND(G22,$AF21)),0,1)</f>
        <v>1</v>
      </c>
      <c r="H23" s="1">
        <f t="shared" si="26"/>
        <v>1</v>
      </c>
      <c r="I23" s="1">
        <f t="shared" si="26"/>
        <v>1</v>
      </c>
      <c r="J23" s="1">
        <f t="shared" si="26"/>
        <v>1</v>
      </c>
      <c r="K23" s="1">
        <f t="shared" si="26"/>
        <v>1</v>
      </c>
      <c r="L23" s="1">
        <f t="shared" si="26"/>
        <v>1</v>
      </c>
      <c r="M23" s="1">
        <f t="shared" si="26"/>
        <v>1</v>
      </c>
      <c r="N23" s="1">
        <f t="shared" si="26"/>
        <v>1</v>
      </c>
      <c r="O23" s="1">
        <f t="shared" si="26"/>
        <v>1</v>
      </c>
      <c r="P23" s="1">
        <f t="shared" si="26"/>
        <v>1</v>
      </c>
      <c r="Q23" s="1">
        <f t="shared" si="26"/>
        <v>1</v>
      </c>
      <c r="R23" s="1">
        <f t="shared" si="26"/>
        <v>1</v>
      </c>
      <c r="S23" s="1">
        <f t="shared" si="26"/>
        <v>1</v>
      </c>
      <c r="T23" s="1">
        <f t="shared" si="26"/>
        <v>1</v>
      </c>
      <c r="U23" s="1">
        <f t="shared" si="26"/>
        <v>1</v>
      </c>
      <c r="V23" s="1">
        <f t="shared" si="26"/>
        <v>1</v>
      </c>
      <c r="W23" s="1">
        <f t="shared" si="26"/>
        <v>1</v>
      </c>
      <c r="X23" s="1">
        <f t="shared" si="26"/>
        <v>1</v>
      </c>
      <c r="Y23" s="1">
        <f t="shared" si="26"/>
        <v>1</v>
      </c>
      <c r="Z23" s="1">
        <f t="shared" si="26"/>
        <v>1</v>
      </c>
      <c r="AA23" s="1">
        <f t="shared" si="26"/>
        <v>1</v>
      </c>
      <c r="AB23" s="1">
        <f t="shared" si="26"/>
        <v>1</v>
      </c>
      <c r="AC23" s="1">
        <f t="shared" si="26"/>
        <v>1</v>
      </c>
      <c r="AD23" s="1">
        <f t="shared" si="26"/>
        <v>1</v>
      </c>
      <c r="AE23" s="1">
        <f t="shared" si="26"/>
        <v>1</v>
      </c>
      <c r="AF23" s="10"/>
      <c r="AH23" s="28" t="str">
        <f>HLOOKUP(AH22,$AH25:$BG26,2,FALSE)</f>
        <v>W</v>
      </c>
      <c r="AI23" s="28" t="str">
        <f t="shared" ref="AI23:BG23" si="27">HLOOKUP(AI22,$AH25:$BG26,2,FALSE)</f>
        <v>V</v>
      </c>
      <c r="AJ23" s="28" t="str">
        <f t="shared" si="27"/>
        <v>Y</v>
      </c>
      <c r="AK23" s="28" t="str">
        <f t="shared" si="27"/>
        <v>C</v>
      </c>
      <c r="AL23" s="28" t="str">
        <f t="shared" si="27"/>
        <v>Q</v>
      </c>
      <c r="AM23" s="28" t="str">
        <f t="shared" si="27"/>
        <v>F</v>
      </c>
      <c r="AN23" s="28" t="str">
        <f t="shared" si="27"/>
        <v>X</v>
      </c>
      <c r="AO23" s="28" t="str">
        <f t="shared" si="27"/>
        <v>J</v>
      </c>
      <c r="AP23" s="28" t="str">
        <f t="shared" si="27"/>
        <v>O</v>
      </c>
      <c r="AQ23" s="28" t="str">
        <f t="shared" si="27"/>
        <v>N</v>
      </c>
      <c r="AR23" s="28" t="str">
        <f t="shared" si="27"/>
        <v>L</v>
      </c>
      <c r="AS23" s="28" t="str">
        <f t="shared" si="27"/>
        <v>I</v>
      </c>
      <c r="AT23" s="28" t="str">
        <f t="shared" si="27"/>
        <v>U</v>
      </c>
      <c r="AU23" s="28" t="str">
        <f t="shared" si="27"/>
        <v>P</v>
      </c>
      <c r="AV23" s="28" t="str">
        <f t="shared" si="27"/>
        <v>K</v>
      </c>
      <c r="AW23" s="28" t="str">
        <f t="shared" si="27"/>
        <v>G</v>
      </c>
      <c r="AX23" s="28" t="str">
        <f t="shared" si="27"/>
        <v>D</v>
      </c>
      <c r="AY23" s="28" t="str">
        <f t="shared" si="27"/>
        <v>M</v>
      </c>
      <c r="AZ23" s="28" t="str">
        <f t="shared" si="27"/>
        <v>Z</v>
      </c>
      <c r="BA23" s="28" t="str">
        <f t="shared" si="27"/>
        <v>A</v>
      </c>
      <c r="BB23" s="28" t="str">
        <f t="shared" si="27"/>
        <v>R</v>
      </c>
      <c r="BC23" s="28" t="str">
        <f t="shared" si="27"/>
        <v>H</v>
      </c>
      <c r="BD23" s="28" t="str">
        <f t="shared" si="27"/>
        <v>E</v>
      </c>
      <c r="BE23" s="28" t="str">
        <f t="shared" si="27"/>
        <v>B</v>
      </c>
      <c r="BF23" s="28" t="str">
        <f t="shared" si="27"/>
        <v>S</v>
      </c>
      <c r="BG23" s="28" t="str">
        <f t="shared" si="27"/>
        <v>T</v>
      </c>
    </row>
    <row r="24" spans="1:59" ht="15" thickBot="1" x14ac:dyDescent="0.4">
      <c r="B24" s="23"/>
      <c r="C24" s="17"/>
      <c r="D24" s="17"/>
      <c r="E24" s="17"/>
      <c r="F24" s="24" t="str">
        <f t="shared" ref="F24:AE24" si="28">IF(F23=1,VLOOKUP(nReflector&amp;"_"&amp;F22,nReflectorWide,4,FALSE),"")</f>
        <v>Y</v>
      </c>
      <c r="G24" s="24" t="str">
        <f t="shared" si="28"/>
        <v>R</v>
      </c>
      <c r="H24" s="24" t="str">
        <f t="shared" si="28"/>
        <v>U</v>
      </c>
      <c r="I24" s="24" t="str">
        <f t="shared" si="28"/>
        <v>H</v>
      </c>
      <c r="J24" s="24" t="str">
        <f t="shared" si="28"/>
        <v>Q</v>
      </c>
      <c r="K24" s="24" t="str">
        <f t="shared" si="28"/>
        <v>S</v>
      </c>
      <c r="L24" s="24" t="str">
        <f t="shared" si="28"/>
        <v>L</v>
      </c>
      <c r="M24" s="24" t="str">
        <f t="shared" si="28"/>
        <v>D</v>
      </c>
      <c r="N24" s="24" t="str">
        <f t="shared" si="28"/>
        <v>P</v>
      </c>
      <c r="O24" s="24" t="str">
        <f t="shared" si="28"/>
        <v>X</v>
      </c>
      <c r="P24" s="24" t="str">
        <f t="shared" si="28"/>
        <v>N</v>
      </c>
      <c r="Q24" s="24" t="str">
        <f t="shared" si="28"/>
        <v>G</v>
      </c>
      <c r="R24" s="24" t="str">
        <f t="shared" si="28"/>
        <v>O</v>
      </c>
      <c r="S24" s="24" t="str">
        <f t="shared" si="28"/>
        <v>K</v>
      </c>
      <c r="T24" s="24" t="str">
        <f t="shared" si="28"/>
        <v>M</v>
      </c>
      <c r="U24" s="24" t="str">
        <f t="shared" si="28"/>
        <v>I</v>
      </c>
      <c r="V24" s="24" t="str">
        <f t="shared" si="28"/>
        <v>E</v>
      </c>
      <c r="W24" s="24" t="str">
        <f t="shared" si="28"/>
        <v>B</v>
      </c>
      <c r="X24" s="24" t="str">
        <f t="shared" si="28"/>
        <v>F</v>
      </c>
      <c r="Y24" s="24" t="str">
        <f t="shared" si="28"/>
        <v>Z</v>
      </c>
      <c r="Z24" s="24" t="str">
        <f t="shared" si="28"/>
        <v>C</v>
      </c>
      <c r="AA24" s="24" t="str">
        <f t="shared" si="28"/>
        <v>W</v>
      </c>
      <c r="AB24" s="24" t="str">
        <f t="shared" si="28"/>
        <v>V</v>
      </c>
      <c r="AC24" s="24" t="str">
        <f t="shared" si="28"/>
        <v>J</v>
      </c>
      <c r="AD24" s="24" t="str">
        <f t="shared" si="28"/>
        <v>A</v>
      </c>
      <c r="AE24" s="24" t="str">
        <f t="shared" si="28"/>
        <v>T</v>
      </c>
      <c r="AF24" s="25" t="str">
        <f>CONCATENATE(F24,G24,H24,I24,J24,K24,L24,M24,N24,O24,P24,Q24,R24,S24,T24&amp;U24,V24,W24,X24,Y24,Z24,AA24,AB24,AC24,AD24,AE24)</f>
        <v>YRUHQSLDPXNGOKMIEBFZCWVJAT</v>
      </c>
      <c r="AH24" s="27" t="str">
        <f>F22&amp;F24</f>
        <v>AY</v>
      </c>
      <c r="AI24" s="27" t="str">
        <f t="shared" ref="AI24:BG24" si="29">G22&amp;G24</f>
        <v>BR</v>
      </c>
      <c r="AJ24" s="27" t="str">
        <f t="shared" si="29"/>
        <v>CU</v>
      </c>
      <c r="AK24" s="27" t="str">
        <f t="shared" si="29"/>
        <v>DH</v>
      </c>
      <c r="AL24" s="27" t="str">
        <f t="shared" si="29"/>
        <v>EQ</v>
      </c>
      <c r="AM24" s="27" t="str">
        <f t="shared" si="29"/>
        <v>FS</v>
      </c>
      <c r="AN24" s="27" t="str">
        <f t="shared" si="29"/>
        <v>GL</v>
      </c>
      <c r="AO24" s="27" t="str">
        <f t="shared" si="29"/>
        <v>HD</v>
      </c>
      <c r="AP24" s="27" t="str">
        <f t="shared" si="29"/>
        <v>IP</v>
      </c>
      <c r="AQ24" s="27" t="str">
        <f t="shared" si="29"/>
        <v>JX</v>
      </c>
      <c r="AR24" s="27" t="str">
        <f t="shared" si="29"/>
        <v>KN</v>
      </c>
      <c r="AS24" s="27" t="str">
        <f t="shared" si="29"/>
        <v>LG</v>
      </c>
      <c r="AT24" s="27" t="str">
        <f t="shared" si="29"/>
        <v>MO</v>
      </c>
      <c r="AU24" s="27" t="str">
        <f t="shared" si="29"/>
        <v>NK</v>
      </c>
      <c r="AV24" s="27" t="str">
        <f t="shared" si="29"/>
        <v>OM</v>
      </c>
      <c r="AW24" s="27" t="str">
        <f t="shared" si="29"/>
        <v>PI</v>
      </c>
      <c r="AX24" s="27" t="str">
        <f t="shared" si="29"/>
        <v>QE</v>
      </c>
      <c r="AY24" s="27" t="str">
        <f t="shared" si="29"/>
        <v>RB</v>
      </c>
      <c r="AZ24" s="27" t="str">
        <f t="shared" si="29"/>
        <v>SF</v>
      </c>
      <c r="BA24" s="27" t="str">
        <f t="shared" si="29"/>
        <v>TZ</v>
      </c>
      <c r="BB24" s="27" t="str">
        <f t="shared" si="29"/>
        <v>UC</v>
      </c>
      <c r="BC24" s="27" t="str">
        <f t="shared" si="29"/>
        <v>VW</v>
      </c>
      <c r="BD24" s="27" t="str">
        <f t="shared" si="29"/>
        <v>WV</v>
      </c>
      <c r="BE24" s="27" t="str">
        <f t="shared" si="29"/>
        <v>XJ</v>
      </c>
      <c r="BF24" s="27" t="str">
        <f t="shared" si="29"/>
        <v>YA</v>
      </c>
      <c r="BG24" s="27" t="str">
        <f t="shared" si="29"/>
        <v>ZT</v>
      </c>
    </row>
    <row r="25" spans="1:59" x14ac:dyDescent="0.35">
      <c r="B25" s="21"/>
      <c r="C25" s="4"/>
      <c r="D25" s="5"/>
      <c r="E25" s="5" t="s">
        <v>385</v>
      </c>
      <c r="F25" s="6" t="s">
        <v>0</v>
      </c>
      <c r="G25" s="6" t="s">
        <v>1</v>
      </c>
      <c r="H25" s="6" t="s">
        <v>2</v>
      </c>
      <c r="I25" s="6" t="s">
        <v>3</v>
      </c>
      <c r="J25" s="6" t="s">
        <v>4</v>
      </c>
      <c r="K25" s="6" t="s">
        <v>5</v>
      </c>
      <c r="L25" s="6" t="s">
        <v>6</v>
      </c>
      <c r="M25" s="6" t="s">
        <v>7</v>
      </c>
      <c r="N25" s="6" t="s">
        <v>8</v>
      </c>
      <c r="O25" s="6" t="s">
        <v>9</v>
      </c>
      <c r="P25" s="6" t="s">
        <v>10</v>
      </c>
      <c r="Q25" s="6" t="s">
        <v>11</v>
      </c>
      <c r="R25" s="6" t="s">
        <v>12</v>
      </c>
      <c r="S25" s="6" t="s">
        <v>13</v>
      </c>
      <c r="T25" s="6" t="s">
        <v>14</v>
      </c>
      <c r="U25" s="6" t="s">
        <v>15</v>
      </c>
      <c r="V25" s="6" t="s">
        <v>16</v>
      </c>
      <c r="W25" s="6" t="s">
        <v>17</v>
      </c>
      <c r="X25" s="6" t="s">
        <v>18</v>
      </c>
      <c r="Y25" s="6" t="s">
        <v>19</v>
      </c>
      <c r="Z25" s="6" t="s">
        <v>20</v>
      </c>
      <c r="AA25" s="6" t="s">
        <v>21</v>
      </c>
      <c r="AB25" s="6" t="s">
        <v>22</v>
      </c>
      <c r="AC25" s="6" t="s">
        <v>23</v>
      </c>
      <c r="AD25" s="6" t="s">
        <v>24</v>
      </c>
      <c r="AE25" s="6" t="s">
        <v>25</v>
      </c>
      <c r="AF25" s="7"/>
      <c r="AH25" s="28" t="str">
        <f>IF(LEN(AH24)=2,LEFT(AH24,1),"")</f>
        <v>A</v>
      </c>
      <c r="AI25" s="28" t="str">
        <f t="shared" ref="AI25:BG25" si="30">IF(LEN(AI24)=2,LEFT(AI24,1),"")</f>
        <v>B</v>
      </c>
      <c r="AJ25" s="28" t="str">
        <f t="shared" si="30"/>
        <v>C</v>
      </c>
      <c r="AK25" s="28" t="str">
        <f t="shared" si="30"/>
        <v>D</v>
      </c>
      <c r="AL25" s="28" t="str">
        <f t="shared" si="30"/>
        <v>E</v>
      </c>
      <c r="AM25" s="28" t="str">
        <f t="shared" si="30"/>
        <v>F</v>
      </c>
      <c r="AN25" s="28" t="str">
        <f t="shared" si="30"/>
        <v>G</v>
      </c>
      <c r="AO25" s="28" t="str">
        <f t="shared" si="30"/>
        <v>H</v>
      </c>
      <c r="AP25" s="28" t="str">
        <f t="shared" si="30"/>
        <v>I</v>
      </c>
      <c r="AQ25" s="28" t="str">
        <f t="shared" si="30"/>
        <v>J</v>
      </c>
      <c r="AR25" s="28" t="str">
        <f t="shared" si="30"/>
        <v>K</v>
      </c>
      <c r="AS25" s="28" t="str">
        <f t="shared" si="30"/>
        <v>L</v>
      </c>
      <c r="AT25" s="28" t="str">
        <f t="shared" si="30"/>
        <v>M</v>
      </c>
      <c r="AU25" s="28" t="str">
        <f t="shared" si="30"/>
        <v>N</v>
      </c>
      <c r="AV25" s="28" t="str">
        <f t="shared" si="30"/>
        <v>O</v>
      </c>
      <c r="AW25" s="28" t="str">
        <f t="shared" si="30"/>
        <v>P</v>
      </c>
      <c r="AX25" s="28" t="str">
        <f t="shared" si="30"/>
        <v>Q</v>
      </c>
      <c r="AY25" s="28" t="str">
        <f t="shared" si="30"/>
        <v>R</v>
      </c>
      <c r="AZ25" s="28" t="str">
        <f t="shared" si="30"/>
        <v>S</v>
      </c>
      <c r="BA25" s="28" t="str">
        <f t="shared" si="30"/>
        <v>T</v>
      </c>
      <c r="BB25" s="28" t="str">
        <f t="shared" si="30"/>
        <v>U</v>
      </c>
      <c r="BC25" s="28" t="str">
        <f t="shared" si="30"/>
        <v>V</v>
      </c>
      <c r="BD25" s="28" t="str">
        <f t="shared" si="30"/>
        <v>W</v>
      </c>
      <c r="BE25" s="28" t="str">
        <f t="shared" si="30"/>
        <v>X</v>
      </c>
      <c r="BF25" s="28" t="str">
        <f t="shared" si="30"/>
        <v>Y</v>
      </c>
      <c r="BG25" s="28" t="str">
        <f t="shared" si="30"/>
        <v>Z</v>
      </c>
    </row>
    <row r="26" spans="1:59" x14ac:dyDescent="0.35">
      <c r="B26" s="22"/>
      <c r="C26" s="8"/>
      <c r="F26" s="1">
        <f t="shared" ref="F26:AE26" si="31">IF(ISERROR(FIND(F25,$AF24)),0,1)</f>
        <v>1</v>
      </c>
      <c r="G26" s="1">
        <f t="shared" si="31"/>
        <v>1</v>
      </c>
      <c r="H26" s="1">
        <f t="shared" si="31"/>
        <v>1</v>
      </c>
      <c r="I26" s="1">
        <f t="shared" si="31"/>
        <v>1</v>
      </c>
      <c r="J26" s="1">
        <f t="shared" si="31"/>
        <v>1</v>
      </c>
      <c r="K26" s="1">
        <f t="shared" si="31"/>
        <v>1</v>
      </c>
      <c r="L26" s="1">
        <f t="shared" si="31"/>
        <v>1</v>
      </c>
      <c r="M26" s="1">
        <f t="shared" si="31"/>
        <v>1</v>
      </c>
      <c r="N26" s="1">
        <f t="shared" si="31"/>
        <v>1</v>
      </c>
      <c r="O26" s="1">
        <f t="shared" si="31"/>
        <v>1</v>
      </c>
      <c r="P26" s="1">
        <f t="shared" si="31"/>
        <v>1</v>
      </c>
      <c r="Q26" s="1">
        <f t="shared" si="31"/>
        <v>1</v>
      </c>
      <c r="R26" s="1">
        <f t="shared" si="31"/>
        <v>1</v>
      </c>
      <c r="S26" s="1">
        <f t="shared" si="31"/>
        <v>1</v>
      </c>
      <c r="T26" s="1">
        <f t="shared" si="31"/>
        <v>1</v>
      </c>
      <c r="U26" s="1">
        <f t="shared" si="31"/>
        <v>1</v>
      </c>
      <c r="V26" s="1">
        <f t="shared" si="31"/>
        <v>1</v>
      </c>
      <c r="W26" s="1">
        <f t="shared" si="31"/>
        <v>1</v>
      </c>
      <c r="X26" s="1">
        <f t="shared" si="31"/>
        <v>1</v>
      </c>
      <c r="Y26" s="1">
        <f t="shared" si="31"/>
        <v>1</v>
      </c>
      <c r="Z26" s="1">
        <f t="shared" si="31"/>
        <v>1</v>
      </c>
      <c r="AA26" s="1">
        <f t="shared" si="31"/>
        <v>1</v>
      </c>
      <c r="AB26" s="1">
        <f t="shared" si="31"/>
        <v>1</v>
      </c>
      <c r="AC26" s="1">
        <f t="shared" si="31"/>
        <v>1</v>
      </c>
      <c r="AD26" s="1">
        <f t="shared" si="31"/>
        <v>1</v>
      </c>
      <c r="AE26" s="1">
        <f t="shared" si="31"/>
        <v>1</v>
      </c>
      <c r="AF26" s="10"/>
      <c r="AH26" s="28" t="str">
        <f>IF(LEN(AH24)=2,RIGHT(AH24,1),"")</f>
        <v>Y</v>
      </c>
      <c r="AI26" s="28" t="str">
        <f t="shared" ref="AI26:BG26" si="32">IF(LEN(AI24)=2,RIGHT(AI24,1),"")</f>
        <v>R</v>
      </c>
      <c r="AJ26" s="28" t="str">
        <f t="shared" si="32"/>
        <v>U</v>
      </c>
      <c r="AK26" s="28" t="str">
        <f t="shared" si="32"/>
        <v>H</v>
      </c>
      <c r="AL26" s="28" t="str">
        <f t="shared" si="32"/>
        <v>Q</v>
      </c>
      <c r="AM26" s="28" t="str">
        <f t="shared" si="32"/>
        <v>S</v>
      </c>
      <c r="AN26" s="28" t="str">
        <f t="shared" si="32"/>
        <v>L</v>
      </c>
      <c r="AO26" s="28" t="str">
        <f t="shared" si="32"/>
        <v>D</v>
      </c>
      <c r="AP26" s="28" t="str">
        <f t="shared" si="32"/>
        <v>P</v>
      </c>
      <c r="AQ26" s="28" t="str">
        <f t="shared" si="32"/>
        <v>X</v>
      </c>
      <c r="AR26" s="28" t="str">
        <f t="shared" si="32"/>
        <v>N</v>
      </c>
      <c r="AS26" s="28" t="str">
        <f t="shared" si="32"/>
        <v>G</v>
      </c>
      <c r="AT26" s="28" t="str">
        <f t="shared" si="32"/>
        <v>O</v>
      </c>
      <c r="AU26" s="28" t="str">
        <f t="shared" si="32"/>
        <v>K</v>
      </c>
      <c r="AV26" s="28" t="str">
        <f t="shared" si="32"/>
        <v>M</v>
      </c>
      <c r="AW26" s="28" t="str">
        <f t="shared" si="32"/>
        <v>I</v>
      </c>
      <c r="AX26" s="28" t="str">
        <f t="shared" si="32"/>
        <v>E</v>
      </c>
      <c r="AY26" s="28" t="str">
        <f t="shared" si="32"/>
        <v>B</v>
      </c>
      <c r="AZ26" s="28" t="str">
        <f t="shared" si="32"/>
        <v>F</v>
      </c>
      <c r="BA26" s="28" t="str">
        <f t="shared" si="32"/>
        <v>Z</v>
      </c>
      <c r="BB26" s="28" t="str">
        <f t="shared" si="32"/>
        <v>C</v>
      </c>
      <c r="BC26" s="28" t="str">
        <f t="shared" si="32"/>
        <v>W</v>
      </c>
      <c r="BD26" s="28" t="str">
        <f t="shared" si="32"/>
        <v>V</v>
      </c>
      <c r="BE26" s="28" t="str">
        <f t="shared" si="32"/>
        <v>J</v>
      </c>
      <c r="BF26" s="28" t="str">
        <f t="shared" si="32"/>
        <v>A</v>
      </c>
      <c r="BG26" s="28" t="str">
        <f t="shared" si="32"/>
        <v>T</v>
      </c>
    </row>
    <row r="27" spans="1:59" x14ac:dyDescent="0.35">
      <c r="B27" s="22" t="s">
        <v>382</v>
      </c>
      <c r="C27" s="26" t="str">
        <f>"R"&amp;C18</f>
        <v>R1</v>
      </c>
      <c r="D27" s="11">
        <f>D18</f>
        <v>5</v>
      </c>
      <c r="E27" s="11">
        <f>E18</f>
        <v>5</v>
      </c>
      <c r="F27" s="12" t="str">
        <f>F18</f>
        <v>E</v>
      </c>
      <c r="G27" s="13" t="str">
        <f t="shared" ref="G27:AE27" si="33">VLOOKUP(F27,nNextLetter,2,FALSE)</f>
        <v>F</v>
      </c>
      <c r="H27" s="13" t="str">
        <f t="shared" si="33"/>
        <v>G</v>
      </c>
      <c r="I27" s="13" t="str">
        <f t="shared" si="33"/>
        <v>H</v>
      </c>
      <c r="J27" s="13" t="str">
        <f t="shared" si="33"/>
        <v>I</v>
      </c>
      <c r="K27" s="13" t="str">
        <f t="shared" si="33"/>
        <v>J</v>
      </c>
      <c r="L27" s="13" t="str">
        <f t="shared" si="33"/>
        <v>K</v>
      </c>
      <c r="M27" s="13" t="str">
        <f t="shared" si="33"/>
        <v>L</v>
      </c>
      <c r="N27" s="13" t="str">
        <f t="shared" si="33"/>
        <v>M</v>
      </c>
      <c r="O27" s="13" t="str">
        <f t="shared" si="33"/>
        <v>N</v>
      </c>
      <c r="P27" s="13" t="str">
        <f t="shared" si="33"/>
        <v>O</v>
      </c>
      <c r="Q27" s="13" t="str">
        <f t="shared" si="33"/>
        <v>P</v>
      </c>
      <c r="R27" s="13" t="str">
        <f t="shared" si="33"/>
        <v>Q</v>
      </c>
      <c r="S27" s="13" t="str">
        <f t="shared" si="33"/>
        <v>R</v>
      </c>
      <c r="T27" s="13" t="str">
        <f t="shared" si="33"/>
        <v>S</v>
      </c>
      <c r="U27" s="13" t="str">
        <f t="shared" si="33"/>
        <v>T</v>
      </c>
      <c r="V27" s="13" t="str">
        <f t="shared" si="33"/>
        <v>U</v>
      </c>
      <c r="W27" s="13" t="str">
        <f t="shared" si="33"/>
        <v>V</v>
      </c>
      <c r="X27" s="13" t="str">
        <f t="shared" si="33"/>
        <v>W</v>
      </c>
      <c r="Y27" s="13" t="str">
        <f t="shared" si="33"/>
        <v>X</v>
      </c>
      <c r="Z27" s="13" t="str">
        <f t="shared" si="33"/>
        <v>Y</v>
      </c>
      <c r="AA27" s="13" t="str">
        <f t="shared" si="33"/>
        <v>Z</v>
      </c>
      <c r="AB27" s="13" t="str">
        <f t="shared" si="33"/>
        <v>A</v>
      </c>
      <c r="AC27" s="13" t="str">
        <f t="shared" si="33"/>
        <v>B</v>
      </c>
      <c r="AD27" s="13" t="str">
        <f t="shared" si="33"/>
        <v>C</v>
      </c>
      <c r="AE27" s="13" t="str">
        <f t="shared" si="33"/>
        <v>D</v>
      </c>
      <c r="AF27" s="10"/>
    </row>
    <row r="28" spans="1:59" x14ac:dyDescent="0.35">
      <c r="B28" s="22"/>
      <c r="C28" s="8"/>
      <c r="E28" t="s">
        <v>386</v>
      </c>
      <c r="F28" s="14" t="str">
        <f t="shared" ref="F28:AE28" si="34">IF(F26=1,VLOOKUP(nCurPosL+nRingOffsetL+(CODE(F25)-nCharOffset)-1,nNum2Let,2,FALSE),"")</f>
        <v>E</v>
      </c>
      <c r="G28" s="14" t="str">
        <f t="shared" si="34"/>
        <v>F</v>
      </c>
      <c r="H28" s="14" t="str">
        <f t="shared" si="34"/>
        <v>G</v>
      </c>
      <c r="I28" s="14" t="str">
        <f t="shared" si="34"/>
        <v>H</v>
      </c>
      <c r="J28" s="14" t="str">
        <f t="shared" si="34"/>
        <v>I</v>
      </c>
      <c r="K28" s="14" t="str">
        <f t="shared" si="34"/>
        <v>J</v>
      </c>
      <c r="L28" s="14" t="str">
        <f t="shared" si="34"/>
        <v>K</v>
      </c>
      <c r="M28" s="14" t="str">
        <f t="shared" si="34"/>
        <v>L</v>
      </c>
      <c r="N28" s="14" t="str">
        <f t="shared" si="34"/>
        <v>M</v>
      </c>
      <c r="O28" s="14" t="str">
        <f t="shared" si="34"/>
        <v>N</v>
      </c>
      <c r="P28" s="14" t="str">
        <f t="shared" si="34"/>
        <v>O</v>
      </c>
      <c r="Q28" s="14" t="str">
        <f t="shared" si="34"/>
        <v>P</v>
      </c>
      <c r="R28" s="14" t="str">
        <f t="shared" si="34"/>
        <v>Q</v>
      </c>
      <c r="S28" s="14" t="str">
        <f t="shared" si="34"/>
        <v>R</v>
      </c>
      <c r="T28" s="14" t="str">
        <f t="shared" si="34"/>
        <v>S</v>
      </c>
      <c r="U28" s="14" t="str">
        <f t="shared" si="34"/>
        <v>T</v>
      </c>
      <c r="V28" s="14" t="str">
        <f t="shared" si="34"/>
        <v>U</v>
      </c>
      <c r="W28" s="14" t="str">
        <f t="shared" si="34"/>
        <v>V</v>
      </c>
      <c r="X28" s="14" t="str">
        <f t="shared" si="34"/>
        <v>W</v>
      </c>
      <c r="Y28" s="14" t="str">
        <f t="shared" si="34"/>
        <v>X</v>
      </c>
      <c r="Z28" s="14" t="str">
        <f t="shared" si="34"/>
        <v>Y</v>
      </c>
      <c r="AA28" s="14" t="str">
        <f t="shared" si="34"/>
        <v>Z</v>
      </c>
      <c r="AB28" s="14" t="str">
        <f t="shared" si="34"/>
        <v>A</v>
      </c>
      <c r="AC28" s="14" t="str">
        <f t="shared" si="34"/>
        <v>B</v>
      </c>
      <c r="AD28" s="14" t="str">
        <f t="shared" si="34"/>
        <v>C</v>
      </c>
      <c r="AE28" s="14" t="str">
        <f t="shared" si="34"/>
        <v>D</v>
      </c>
      <c r="AF28" s="10"/>
      <c r="AH28" s="28" t="str">
        <f t="shared" ref="AH28:BG28" si="35">IF(LEN(AH30)=2,LEFT(AH30,1),"")</f>
        <v>A</v>
      </c>
      <c r="AI28" s="28" t="str">
        <f t="shared" si="35"/>
        <v>B</v>
      </c>
      <c r="AJ28" s="28" t="str">
        <f t="shared" si="35"/>
        <v>C</v>
      </c>
      <c r="AK28" s="28" t="str">
        <f t="shared" si="35"/>
        <v>D</v>
      </c>
      <c r="AL28" s="28" t="str">
        <f t="shared" si="35"/>
        <v>E</v>
      </c>
      <c r="AM28" s="28" t="str">
        <f t="shared" si="35"/>
        <v>F</v>
      </c>
      <c r="AN28" s="28" t="str">
        <f t="shared" si="35"/>
        <v>G</v>
      </c>
      <c r="AO28" s="28" t="str">
        <f t="shared" si="35"/>
        <v>H</v>
      </c>
      <c r="AP28" s="28" t="str">
        <f t="shared" si="35"/>
        <v>I</v>
      </c>
      <c r="AQ28" s="28" t="str">
        <f t="shared" si="35"/>
        <v>J</v>
      </c>
      <c r="AR28" s="28" t="str">
        <f t="shared" si="35"/>
        <v>K</v>
      </c>
      <c r="AS28" s="28" t="str">
        <f t="shared" si="35"/>
        <v>L</v>
      </c>
      <c r="AT28" s="28" t="str">
        <f t="shared" si="35"/>
        <v>M</v>
      </c>
      <c r="AU28" s="28" t="str">
        <f t="shared" si="35"/>
        <v>N</v>
      </c>
      <c r="AV28" s="28" t="str">
        <f t="shared" si="35"/>
        <v>O</v>
      </c>
      <c r="AW28" s="28" t="str">
        <f t="shared" si="35"/>
        <v>P</v>
      </c>
      <c r="AX28" s="28" t="str">
        <f t="shared" si="35"/>
        <v>Q</v>
      </c>
      <c r="AY28" s="28" t="str">
        <f t="shared" si="35"/>
        <v>R</v>
      </c>
      <c r="AZ28" s="28" t="str">
        <f t="shared" si="35"/>
        <v>S</v>
      </c>
      <c r="BA28" s="28" t="str">
        <f t="shared" si="35"/>
        <v>T</v>
      </c>
      <c r="BB28" s="28" t="str">
        <f t="shared" si="35"/>
        <v>U</v>
      </c>
      <c r="BC28" s="28" t="str">
        <f t="shared" si="35"/>
        <v>V</v>
      </c>
      <c r="BD28" s="28" t="str">
        <f t="shared" si="35"/>
        <v>W</v>
      </c>
      <c r="BE28" s="28" t="str">
        <f t="shared" si="35"/>
        <v>X</v>
      </c>
      <c r="BF28" s="28" t="str">
        <f t="shared" si="35"/>
        <v>Y</v>
      </c>
      <c r="BG28" s="28" t="str">
        <f t="shared" si="35"/>
        <v>Z</v>
      </c>
    </row>
    <row r="29" spans="1:59" x14ac:dyDescent="0.35">
      <c r="B29" s="22"/>
      <c r="C29" s="8"/>
      <c r="E29" t="s">
        <v>387</v>
      </c>
      <c r="F29" s="15" t="str">
        <f t="shared" ref="F29:AE29" si="36">IF(F26=1,VLOOKUP(nRotorL_Rev&amp;F28,nRotorRev,4,FALSE),"")</f>
        <v>A</v>
      </c>
      <c r="G29" s="15" t="str">
        <f t="shared" si="36"/>
        <v>D</v>
      </c>
      <c r="H29" s="15" t="str">
        <f t="shared" si="36"/>
        <v>F</v>
      </c>
      <c r="I29" s="15" t="str">
        <f t="shared" si="36"/>
        <v>P</v>
      </c>
      <c r="J29" s="15" t="str">
        <f t="shared" si="36"/>
        <v>V</v>
      </c>
      <c r="K29" s="15" t="str">
        <f t="shared" si="36"/>
        <v>Z</v>
      </c>
      <c r="L29" s="15" t="str">
        <f t="shared" si="36"/>
        <v>B</v>
      </c>
      <c r="M29" s="15" t="str">
        <f t="shared" si="36"/>
        <v>E</v>
      </c>
      <c r="N29" s="15" t="str">
        <f t="shared" si="36"/>
        <v>C</v>
      </c>
      <c r="O29" s="15" t="str">
        <f t="shared" si="36"/>
        <v>K</v>
      </c>
      <c r="P29" s="15" t="str">
        <f t="shared" si="36"/>
        <v>M</v>
      </c>
      <c r="Q29" s="15" t="str">
        <f t="shared" si="36"/>
        <v>T</v>
      </c>
      <c r="R29" s="15" t="str">
        <f t="shared" si="36"/>
        <v>H</v>
      </c>
      <c r="S29" s="15" t="str">
        <f t="shared" si="36"/>
        <v>X</v>
      </c>
      <c r="T29" s="15" t="str">
        <f t="shared" si="36"/>
        <v>S</v>
      </c>
      <c r="U29" s="15" t="str">
        <f t="shared" si="36"/>
        <v>L</v>
      </c>
      <c r="V29" s="15" t="str">
        <f t="shared" si="36"/>
        <v>R</v>
      </c>
      <c r="W29" s="15" t="str">
        <f t="shared" si="36"/>
        <v>I</v>
      </c>
      <c r="X29" s="15" t="str">
        <f t="shared" si="36"/>
        <v>N</v>
      </c>
      <c r="Y29" s="15" t="str">
        <f t="shared" si="36"/>
        <v>Q</v>
      </c>
      <c r="Z29" s="15" t="str">
        <f t="shared" si="36"/>
        <v>O</v>
      </c>
      <c r="AA29" s="15" t="str">
        <f t="shared" si="36"/>
        <v>J</v>
      </c>
      <c r="AB29" s="15" t="str">
        <f t="shared" si="36"/>
        <v>U</v>
      </c>
      <c r="AC29" s="15" t="str">
        <f t="shared" si="36"/>
        <v>W</v>
      </c>
      <c r="AD29" s="15" t="str">
        <f t="shared" si="36"/>
        <v>Y</v>
      </c>
      <c r="AE29" s="15" t="str">
        <f t="shared" si="36"/>
        <v>G</v>
      </c>
      <c r="AF29" s="10"/>
      <c r="AH29" s="28" t="str">
        <f t="shared" ref="AH29:BG29" si="37">IF(LEN(AH30)=2,RIGHT(AH30,1),"")</f>
        <v>W</v>
      </c>
      <c r="AI29" s="28" t="str">
        <f t="shared" si="37"/>
        <v>Z</v>
      </c>
      <c r="AJ29" s="28" t="str">
        <f t="shared" si="37"/>
        <v>B</v>
      </c>
      <c r="AK29" s="28" t="str">
        <f t="shared" si="37"/>
        <v>L</v>
      </c>
      <c r="AL29" s="28" t="str">
        <f t="shared" si="37"/>
        <v>R</v>
      </c>
      <c r="AM29" s="28" t="str">
        <f t="shared" si="37"/>
        <v>V</v>
      </c>
      <c r="AN29" s="28" t="str">
        <f t="shared" si="37"/>
        <v>X</v>
      </c>
      <c r="AO29" s="28" t="str">
        <f t="shared" si="37"/>
        <v>A</v>
      </c>
      <c r="AP29" s="28" t="str">
        <f t="shared" si="37"/>
        <v>Y</v>
      </c>
      <c r="AQ29" s="28" t="str">
        <f t="shared" si="37"/>
        <v>G</v>
      </c>
      <c r="AR29" s="28" t="str">
        <f t="shared" si="37"/>
        <v>I</v>
      </c>
      <c r="AS29" s="28" t="str">
        <f t="shared" si="37"/>
        <v>P</v>
      </c>
      <c r="AT29" s="28" t="str">
        <f t="shared" si="37"/>
        <v>D</v>
      </c>
      <c r="AU29" s="28" t="str">
        <f t="shared" si="37"/>
        <v>T</v>
      </c>
      <c r="AV29" s="28" t="str">
        <f t="shared" si="37"/>
        <v>O</v>
      </c>
      <c r="AW29" s="28" t="str">
        <f t="shared" si="37"/>
        <v>H</v>
      </c>
      <c r="AX29" s="28" t="str">
        <f t="shared" si="37"/>
        <v>N</v>
      </c>
      <c r="AY29" s="28" t="str">
        <f t="shared" si="37"/>
        <v>E</v>
      </c>
      <c r="AZ29" s="28" t="str">
        <f t="shared" si="37"/>
        <v>J</v>
      </c>
      <c r="BA29" s="28" t="str">
        <f t="shared" si="37"/>
        <v>M</v>
      </c>
      <c r="BB29" s="28" t="str">
        <f t="shared" si="37"/>
        <v>K</v>
      </c>
      <c r="BC29" s="28" t="str">
        <f t="shared" si="37"/>
        <v>F</v>
      </c>
      <c r="BD29" s="28" t="str">
        <f t="shared" si="37"/>
        <v>Q</v>
      </c>
      <c r="BE29" s="28" t="str">
        <f t="shared" si="37"/>
        <v>S</v>
      </c>
      <c r="BF29" s="28" t="str">
        <f t="shared" si="37"/>
        <v>U</v>
      </c>
      <c r="BG29" s="28" t="str">
        <f t="shared" si="37"/>
        <v>C</v>
      </c>
    </row>
    <row r="30" spans="1:59" ht="15" thickBot="1" x14ac:dyDescent="0.4">
      <c r="B30" s="23"/>
      <c r="C30" s="16"/>
      <c r="D30" s="17"/>
      <c r="E30" s="17" t="s">
        <v>388</v>
      </c>
      <c r="F30" s="18" t="str">
        <f t="shared" ref="F30:AE30" si="38">IF(F26=1,IF(CODE(F29)-CODE(F28)&lt;0,VLOOKUP((CODE(F29)-CODE(F28)+26)+(CODE(F25)-nCharOffset),nNum2Let,2,FALSE),VLOOKUP((CODE(F29)-CODE(F28))+(CODE(F25)-nCharOffset),nNum2Let,2,FALSE)),"")</f>
        <v>W</v>
      </c>
      <c r="G30" s="18" t="str">
        <f t="shared" si="38"/>
        <v>Z</v>
      </c>
      <c r="H30" s="18" t="str">
        <f t="shared" si="38"/>
        <v>B</v>
      </c>
      <c r="I30" s="18" t="str">
        <f t="shared" si="38"/>
        <v>L</v>
      </c>
      <c r="J30" s="18" t="str">
        <f t="shared" si="38"/>
        <v>R</v>
      </c>
      <c r="K30" s="18" t="str">
        <f t="shared" si="38"/>
        <v>V</v>
      </c>
      <c r="L30" s="18" t="str">
        <f t="shared" si="38"/>
        <v>X</v>
      </c>
      <c r="M30" s="18" t="str">
        <f t="shared" si="38"/>
        <v>A</v>
      </c>
      <c r="N30" s="18" t="str">
        <f t="shared" si="38"/>
        <v>Y</v>
      </c>
      <c r="O30" s="18" t="str">
        <f t="shared" si="38"/>
        <v>G</v>
      </c>
      <c r="P30" s="18" t="str">
        <f t="shared" si="38"/>
        <v>I</v>
      </c>
      <c r="Q30" s="18" t="str">
        <f t="shared" si="38"/>
        <v>P</v>
      </c>
      <c r="R30" s="18" t="str">
        <f t="shared" si="38"/>
        <v>D</v>
      </c>
      <c r="S30" s="18" t="str">
        <f t="shared" si="38"/>
        <v>T</v>
      </c>
      <c r="T30" s="18" t="str">
        <f t="shared" si="38"/>
        <v>O</v>
      </c>
      <c r="U30" s="18" t="str">
        <f t="shared" si="38"/>
        <v>H</v>
      </c>
      <c r="V30" s="18" t="str">
        <f t="shared" si="38"/>
        <v>N</v>
      </c>
      <c r="W30" s="18" t="str">
        <f t="shared" si="38"/>
        <v>E</v>
      </c>
      <c r="X30" s="18" t="str">
        <f t="shared" si="38"/>
        <v>J</v>
      </c>
      <c r="Y30" s="18" t="str">
        <f t="shared" si="38"/>
        <v>M</v>
      </c>
      <c r="Z30" s="18" t="str">
        <f t="shared" si="38"/>
        <v>K</v>
      </c>
      <c r="AA30" s="18" t="str">
        <f t="shared" si="38"/>
        <v>F</v>
      </c>
      <c r="AB30" s="18" t="str">
        <f t="shared" si="38"/>
        <v>Q</v>
      </c>
      <c r="AC30" s="18" t="str">
        <f t="shared" si="38"/>
        <v>S</v>
      </c>
      <c r="AD30" s="18" t="str">
        <f t="shared" si="38"/>
        <v>U</v>
      </c>
      <c r="AE30" s="18" t="str">
        <f t="shared" si="38"/>
        <v>C</v>
      </c>
      <c r="AF30" s="19" t="str">
        <f>CONCATENATE(F30,G30,H30,I30,J30,K30,L30,M30,N30,O30,P30,Q30,R30,S30,T30&amp;U30,V30,W30,X30,Y30,Z30,AA30,AB30,AC30,AD30,AE30)</f>
        <v>WZBLRVXAYGIPDTOHNEJMKFQSUC</v>
      </c>
      <c r="AH30" s="12" t="str">
        <f>F25&amp;F30</f>
        <v>AW</v>
      </c>
      <c r="AI30" s="12" t="str">
        <f t="shared" ref="AI30:BG30" si="39">G25&amp;G30</f>
        <v>BZ</v>
      </c>
      <c r="AJ30" s="12" t="str">
        <f t="shared" si="39"/>
        <v>CB</v>
      </c>
      <c r="AK30" s="12" t="str">
        <f t="shared" si="39"/>
        <v>DL</v>
      </c>
      <c r="AL30" s="12" t="str">
        <f t="shared" si="39"/>
        <v>ER</v>
      </c>
      <c r="AM30" s="12" t="str">
        <f t="shared" si="39"/>
        <v>FV</v>
      </c>
      <c r="AN30" s="12" t="str">
        <f t="shared" si="39"/>
        <v>GX</v>
      </c>
      <c r="AO30" s="12" t="str">
        <f t="shared" si="39"/>
        <v>HA</v>
      </c>
      <c r="AP30" s="12" t="str">
        <f t="shared" si="39"/>
        <v>IY</v>
      </c>
      <c r="AQ30" s="12" t="str">
        <f t="shared" si="39"/>
        <v>JG</v>
      </c>
      <c r="AR30" s="12" t="str">
        <f t="shared" si="39"/>
        <v>KI</v>
      </c>
      <c r="AS30" s="12" t="str">
        <f t="shared" si="39"/>
        <v>LP</v>
      </c>
      <c r="AT30" s="12" t="str">
        <f t="shared" si="39"/>
        <v>MD</v>
      </c>
      <c r="AU30" s="12" t="str">
        <f t="shared" si="39"/>
        <v>NT</v>
      </c>
      <c r="AV30" s="12" t="str">
        <f t="shared" si="39"/>
        <v>OO</v>
      </c>
      <c r="AW30" s="12" t="str">
        <f t="shared" si="39"/>
        <v>PH</v>
      </c>
      <c r="AX30" s="12" t="str">
        <f t="shared" si="39"/>
        <v>QN</v>
      </c>
      <c r="AY30" s="12" t="str">
        <f t="shared" si="39"/>
        <v>RE</v>
      </c>
      <c r="AZ30" s="12" t="str">
        <f t="shared" si="39"/>
        <v>SJ</v>
      </c>
      <c r="BA30" s="12" t="str">
        <f t="shared" si="39"/>
        <v>TM</v>
      </c>
      <c r="BB30" s="12" t="str">
        <f t="shared" si="39"/>
        <v>UK</v>
      </c>
      <c r="BC30" s="12" t="str">
        <f t="shared" si="39"/>
        <v>VF</v>
      </c>
      <c r="BD30" s="12" t="str">
        <f t="shared" si="39"/>
        <v>WQ</v>
      </c>
      <c r="BE30" s="12" t="str">
        <f t="shared" si="39"/>
        <v>XS</v>
      </c>
      <c r="BF30" s="12" t="str">
        <f t="shared" si="39"/>
        <v>YU</v>
      </c>
      <c r="BG30" s="12" t="str">
        <f t="shared" si="39"/>
        <v>ZC</v>
      </c>
    </row>
    <row r="31" spans="1:59" x14ac:dyDescent="0.35">
      <c r="B31" s="21"/>
      <c r="C31" s="4"/>
      <c r="D31" s="5"/>
      <c r="E31" s="5" t="s">
        <v>385</v>
      </c>
      <c r="F31" s="6" t="s">
        <v>0</v>
      </c>
      <c r="G31" s="6" t="s">
        <v>1</v>
      </c>
      <c r="H31" s="6" t="s">
        <v>2</v>
      </c>
      <c r="I31" s="6" t="s">
        <v>3</v>
      </c>
      <c r="J31" s="6" t="s">
        <v>4</v>
      </c>
      <c r="K31" s="6" t="s">
        <v>5</v>
      </c>
      <c r="L31" s="6" t="s">
        <v>6</v>
      </c>
      <c r="M31" s="6" t="s">
        <v>7</v>
      </c>
      <c r="N31" s="6" t="s">
        <v>8</v>
      </c>
      <c r="O31" s="6" t="s">
        <v>9</v>
      </c>
      <c r="P31" s="6" t="s">
        <v>10</v>
      </c>
      <c r="Q31" s="6" t="s">
        <v>11</v>
      </c>
      <c r="R31" s="6" t="s">
        <v>12</v>
      </c>
      <c r="S31" s="6" t="s">
        <v>13</v>
      </c>
      <c r="T31" s="6" t="s">
        <v>14</v>
      </c>
      <c r="U31" s="6" t="s">
        <v>15</v>
      </c>
      <c r="V31" s="6" t="s">
        <v>16</v>
      </c>
      <c r="W31" s="6" t="s">
        <v>17</v>
      </c>
      <c r="X31" s="6" t="s">
        <v>18</v>
      </c>
      <c r="Y31" s="6" t="s">
        <v>19</v>
      </c>
      <c r="Z31" s="6" t="s">
        <v>20</v>
      </c>
      <c r="AA31" s="6" t="s">
        <v>21</v>
      </c>
      <c r="AB31" s="6" t="s">
        <v>22</v>
      </c>
      <c r="AC31" s="6" t="s">
        <v>23</v>
      </c>
      <c r="AD31" s="6" t="s">
        <v>24</v>
      </c>
      <c r="AE31" s="6" t="s">
        <v>25</v>
      </c>
      <c r="AF31" s="7"/>
      <c r="AH31" s="28" t="str">
        <f>HLOOKUP(AH23,$AH28:$BG29,2,FALSE)</f>
        <v>Q</v>
      </c>
      <c r="AI31" s="28" t="str">
        <f>HLOOKUP(AI23,$AH28:$BG29,2,FALSE)</f>
        <v>F</v>
      </c>
      <c r="AJ31" s="28" t="str">
        <f t="shared" ref="AJ31:BG31" si="40">HLOOKUP(AJ23,$AH28:$BG29,2,FALSE)</f>
        <v>U</v>
      </c>
      <c r="AK31" s="28" t="str">
        <f t="shared" si="40"/>
        <v>B</v>
      </c>
      <c r="AL31" s="28" t="str">
        <f t="shared" si="40"/>
        <v>N</v>
      </c>
      <c r="AM31" s="28" t="str">
        <f t="shared" si="40"/>
        <v>V</v>
      </c>
      <c r="AN31" s="28" t="str">
        <f t="shared" si="40"/>
        <v>S</v>
      </c>
      <c r="AO31" s="28" t="str">
        <f t="shared" si="40"/>
        <v>G</v>
      </c>
      <c r="AP31" s="28" t="str">
        <f t="shared" si="40"/>
        <v>O</v>
      </c>
      <c r="AQ31" s="28" t="str">
        <f t="shared" si="40"/>
        <v>T</v>
      </c>
      <c r="AR31" s="28" t="str">
        <f t="shared" si="40"/>
        <v>P</v>
      </c>
      <c r="AS31" s="28" t="str">
        <f t="shared" si="40"/>
        <v>Y</v>
      </c>
      <c r="AT31" s="28" t="str">
        <f t="shared" si="40"/>
        <v>K</v>
      </c>
      <c r="AU31" s="28" t="str">
        <f t="shared" si="40"/>
        <v>H</v>
      </c>
      <c r="AV31" s="28" t="str">
        <f t="shared" si="40"/>
        <v>I</v>
      </c>
      <c r="AW31" s="28" t="str">
        <f t="shared" si="40"/>
        <v>X</v>
      </c>
      <c r="AX31" s="28" t="str">
        <f t="shared" si="40"/>
        <v>L</v>
      </c>
      <c r="AY31" s="28" t="str">
        <f t="shared" si="40"/>
        <v>D</v>
      </c>
      <c r="AZ31" s="28" t="str">
        <f t="shared" si="40"/>
        <v>C</v>
      </c>
      <c r="BA31" s="28" t="str">
        <f t="shared" si="40"/>
        <v>W</v>
      </c>
      <c r="BB31" s="28" t="str">
        <f t="shared" si="40"/>
        <v>E</v>
      </c>
      <c r="BC31" s="28" t="str">
        <f t="shared" si="40"/>
        <v>A</v>
      </c>
      <c r="BD31" s="28" t="str">
        <f t="shared" si="40"/>
        <v>R</v>
      </c>
      <c r="BE31" s="28" t="str">
        <f t="shared" si="40"/>
        <v>Z</v>
      </c>
      <c r="BF31" s="28" t="str">
        <f t="shared" si="40"/>
        <v>J</v>
      </c>
      <c r="BG31" s="28" t="str">
        <f t="shared" si="40"/>
        <v>M</v>
      </c>
    </row>
    <row r="32" spans="1:59" x14ac:dyDescent="0.35">
      <c r="B32" s="22"/>
      <c r="C32" s="8"/>
      <c r="F32" s="1">
        <f>IF(ISERROR(FIND(F31,$AF30)),0,1)</f>
        <v>1</v>
      </c>
      <c r="G32" s="1">
        <f t="shared" ref="G32:AE32" si="41">IF(ISERROR(FIND(G31,$AF30)),0,1)</f>
        <v>1</v>
      </c>
      <c r="H32" s="1">
        <f t="shared" si="41"/>
        <v>1</v>
      </c>
      <c r="I32" s="1">
        <f t="shared" si="41"/>
        <v>1</v>
      </c>
      <c r="J32" s="1">
        <f t="shared" si="41"/>
        <v>1</v>
      </c>
      <c r="K32" s="1">
        <f t="shared" si="41"/>
        <v>1</v>
      </c>
      <c r="L32" s="1">
        <f t="shared" si="41"/>
        <v>1</v>
      </c>
      <c r="M32" s="1">
        <f t="shared" si="41"/>
        <v>1</v>
      </c>
      <c r="N32" s="1">
        <f t="shared" si="41"/>
        <v>1</v>
      </c>
      <c r="O32" s="1">
        <f t="shared" si="41"/>
        <v>1</v>
      </c>
      <c r="P32" s="1">
        <f t="shared" si="41"/>
        <v>1</v>
      </c>
      <c r="Q32" s="1">
        <f t="shared" si="41"/>
        <v>1</v>
      </c>
      <c r="R32" s="1">
        <f t="shared" si="41"/>
        <v>1</v>
      </c>
      <c r="S32" s="1">
        <f t="shared" si="41"/>
        <v>1</v>
      </c>
      <c r="T32" s="1">
        <f t="shared" si="41"/>
        <v>1</v>
      </c>
      <c r="U32" s="1">
        <f t="shared" si="41"/>
        <v>1</v>
      </c>
      <c r="V32" s="1">
        <f t="shared" si="41"/>
        <v>1</v>
      </c>
      <c r="W32" s="1">
        <f t="shared" si="41"/>
        <v>1</v>
      </c>
      <c r="X32" s="1">
        <f t="shared" si="41"/>
        <v>1</v>
      </c>
      <c r="Y32" s="1">
        <f t="shared" si="41"/>
        <v>1</v>
      </c>
      <c r="Z32" s="1">
        <f t="shared" si="41"/>
        <v>1</v>
      </c>
      <c r="AA32" s="1">
        <f t="shared" si="41"/>
        <v>1</v>
      </c>
      <c r="AB32" s="1">
        <f t="shared" si="41"/>
        <v>1</v>
      </c>
      <c r="AC32" s="1">
        <f t="shared" si="41"/>
        <v>1</v>
      </c>
      <c r="AD32" s="1">
        <f t="shared" si="41"/>
        <v>1</v>
      </c>
      <c r="AE32" s="1">
        <f t="shared" si="41"/>
        <v>1</v>
      </c>
      <c r="AF32" s="10"/>
    </row>
    <row r="33" spans="2:59" x14ac:dyDescent="0.35">
      <c r="B33" s="22" t="s">
        <v>383</v>
      </c>
      <c r="C33" s="26" t="str">
        <f>"R"&amp;C12</f>
        <v>R4</v>
      </c>
      <c r="D33" s="11">
        <f>D12</f>
        <v>142</v>
      </c>
      <c r="E33" s="11">
        <f>E12</f>
        <v>12</v>
      </c>
      <c r="F33" s="12" t="str">
        <f>F12</f>
        <v>L</v>
      </c>
      <c r="G33" s="13" t="str">
        <f t="shared" ref="G33:AE33" si="42">VLOOKUP(F33,nNextLetter,2,FALSE)</f>
        <v>M</v>
      </c>
      <c r="H33" s="13" t="str">
        <f t="shared" si="42"/>
        <v>N</v>
      </c>
      <c r="I33" s="13" t="str">
        <f t="shared" si="42"/>
        <v>O</v>
      </c>
      <c r="J33" s="13" t="str">
        <f t="shared" si="42"/>
        <v>P</v>
      </c>
      <c r="K33" s="13" t="str">
        <f t="shared" si="42"/>
        <v>Q</v>
      </c>
      <c r="L33" s="13" t="str">
        <f t="shared" si="42"/>
        <v>R</v>
      </c>
      <c r="M33" s="13" t="str">
        <f t="shared" si="42"/>
        <v>S</v>
      </c>
      <c r="N33" s="13" t="str">
        <f t="shared" si="42"/>
        <v>T</v>
      </c>
      <c r="O33" s="13" t="str">
        <f t="shared" si="42"/>
        <v>U</v>
      </c>
      <c r="P33" s="13" t="str">
        <f t="shared" si="42"/>
        <v>V</v>
      </c>
      <c r="Q33" s="13" t="str">
        <f t="shared" si="42"/>
        <v>W</v>
      </c>
      <c r="R33" s="13" t="str">
        <f t="shared" si="42"/>
        <v>X</v>
      </c>
      <c r="S33" s="13" t="str">
        <f t="shared" si="42"/>
        <v>Y</v>
      </c>
      <c r="T33" s="13" t="str">
        <f t="shared" si="42"/>
        <v>Z</v>
      </c>
      <c r="U33" s="13" t="str">
        <f t="shared" si="42"/>
        <v>A</v>
      </c>
      <c r="V33" s="13" t="str">
        <f t="shared" si="42"/>
        <v>B</v>
      </c>
      <c r="W33" s="13" t="str">
        <f t="shared" si="42"/>
        <v>C</v>
      </c>
      <c r="X33" s="13" t="str">
        <f t="shared" si="42"/>
        <v>D</v>
      </c>
      <c r="Y33" s="13" t="str">
        <f t="shared" si="42"/>
        <v>E</v>
      </c>
      <c r="Z33" s="13" t="str">
        <f t="shared" si="42"/>
        <v>F</v>
      </c>
      <c r="AA33" s="13" t="str">
        <f t="shared" si="42"/>
        <v>G</v>
      </c>
      <c r="AB33" s="13" t="str">
        <f t="shared" si="42"/>
        <v>H</v>
      </c>
      <c r="AC33" s="13" t="str">
        <f t="shared" si="42"/>
        <v>I</v>
      </c>
      <c r="AD33" s="13" t="str">
        <f t="shared" si="42"/>
        <v>J</v>
      </c>
      <c r="AE33" s="13" t="str">
        <f t="shared" si="42"/>
        <v>K</v>
      </c>
      <c r="AF33" s="10"/>
    </row>
    <row r="34" spans="2:59" x14ac:dyDescent="0.35">
      <c r="B34" s="22"/>
      <c r="C34" s="8"/>
      <c r="E34" t="s">
        <v>386</v>
      </c>
      <c r="F34" s="14" t="str">
        <f t="shared" ref="F34:AE34" si="43">IF(F32=1,VLOOKUP(nCurPosM+nRingOffsetM+(CODE(F31)-nCharOffset)-1,nNum2Let,2,FALSE),"")</f>
        <v>L</v>
      </c>
      <c r="G34" s="14" t="str">
        <f t="shared" si="43"/>
        <v>M</v>
      </c>
      <c r="H34" s="14" t="str">
        <f t="shared" si="43"/>
        <v>N</v>
      </c>
      <c r="I34" s="14" t="str">
        <f t="shared" si="43"/>
        <v>O</v>
      </c>
      <c r="J34" s="14" t="str">
        <f t="shared" si="43"/>
        <v>P</v>
      </c>
      <c r="K34" s="14" t="str">
        <f t="shared" si="43"/>
        <v>Q</v>
      </c>
      <c r="L34" s="14" t="str">
        <f t="shared" si="43"/>
        <v>R</v>
      </c>
      <c r="M34" s="14" t="str">
        <f t="shared" si="43"/>
        <v>S</v>
      </c>
      <c r="N34" s="14" t="str">
        <f t="shared" si="43"/>
        <v>T</v>
      </c>
      <c r="O34" s="14" t="str">
        <f t="shared" si="43"/>
        <v>U</v>
      </c>
      <c r="P34" s="14" t="str">
        <f t="shared" si="43"/>
        <v>V</v>
      </c>
      <c r="Q34" s="14" t="str">
        <f t="shared" si="43"/>
        <v>W</v>
      </c>
      <c r="R34" s="14" t="str">
        <f t="shared" si="43"/>
        <v>X</v>
      </c>
      <c r="S34" s="14" t="str">
        <f t="shared" si="43"/>
        <v>Y</v>
      </c>
      <c r="T34" s="14" t="str">
        <f t="shared" si="43"/>
        <v>Z</v>
      </c>
      <c r="U34" s="14" t="str">
        <f t="shared" si="43"/>
        <v>A</v>
      </c>
      <c r="V34" s="14" t="str">
        <f t="shared" si="43"/>
        <v>B</v>
      </c>
      <c r="W34" s="14" t="str">
        <f t="shared" si="43"/>
        <v>C</v>
      </c>
      <c r="X34" s="14" t="str">
        <f t="shared" si="43"/>
        <v>D</v>
      </c>
      <c r="Y34" s="14" t="str">
        <f t="shared" si="43"/>
        <v>E</v>
      </c>
      <c r="Z34" s="14" t="str">
        <f t="shared" si="43"/>
        <v>F</v>
      </c>
      <c r="AA34" s="14" t="str">
        <f t="shared" si="43"/>
        <v>G</v>
      </c>
      <c r="AB34" s="14" t="str">
        <f t="shared" si="43"/>
        <v>H</v>
      </c>
      <c r="AC34" s="14" t="str">
        <f t="shared" si="43"/>
        <v>I</v>
      </c>
      <c r="AD34" s="14" t="str">
        <f t="shared" si="43"/>
        <v>J</v>
      </c>
      <c r="AE34" s="14" t="str">
        <f t="shared" si="43"/>
        <v>K</v>
      </c>
      <c r="AF34" s="10"/>
      <c r="AH34" s="28" t="str">
        <f t="shared" ref="AH34:BG34" si="44">IF(LEN(AH36)=2,LEFT(AH36,1),"")</f>
        <v>A</v>
      </c>
      <c r="AI34" s="28" t="str">
        <f t="shared" si="44"/>
        <v>B</v>
      </c>
      <c r="AJ34" s="28" t="str">
        <f t="shared" si="44"/>
        <v>C</v>
      </c>
      <c r="AK34" s="28" t="str">
        <f t="shared" si="44"/>
        <v>D</v>
      </c>
      <c r="AL34" s="28" t="str">
        <f t="shared" si="44"/>
        <v>E</v>
      </c>
      <c r="AM34" s="28" t="str">
        <f t="shared" si="44"/>
        <v>F</v>
      </c>
      <c r="AN34" s="28" t="str">
        <f t="shared" si="44"/>
        <v>G</v>
      </c>
      <c r="AO34" s="28" t="str">
        <f t="shared" si="44"/>
        <v>H</v>
      </c>
      <c r="AP34" s="28" t="str">
        <f t="shared" si="44"/>
        <v>I</v>
      </c>
      <c r="AQ34" s="28" t="str">
        <f t="shared" si="44"/>
        <v>J</v>
      </c>
      <c r="AR34" s="28" t="str">
        <f t="shared" si="44"/>
        <v>K</v>
      </c>
      <c r="AS34" s="28" t="str">
        <f t="shared" si="44"/>
        <v>L</v>
      </c>
      <c r="AT34" s="28" t="str">
        <f t="shared" si="44"/>
        <v>M</v>
      </c>
      <c r="AU34" s="28" t="str">
        <f t="shared" si="44"/>
        <v>N</v>
      </c>
      <c r="AV34" s="28" t="str">
        <f t="shared" si="44"/>
        <v>O</v>
      </c>
      <c r="AW34" s="28" t="str">
        <f t="shared" si="44"/>
        <v>P</v>
      </c>
      <c r="AX34" s="28" t="str">
        <f t="shared" si="44"/>
        <v>Q</v>
      </c>
      <c r="AY34" s="28" t="str">
        <f t="shared" si="44"/>
        <v>R</v>
      </c>
      <c r="AZ34" s="28" t="str">
        <f t="shared" si="44"/>
        <v>S</v>
      </c>
      <c r="BA34" s="28" t="str">
        <f t="shared" si="44"/>
        <v>T</v>
      </c>
      <c r="BB34" s="28" t="str">
        <f t="shared" si="44"/>
        <v>U</v>
      </c>
      <c r="BC34" s="28" t="str">
        <f t="shared" si="44"/>
        <v>V</v>
      </c>
      <c r="BD34" s="28" t="str">
        <f t="shared" si="44"/>
        <v>W</v>
      </c>
      <c r="BE34" s="28" t="str">
        <f t="shared" si="44"/>
        <v>X</v>
      </c>
      <c r="BF34" s="28" t="str">
        <f t="shared" si="44"/>
        <v>Y</v>
      </c>
      <c r="BG34" s="28" t="str">
        <f t="shared" si="44"/>
        <v>Z</v>
      </c>
    </row>
    <row r="35" spans="2:59" x14ac:dyDescent="0.35">
      <c r="B35" s="22"/>
      <c r="C35" s="8"/>
      <c r="E35" t="s">
        <v>387</v>
      </c>
      <c r="F35" s="15" t="str">
        <f t="shared" ref="F35:AE35" si="45">IF(F32=1,VLOOKUP(nRotorM_Rev&amp;F34,nRotorRev,4,FALSE),"")</f>
        <v>P</v>
      </c>
      <c r="G35" s="15" t="str">
        <f t="shared" si="45"/>
        <v>X</v>
      </c>
      <c r="H35" s="15" t="str">
        <f t="shared" si="45"/>
        <v>Q</v>
      </c>
      <c r="I35" s="15" t="str">
        <f t="shared" si="45"/>
        <v>C</v>
      </c>
      <c r="J35" s="15" t="str">
        <f t="shared" si="45"/>
        <v>E</v>
      </c>
      <c r="K35" s="15" t="str">
        <f t="shared" si="45"/>
        <v>J</v>
      </c>
      <c r="L35" s="15" t="str">
        <f t="shared" si="45"/>
        <v>M</v>
      </c>
      <c r="M35" s="15" t="str">
        <f t="shared" si="45"/>
        <v>B</v>
      </c>
      <c r="N35" s="15" t="str">
        <f t="shared" si="45"/>
        <v>S</v>
      </c>
      <c r="O35" s="15" t="str">
        <f t="shared" si="45"/>
        <v>K</v>
      </c>
      <c r="P35" s="15" t="str">
        <f t="shared" si="45"/>
        <v>D</v>
      </c>
      <c r="Q35" s="15" t="str">
        <f t="shared" si="45"/>
        <v>Y</v>
      </c>
      <c r="R35" s="15" t="str">
        <f t="shared" si="45"/>
        <v>O</v>
      </c>
      <c r="S35" s="15" t="str">
        <f t="shared" si="45"/>
        <v>I</v>
      </c>
      <c r="T35" s="15" t="str">
        <f t="shared" si="45"/>
        <v>F</v>
      </c>
      <c r="U35" s="15" t="str">
        <f t="shared" si="45"/>
        <v>H</v>
      </c>
      <c r="V35" s="15" t="str">
        <f t="shared" si="45"/>
        <v>Z</v>
      </c>
      <c r="W35" s="15" t="str">
        <f t="shared" si="45"/>
        <v>W</v>
      </c>
      <c r="X35" s="15" t="str">
        <f t="shared" si="45"/>
        <v>V</v>
      </c>
      <c r="Y35" s="15" t="str">
        <f t="shared" si="45"/>
        <v>A</v>
      </c>
      <c r="Z35" s="15" t="str">
        <f t="shared" si="45"/>
        <v>R</v>
      </c>
      <c r="AA35" s="15" t="str">
        <f t="shared" si="45"/>
        <v>T</v>
      </c>
      <c r="AB35" s="15" t="str">
        <f t="shared" si="45"/>
        <v>N</v>
      </c>
      <c r="AC35" s="15" t="str">
        <f t="shared" si="45"/>
        <v>L</v>
      </c>
      <c r="AD35" s="15" t="str">
        <f t="shared" si="45"/>
        <v>G</v>
      </c>
      <c r="AE35" s="15" t="str">
        <f t="shared" si="45"/>
        <v>U</v>
      </c>
      <c r="AF35" s="10"/>
      <c r="AH35" s="28" t="str">
        <f t="shared" ref="AH35:BG35" si="46">IF(LEN(AH36)=2,RIGHT(AH36,1),"")</f>
        <v>E</v>
      </c>
      <c r="AI35" s="28" t="str">
        <f t="shared" si="46"/>
        <v>M</v>
      </c>
      <c r="AJ35" s="28" t="str">
        <f t="shared" si="46"/>
        <v>F</v>
      </c>
      <c r="AK35" s="28" t="str">
        <f t="shared" si="46"/>
        <v>R</v>
      </c>
      <c r="AL35" s="28" t="str">
        <f t="shared" si="46"/>
        <v>T</v>
      </c>
      <c r="AM35" s="28" t="str">
        <f t="shared" si="46"/>
        <v>Y</v>
      </c>
      <c r="AN35" s="28" t="str">
        <f t="shared" si="46"/>
        <v>B</v>
      </c>
      <c r="AO35" s="28" t="str">
        <f t="shared" si="46"/>
        <v>Q</v>
      </c>
      <c r="AP35" s="28" t="str">
        <f t="shared" si="46"/>
        <v>H</v>
      </c>
      <c r="AQ35" s="28" t="str">
        <f t="shared" si="46"/>
        <v>Z</v>
      </c>
      <c r="AR35" s="28" t="str">
        <f t="shared" si="46"/>
        <v>S</v>
      </c>
      <c r="AS35" s="28" t="str">
        <f t="shared" si="46"/>
        <v>N</v>
      </c>
      <c r="AT35" s="28" t="str">
        <f t="shared" si="46"/>
        <v>D</v>
      </c>
      <c r="AU35" s="28" t="str">
        <f t="shared" si="46"/>
        <v>X</v>
      </c>
      <c r="AV35" s="28" t="str">
        <f t="shared" si="46"/>
        <v>U</v>
      </c>
      <c r="AW35" s="28" t="str">
        <f t="shared" si="46"/>
        <v>W</v>
      </c>
      <c r="AX35" s="28" t="str">
        <f t="shared" si="46"/>
        <v>O</v>
      </c>
      <c r="AY35" s="28" t="str">
        <f t="shared" si="46"/>
        <v>L</v>
      </c>
      <c r="AZ35" s="28" t="str">
        <f t="shared" si="46"/>
        <v>K</v>
      </c>
      <c r="BA35" s="28" t="str">
        <f t="shared" si="46"/>
        <v>P</v>
      </c>
      <c r="BB35" s="28" t="str">
        <f t="shared" si="46"/>
        <v>G</v>
      </c>
      <c r="BC35" s="28" t="str">
        <f t="shared" si="46"/>
        <v>I</v>
      </c>
      <c r="BD35" s="28" t="str">
        <f t="shared" si="46"/>
        <v>C</v>
      </c>
      <c r="BE35" s="28" t="str">
        <f t="shared" si="46"/>
        <v>A</v>
      </c>
      <c r="BF35" s="28" t="str">
        <f t="shared" si="46"/>
        <v>V</v>
      </c>
      <c r="BG35" s="28" t="str">
        <f t="shared" si="46"/>
        <v>J</v>
      </c>
    </row>
    <row r="36" spans="2:59" ht="15" thickBot="1" x14ac:dyDescent="0.4">
      <c r="B36" s="23"/>
      <c r="C36" s="16"/>
      <c r="D36" s="17"/>
      <c r="E36" s="17" t="s">
        <v>388</v>
      </c>
      <c r="F36" s="18" t="str">
        <f t="shared" ref="F36:AE36" si="47">IF(F32=1,IF(CODE(F35)-CODE(F34)&lt;0,VLOOKUP((CODE(F35)-CODE(F34)+26)+(CODE(F31)-nCharOffset),nNum2Let,2,FALSE),VLOOKUP((CODE(F35)-CODE(F34))+(CODE(F31)-nCharOffset),nNum2Let,2,FALSE)),"")</f>
        <v>E</v>
      </c>
      <c r="G36" s="18" t="str">
        <f t="shared" si="47"/>
        <v>M</v>
      </c>
      <c r="H36" s="18" t="str">
        <f t="shared" si="47"/>
        <v>F</v>
      </c>
      <c r="I36" s="18" t="str">
        <f t="shared" si="47"/>
        <v>R</v>
      </c>
      <c r="J36" s="18" t="str">
        <f t="shared" si="47"/>
        <v>T</v>
      </c>
      <c r="K36" s="18" t="str">
        <f t="shared" si="47"/>
        <v>Y</v>
      </c>
      <c r="L36" s="18" t="str">
        <f t="shared" si="47"/>
        <v>B</v>
      </c>
      <c r="M36" s="18" t="str">
        <f t="shared" si="47"/>
        <v>Q</v>
      </c>
      <c r="N36" s="18" t="str">
        <f t="shared" si="47"/>
        <v>H</v>
      </c>
      <c r="O36" s="18" t="str">
        <f t="shared" si="47"/>
        <v>Z</v>
      </c>
      <c r="P36" s="18" t="str">
        <f t="shared" si="47"/>
        <v>S</v>
      </c>
      <c r="Q36" s="18" t="str">
        <f t="shared" si="47"/>
        <v>N</v>
      </c>
      <c r="R36" s="18" t="str">
        <f t="shared" si="47"/>
        <v>D</v>
      </c>
      <c r="S36" s="18" t="str">
        <f t="shared" si="47"/>
        <v>X</v>
      </c>
      <c r="T36" s="18" t="str">
        <f t="shared" si="47"/>
        <v>U</v>
      </c>
      <c r="U36" s="18" t="str">
        <f t="shared" si="47"/>
        <v>W</v>
      </c>
      <c r="V36" s="18" t="str">
        <f t="shared" si="47"/>
        <v>O</v>
      </c>
      <c r="W36" s="18" t="str">
        <f t="shared" si="47"/>
        <v>L</v>
      </c>
      <c r="X36" s="18" t="str">
        <f t="shared" si="47"/>
        <v>K</v>
      </c>
      <c r="Y36" s="18" t="str">
        <f t="shared" si="47"/>
        <v>P</v>
      </c>
      <c r="Z36" s="18" t="str">
        <f t="shared" si="47"/>
        <v>G</v>
      </c>
      <c r="AA36" s="18" t="str">
        <f t="shared" si="47"/>
        <v>I</v>
      </c>
      <c r="AB36" s="18" t="str">
        <f t="shared" si="47"/>
        <v>C</v>
      </c>
      <c r="AC36" s="18" t="str">
        <f t="shared" si="47"/>
        <v>A</v>
      </c>
      <c r="AD36" s="18" t="str">
        <f t="shared" si="47"/>
        <v>V</v>
      </c>
      <c r="AE36" s="18" t="str">
        <f t="shared" si="47"/>
        <v>J</v>
      </c>
      <c r="AF36" s="19" t="str">
        <f>CONCATENATE(F36,G36,H36,I36,J36,K36,L36,M36,N36,O36,P36,Q36,R36,S36,T36&amp;U36,V36,W36,X36,Y36,Z36,AA36,AB36,AC36,AD36,AE36)</f>
        <v>EMFRTYBQHZSNDXUWOLKPGICAVJ</v>
      </c>
      <c r="AH36" s="12" t="str">
        <f>F31&amp;F36</f>
        <v>AE</v>
      </c>
      <c r="AI36" s="12" t="str">
        <f t="shared" ref="AI36:BG36" si="48">G31&amp;G36</f>
        <v>BM</v>
      </c>
      <c r="AJ36" s="12" t="str">
        <f t="shared" si="48"/>
        <v>CF</v>
      </c>
      <c r="AK36" s="12" t="str">
        <f t="shared" si="48"/>
        <v>DR</v>
      </c>
      <c r="AL36" s="12" t="str">
        <f t="shared" si="48"/>
        <v>ET</v>
      </c>
      <c r="AM36" s="12" t="str">
        <f t="shared" si="48"/>
        <v>FY</v>
      </c>
      <c r="AN36" s="12" t="str">
        <f t="shared" si="48"/>
        <v>GB</v>
      </c>
      <c r="AO36" s="12" t="str">
        <f t="shared" si="48"/>
        <v>HQ</v>
      </c>
      <c r="AP36" s="12" t="str">
        <f t="shared" si="48"/>
        <v>IH</v>
      </c>
      <c r="AQ36" s="12" t="str">
        <f t="shared" si="48"/>
        <v>JZ</v>
      </c>
      <c r="AR36" s="12" t="str">
        <f t="shared" si="48"/>
        <v>KS</v>
      </c>
      <c r="AS36" s="12" t="str">
        <f t="shared" si="48"/>
        <v>LN</v>
      </c>
      <c r="AT36" s="12" t="str">
        <f t="shared" si="48"/>
        <v>MD</v>
      </c>
      <c r="AU36" s="12" t="str">
        <f t="shared" si="48"/>
        <v>NX</v>
      </c>
      <c r="AV36" s="12" t="str">
        <f t="shared" si="48"/>
        <v>OU</v>
      </c>
      <c r="AW36" s="12" t="str">
        <f t="shared" si="48"/>
        <v>PW</v>
      </c>
      <c r="AX36" s="12" t="str">
        <f t="shared" si="48"/>
        <v>QO</v>
      </c>
      <c r="AY36" s="12" t="str">
        <f t="shared" si="48"/>
        <v>RL</v>
      </c>
      <c r="AZ36" s="12" t="str">
        <f t="shared" si="48"/>
        <v>SK</v>
      </c>
      <c r="BA36" s="12" t="str">
        <f t="shared" si="48"/>
        <v>TP</v>
      </c>
      <c r="BB36" s="12" t="str">
        <f t="shared" si="48"/>
        <v>UG</v>
      </c>
      <c r="BC36" s="12" t="str">
        <f t="shared" si="48"/>
        <v>VI</v>
      </c>
      <c r="BD36" s="12" t="str">
        <f t="shared" si="48"/>
        <v>WC</v>
      </c>
      <c r="BE36" s="12" t="str">
        <f t="shared" si="48"/>
        <v>XA</v>
      </c>
      <c r="BF36" s="12" t="str">
        <f t="shared" si="48"/>
        <v>YV</v>
      </c>
      <c r="BG36" s="12" t="str">
        <f t="shared" si="48"/>
        <v>ZJ</v>
      </c>
    </row>
    <row r="37" spans="2:59" x14ac:dyDescent="0.35">
      <c r="B37" s="21"/>
      <c r="C37" s="4"/>
      <c r="D37" s="5"/>
      <c r="E37" s="5" t="s">
        <v>385</v>
      </c>
      <c r="F37" s="6" t="s">
        <v>0</v>
      </c>
      <c r="G37" s="6" t="s">
        <v>1</v>
      </c>
      <c r="H37" s="6" t="s">
        <v>2</v>
      </c>
      <c r="I37" s="6" t="s">
        <v>3</v>
      </c>
      <c r="J37" s="6" t="s">
        <v>4</v>
      </c>
      <c r="K37" s="6" t="s">
        <v>5</v>
      </c>
      <c r="L37" s="6" t="s">
        <v>6</v>
      </c>
      <c r="M37" s="6" t="s">
        <v>7</v>
      </c>
      <c r="N37" s="6" t="s">
        <v>8</v>
      </c>
      <c r="O37" s="6" t="s">
        <v>9</v>
      </c>
      <c r="P37" s="6" t="s">
        <v>10</v>
      </c>
      <c r="Q37" s="6" t="s">
        <v>11</v>
      </c>
      <c r="R37" s="6" t="s">
        <v>12</v>
      </c>
      <c r="S37" s="6" t="s">
        <v>13</v>
      </c>
      <c r="T37" s="6" t="s">
        <v>14</v>
      </c>
      <c r="U37" s="6" t="s">
        <v>15</v>
      </c>
      <c r="V37" s="6" t="s">
        <v>16</v>
      </c>
      <c r="W37" s="6" t="s">
        <v>17</v>
      </c>
      <c r="X37" s="6" t="s">
        <v>18</v>
      </c>
      <c r="Y37" s="6" t="s">
        <v>19</v>
      </c>
      <c r="Z37" s="6" t="s">
        <v>20</v>
      </c>
      <c r="AA37" s="6" t="s">
        <v>21</v>
      </c>
      <c r="AB37" s="6" t="s">
        <v>22</v>
      </c>
      <c r="AC37" s="6" t="s">
        <v>23</v>
      </c>
      <c r="AD37" s="6" t="s">
        <v>24</v>
      </c>
      <c r="AE37" s="6" t="s">
        <v>25</v>
      </c>
      <c r="AF37" s="20"/>
      <c r="AH37" s="28" t="str">
        <f>HLOOKUP(AH31,$AH34:$BG35,2,FALSE)</f>
        <v>O</v>
      </c>
      <c r="AI37" s="28" t="str">
        <f>HLOOKUP(AI31,$AH34:$BG35,2,FALSE)</f>
        <v>Y</v>
      </c>
      <c r="AJ37" s="28" t="str">
        <f>HLOOKUP(AJ31,$AH34:$BG35,2,FALSE)</f>
        <v>G</v>
      </c>
      <c r="AK37" s="28" t="str">
        <f t="shared" ref="AK37:BG37" si="49">HLOOKUP(AK31,$AH34:$BG35,2,FALSE)</f>
        <v>M</v>
      </c>
      <c r="AL37" s="28" t="str">
        <f t="shared" si="49"/>
        <v>X</v>
      </c>
      <c r="AM37" s="28" t="str">
        <f t="shared" si="49"/>
        <v>I</v>
      </c>
      <c r="AN37" s="28" t="str">
        <f t="shared" si="49"/>
        <v>K</v>
      </c>
      <c r="AO37" s="28" t="str">
        <f t="shared" si="49"/>
        <v>B</v>
      </c>
      <c r="AP37" s="28" t="str">
        <f t="shared" si="49"/>
        <v>U</v>
      </c>
      <c r="AQ37" s="28" t="str">
        <f t="shared" si="49"/>
        <v>P</v>
      </c>
      <c r="AR37" s="28" t="str">
        <f t="shared" si="49"/>
        <v>W</v>
      </c>
      <c r="AS37" s="28" t="str">
        <f t="shared" si="49"/>
        <v>V</v>
      </c>
      <c r="AT37" s="28" t="str">
        <f t="shared" si="49"/>
        <v>S</v>
      </c>
      <c r="AU37" s="28" t="str">
        <f t="shared" si="49"/>
        <v>Q</v>
      </c>
      <c r="AV37" s="28" t="str">
        <f t="shared" si="49"/>
        <v>H</v>
      </c>
      <c r="AW37" s="28" t="str">
        <f t="shared" si="49"/>
        <v>A</v>
      </c>
      <c r="AX37" s="28" t="str">
        <f t="shared" si="49"/>
        <v>N</v>
      </c>
      <c r="AY37" s="28" t="str">
        <f t="shared" si="49"/>
        <v>R</v>
      </c>
      <c r="AZ37" s="28" t="str">
        <f t="shared" si="49"/>
        <v>F</v>
      </c>
      <c r="BA37" s="28" t="str">
        <f t="shared" si="49"/>
        <v>C</v>
      </c>
      <c r="BB37" s="28" t="str">
        <f t="shared" si="49"/>
        <v>T</v>
      </c>
      <c r="BC37" s="28" t="str">
        <f t="shared" si="49"/>
        <v>E</v>
      </c>
      <c r="BD37" s="28" t="str">
        <f t="shared" si="49"/>
        <v>L</v>
      </c>
      <c r="BE37" s="28" t="str">
        <f t="shared" si="49"/>
        <v>J</v>
      </c>
      <c r="BF37" s="28" t="str">
        <f t="shared" si="49"/>
        <v>Z</v>
      </c>
      <c r="BG37" s="28" t="str">
        <f t="shared" si="49"/>
        <v>D</v>
      </c>
    </row>
    <row r="38" spans="2:59" x14ac:dyDescent="0.35">
      <c r="B38" s="22"/>
      <c r="C38" s="8"/>
      <c r="F38" s="1">
        <f t="shared" ref="F38:AE38" si="50">IF(ISERROR(FIND(F37,$AF36)),0,1)</f>
        <v>1</v>
      </c>
      <c r="G38" s="1">
        <f t="shared" si="50"/>
        <v>1</v>
      </c>
      <c r="H38" s="1">
        <f t="shared" si="50"/>
        <v>1</v>
      </c>
      <c r="I38" s="1">
        <f t="shared" si="50"/>
        <v>1</v>
      </c>
      <c r="J38" s="1">
        <f t="shared" si="50"/>
        <v>1</v>
      </c>
      <c r="K38" s="1">
        <f t="shared" si="50"/>
        <v>1</v>
      </c>
      <c r="L38" s="1">
        <f t="shared" si="50"/>
        <v>1</v>
      </c>
      <c r="M38" s="1">
        <f t="shared" si="50"/>
        <v>1</v>
      </c>
      <c r="N38" s="1">
        <f t="shared" si="50"/>
        <v>1</v>
      </c>
      <c r="O38" s="1">
        <f t="shared" si="50"/>
        <v>1</v>
      </c>
      <c r="P38" s="1">
        <f t="shared" si="50"/>
        <v>1</v>
      </c>
      <c r="Q38" s="1">
        <f t="shared" si="50"/>
        <v>1</v>
      </c>
      <c r="R38" s="1">
        <f t="shared" si="50"/>
        <v>1</v>
      </c>
      <c r="S38" s="1">
        <f t="shared" si="50"/>
        <v>1</v>
      </c>
      <c r="T38" s="1">
        <f t="shared" si="50"/>
        <v>1</v>
      </c>
      <c r="U38" s="1">
        <f t="shared" si="50"/>
        <v>1</v>
      </c>
      <c r="V38" s="1">
        <f t="shared" si="50"/>
        <v>1</v>
      </c>
      <c r="W38" s="1">
        <f t="shared" si="50"/>
        <v>1</v>
      </c>
      <c r="X38" s="1">
        <f t="shared" si="50"/>
        <v>1</v>
      </c>
      <c r="Y38" s="1">
        <f t="shared" si="50"/>
        <v>1</v>
      </c>
      <c r="Z38" s="1">
        <f t="shared" si="50"/>
        <v>1</v>
      </c>
      <c r="AA38" s="1">
        <f t="shared" si="50"/>
        <v>1</v>
      </c>
      <c r="AB38" s="1">
        <f t="shared" si="50"/>
        <v>1</v>
      </c>
      <c r="AC38" s="1">
        <f t="shared" si="50"/>
        <v>1</v>
      </c>
      <c r="AD38" s="1">
        <f t="shared" si="50"/>
        <v>1</v>
      </c>
      <c r="AE38" s="1">
        <f t="shared" si="50"/>
        <v>1</v>
      </c>
      <c r="AF38" s="10"/>
    </row>
    <row r="39" spans="2:59" x14ac:dyDescent="0.35">
      <c r="B39" s="22" t="s">
        <v>384</v>
      </c>
      <c r="C39" s="26" t="str">
        <f>"R"&amp;C6</f>
        <v>R2</v>
      </c>
      <c r="D39" s="11">
        <f>D6</f>
        <v>3707</v>
      </c>
      <c r="E39" s="11">
        <f>E6</f>
        <v>15</v>
      </c>
      <c r="F39" s="12" t="str">
        <f>F6</f>
        <v>O</v>
      </c>
      <c r="G39" s="13" t="str">
        <f t="shared" ref="G39:AE39" si="51">VLOOKUP(F39,nNextLetter,2,FALSE)</f>
        <v>P</v>
      </c>
      <c r="H39" s="13" t="str">
        <f t="shared" si="51"/>
        <v>Q</v>
      </c>
      <c r="I39" s="13" t="str">
        <f t="shared" si="51"/>
        <v>R</v>
      </c>
      <c r="J39" s="13" t="str">
        <f t="shared" si="51"/>
        <v>S</v>
      </c>
      <c r="K39" s="13" t="str">
        <f t="shared" si="51"/>
        <v>T</v>
      </c>
      <c r="L39" s="13" t="str">
        <f t="shared" si="51"/>
        <v>U</v>
      </c>
      <c r="M39" s="13" t="str">
        <f t="shared" si="51"/>
        <v>V</v>
      </c>
      <c r="N39" s="13" t="str">
        <f t="shared" si="51"/>
        <v>W</v>
      </c>
      <c r="O39" s="13" t="str">
        <f t="shared" si="51"/>
        <v>X</v>
      </c>
      <c r="P39" s="13" t="str">
        <f t="shared" si="51"/>
        <v>Y</v>
      </c>
      <c r="Q39" s="13" t="str">
        <f t="shared" si="51"/>
        <v>Z</v>
      </c>
      <c r="R39" s="13" t="str">
        <f t="shared" si="51"/>
        <v>A</v>
      </c>
      <c r="S39" s="13" t="str">
        <f t="shared" si="51"/>
        <v>B</v>
      </c>
      <c r="T39" s="13" t="str">
        <f t="shared" si="51"/>
        <v>C</v>
      </c>
      <c r="U39" s="13" t="str">
        <f t="shared" si="51"/>
        <v>D</v>
      </c>
      <c r="V39" s="13" t="str">
        <f t="shared" si="51"/>
        <v>E</v>
      </c>
      <c r="W39" s="13" t="str">
        <f t="shared" si="51"/>
        <v>F</v>
      </c>
      <c r="X39" s="13" t="str">
        <f t="shared" si="51"/>
        <v>G</v>
      </c>
      <c r="Y39" s="13" t="str">
        <f t="shared" si="51"/>
        <v>H</v>
      </c>
      <c r="Z39" s="13" t="str">
        <f t="shared" si="51"/>
        <v>I</v>
      </c>
      <c r="AA39" s="13" t="str">
        <f t="shared" si="51"/>
        <v>J</v>
      </c>
      <c r="AB39" s="13" t="str">
        <f t="shared" si="51"/>
        <v>K</v>
      </c>
      <c r="AC39" s="13" t="str">
        <f t="shared" si="51"/>
        <v>L</v>
      </c>
      <c r="AD39" s="13" t="str">
        <f t="shared" si="51"/>
        <v>M</v>
      </c>
      <c r="AE39" s="13" t="str">
        <f t="shared" si="51"/>
        <v>N</v>
      </c>
      <c r="AF39" s="10"/>
    </row>
    <row r="40" spans="2:59" x14ac:dyDescent="0.35">
      <c r="B40" s="22"/>
      <c r="C40" s="8"/>
      <c r="E40" t="s">
        <v>386</v>
      </c>
      <c r="F40" s="14" t="str">
        <f>IF(F38=1,VLOOKUP(nCurPosR+nRingOffsetR+(CODE(F37)-nCharOffset)-1,nNum2Let,2,FALSE),"")</f>
        <v>O</v>
      </c>
      <c r="G40" s="14" t="str">
        <f t="shared" ref="G40:AE40" si="52">IF(G38=1,VLOOKUP(nCurPosR+nRingOffsetR+(CODE(G37)-nCharOffset)-1,nNum2Let,2,FALSE),"")</f>
        <v>P</v>
      </c>
      <c r="H40" s="14" t="str">
        <f t="shared" si="52"/>
        <v>Q</v>
      </c>
      <c r="I40" s="14" t="str">
        <f t="shared" si="52"/>
        <v>R</v>
      </c>
      <c r="J40" s="14" t="str">
        <f t="shared" si="52"/>
        <v>S</v>
      </c>
      <c r="K40" s="14" t="str">
        <f t="shared" si="52"/>
        <v>T</v>
      </c>
      <c r="L40" s="14" t="str">
        <f t="shared" si="52"/>
        <v>U</v>
      </c>
      <c r="M40" s="14" t="str">
        <f t="shared" si="52"/>
        <v>V</v>
      </c>
      <c r="N40" s="14" t="str">
        <f t="shared" si="52"/>
        <v>W</v>
      </c>
      <c r="O40" s="14" t="str">
        <f t="shared" si="52"/>
        <v>X</v>
      </c>
      <c r="P40" s="14" t="str">
        <f t="shared" si="52"/>
        <v>Y</v>
      </c>
      <c r="Q40" s="14" t="str">
        <f t="shared" si="52"/>
        <v>Z</v>
      </c>
      <c r="R40" s="14" t="str">
        <f t="shared" si="52"/>
        <v>A</v>
      </c>
      <c r="S40" s="14" t="str">
        <f t="shared" si="52"/>
        <v>B</v>
      </c>
      <c r="T40" s="14" t="str">
        <f t="shared" si="52"/>
        <v>C</v>
      </c>
      <c r="U40" s="14" t="str">
        <f t="shared" si="52"/>
        <v>D</v>
      </c>
      <c r="V40" s="14" t="str">
        <f t="shared" si="52"/>
        <v>E</v>
      </c>
      <c r="W40" s="14" t="str">
        <f t="shared" si="52"/>
        <v>F</v>
      </c>
      <c r="X40" s="14" t="str">
        <f t="shared" si="52"/>
        <v>G</v>
      </c>
      <c r="Y40" s="14" t="str">
        <f t="shared" si="52"/>
        <v>H</v>
      </c>
      <c r="Z40" s="14" t="str">
        <f t="shared" si="52"/>
        <v>I</v>
      </c>
      <c r="AA40" s="14" t="str">
        <f t="shared" si="52"/>
        <v>J</v>
      </c>
      <c r="AB40" s="14" t="str">
        <f t="shared" si="52"/>
        <v>K</v>
      </c>
      <c r="AC40" s="14" t="str">
        <f t="shared" si="52"/>
        <v>L</v>
      </c>
      <c r="AD40" s="14" t="str">
        <f t="shared" si="52"/>
        <v>M</v>
      </c>
      <c r="AE40" s="14" t="str">
        <f t="shared" si="52"/>
        <v>N</v>
      </c>
      <c r="AF40" s="10"/>
      <c r="AH40" s="28" t="str">
        <f t="shared" ref="AH40:BG40" si="53">IF(LEN(AH42)=2,LEFT(AH42,1),"")</f>
        <v>A</v>
      </c>
      <c r="AI40" s="28" t="str">
        <f t="shared" si="53"/>
        <v>B</v>
      </c>
      <c r="AJ40" s="28" t="str">
        <f t="shared" si="53"/>
        <v>C</v>
      </c>
      <c r="AK40" s="28" t="str">
        <f t="shared" si="53"/>
        <v>D</v>
      </c>
      <c r="AL40" s="28" t="str">
        <f t="shared" si="53"/>
        <v>E</v>
      </c>
      <c r="AM40" s="28" t="str">
        <f t="shared" si="53"/>
        <v>F</v>
      </c>
      <c r="AN40" s="28" t="str">
        <f t="shared" si="53"/>
        <v>G</v>
      </c>
      <c r="AO40" s="28" t="str">
        <f t="shared" si="53"/>
        <v>H</v>
      </c>
      <c r="AP40" s="28" t="str">
        <f t="shared" si="53"/>
        <v>I</v>
      </c>
      <c r="AQ40" s="28" t="str">
        <f t="shared" si="53"/>
        <v>J</v>
      </c>
      <c r="AR40" s="28" t="str">
        <f t="shared" si="53"/>
        <v>K</v>
      </c>
      <c r="AS40" s="28" t="str">
        <f t="shared" si="53"/>
        <v>L</v>
      </c>
      <c r="AT40" s="28" t="str">
        <f t="shared" si="53"/>
        <v>M</v>
      </c>
      <c r="AU40" s="28" t="str">
        <f t="shared" si="53"/>
        <v>N</v>
      </c>
      <c r="AV40" s="28" t="str">
        <f t="shared" si="53"/>
        <v>O</v>
      </c>
      <c r="AW40" s="28" t="str">
        <f t="shared" si="53"/>
        <v>P</v>
      </c>
      <c r="AX40" s="28" t="str">
        <f t="shared" si="53"/>
        <v>Q</v>
      </c>
      <c r="AY40" s="28" t="str">
        <f t="shared" si="53"/>
        <v>R</v>
      </c>
      <c r="AZ40" s="28" t="str">
        <f t="shared" si="53"/>
        <v>S</v>
      </c>
      <c r="BA40" s="28" t="str">
        <f t="shared" si="53"/>
        <v>T</v>
      </c>
      <c r="BB40" s="28" t="str">
        <f t="shared" si="53"/>
        <v>U</v>
      </c>
      <c r="BC40" s="28" t="str">
        <f t="shared" si="53"/>
        <v>V</v>
      </c>
      <c r="BD40" s="28" t="str">
        <f t="shared" si="53"/>
        <v>W</v>
      </c>
      <c r="BE40" s="28" t="str">
        <f t="shared" si="53"/>
        <v>X</v>
      </c>
      <c r="BF40" s="28" t="str">
        <f t="shared" si="53"/>
        <v>Y</v>
      </c>
      <c r="BG40" s="28" t="str">
        <f t="shared" si="53"/>
        <v>Z</v>
      </c>
    </row>
    <row r="41" spans="2:59" x14ac:dyDescent="0.35">
      <c r="B41" s="22"/>
      <c r="C41" s="8"/>
      <c r="E41" t="s">
        <v>387</v>
      </c>
      <c r="F41" s="15" t="str">
        <f t="shared" ref="F41:AE41" si="54">IF(F38=1,VLOOKUP(nRotorR_Rev&amp;F40,nRotorRev,4,FALSE),"")</f>
        <v>Y</v>
      </c>
      <c r="G41" s="15" t="str">
        <f t="shared" si="54"/>
        <v>U</v>
      </c>
      <c r="H41" s="15" t="str">
        <f t="shared" si="54"/>
        <v>Q</v>
      </c>
      <c r="I41" s="15" t="str">
        <f t="shared" si="54"/>
        <v>G</v>
      </c>
      <c r="J41" s="15" t="str">
        <f t="shared" si="54"/>
        <v>E</v>
      </c>
      <c r="K41" s="15" t="str">
        <f t="shared" si="54"/>
        <v>N</v>
      </c>
      <c r="L41" s="15" t="str">
        <f t="shared" si="54"/>
        <v>H</v>
      </c>
      <c r="M41" s="15" t="str">
        <f t="shared" si="54"/>
        <v>X</v>
      </c>
      <c r="N41" s="15" t="str">
        <f t="shared" si="54"/>
        <v>M</v>
      </c>
      <c r="O41" s="15" t="str">
        <f t="shared" si="54"/>
        <v>I</v>
      </c>
      <c r="P41" s="15" t="str">
        <f t="shared" si="54"/>
        <v>V</v>
      </c>
      <c r="Q41" s="15" t="str">
        <f t="shared" si="54"/>
        <v>S</v>
      </c>
      <c r="R41" s="15" t="str">
        <f t="shared" si="54"/>
        <v>A</v>
      </c>
      <c r="S41" s="15" t="str">
        <f t="shared" si="54"/>
        <v>J</v>
      </c>
      <c r="T41" s="15" t="str">
        <f t="shared" si="54"/>
        <v>P</v>
      </c>
      <c r="U41" s="15" t="str">
        <f t="shared" si="54"/>
        <v>C</v>
      </c>
      <c r="V41" s="15" t="str">
        <f t="shared" si="54"/>
        <v>Z</v>
      </c>
      <c r="W41" s="15" t="str">
        <f t="shared" si="54"/>
        <v>W</v>
      </c>
      <c r="X41" s="15" t="str">
        <f t="shared" si="54"/>
        <v>R</v>
      </c>
      <c r="Y41" s="15" t="str">
        <f t="shared" si="54"/>
        <v>L</v>
      </c>
      <c r="Z41" s="15" t="str">
        <f t="shared" si="54"/>
        <v>F</v>
      </c>
      <c r="AA41" s="15" t="str">
        <f t="shared" si="54"/>
        <v>B</v>
      </c>
      <c r="AB41" s="15" t="str">
        <f t="shared" si="54"/>
        <v>D</v>
      </c>
      <c r="AC41" s="15" t="str">
        <f t="shared" si="54"/>
        <v>K</v>
      </c>
      <c r="AD41" s="15" t="str">
        <f t="shared" si="54"/>
        <v>O</v>
      </c>
      <c r="AE41" s="15" t="str">
        <f t="shared" si="54"/>
        <v>T</v>
      </c>
      <c r="AF41" s="10"/>
      <c r="AH41" s="28" t="str">
        <f t="shared" ref="AH41:BG41" si="55">IF(LEN(AH42)=2,RIGHT(AH42,1),"")</f>
        <v>K</v>
      </c>
      <c r="AI41" s="28" t="str">
        <f t="shared" si="55"/>
        <v>G</v>
      </c>
      <c r="AJ41" s="28" t="str">
        <f t="shared" si="55"/>
        <v>C</v>
      </c>
      <c r="AK41" s="28" t="str">
        <f t="shared" si="55"/>
        <v>S</v>
      </c>
      <c r="AL41" s="28" t="str">
        <f t="shared" si="55"/>
        <v>Q</v>
      </c>
      <c r="AM41" s="28" t="str">
        <f t="shared" si="55"/>
        <v>Z</v>
      </c>
      <c r="AN41" s="28" t="str">
        <f t="shared" si="55"/>
        <v>T</v>
      </c>
      <c r="AO41" s="28" t="str">
        <f t="shared" si="55"/>
        <v>J</v>
      </c>
      <c r="AP41" s="28" t="str">
        <f t="shared" si="55"/>
        <v>Y</v>
      </c>
      <c r="AQ41" s="28" t="str">
        <f t="shared" si="55"/>
        <v>U</v>
      </c>
      <c r="AR41" s="28" t="str">
        <f t="shared" si="55"/>
        <v>H</v>
      </c>
      <c r="AS41" s="28" t="str">
        <f t="shared" si="55"/>
        <v>E</v>
      </c>
      <c r="AT41" s="28" t="str">
        <f t="shared" si="55"/>
        <v>M</v>
      </c>
      <c r="AU41" s="28" t="str">
        <f t="shared" si="55"/>
        <v>V</v>
      </c>
      <c r="AV41" s="28" t="str">
        <f t="shared" si="55"/>
        <v>B</v>
      </c>
      <c r="AW41" s="28" t="str">
        <f t="shared" si="55"/>
        <v>O</v>
      </c>
      <c r="AX41" s="28" t="str">
        <f t="shared" si="55"/>
        <v>L</v>
      </c>
      <c r="AY41" s="28" t="str">
        <f t="shared" si="55"/>
        <v>I</v>
      </c>
      <c r="AZ41" s="28" t="str">
        <f t="shared" si="55"/>
        <v>D</v>
      </c>
      <c r="BA41" s="28" t="str">
        <f t="shared" si="55"/>
        <v>X</v>
      </c>
      <c r="BB41" s="28" t="str">
        <f t="shared" si="55"/>
        <v>R</v>
      </c>
      <c r="BC41" s="28" t="str">
        <f t="shared" si="55"/>
        <v>N</v>
      </c>
      <c r="BD41" s="28" t="str">
        <f t="shared" si="55"/>
        <v>P</v>
      </c>
      <c r="BE41" s="28" t="str">
        <f t="shared" si="55"/>
        <v>W</v>
      </c>
      <c r="BF41" s="28" t="str">
        <f t="shared" si="55"/>
        <v>A</v>
      </c>
      <c r="BG41" s="28" t="str">
        <f t="shared" si="55"/>
        <v>F</v>
      </c>
    </row>
    <row r="42" spans="2:59" ht="15" thickBot="1" x14ac:dyDescent="0.4">
      <c r="B42" s="23"/>
      <c r="C42" s="16"/>
      <c r="D42" s="17"/>
      <c r="E42" s="17" t="s">
        <v>388</v>
      </c>
      <c r="F42" s="18" t="str">
        <f t="shared" ref="F42:AE42" si="56">IF(F38=1,IF(CODE(F41)-CODE(F40)&lt;0,VLOOKUP((CODE(F41)-CODE(F40)+26)+(CODE(F37)-nCharOffset),nNum2Let,2,FALSE),VLOOKUP((CODE(F41)-CODE(F40))+(CODE(F37)-nCharOffset),nNum2Let,2,FALSE)),"")</f>
        <v>K</v>
      </c>
      <c r="G42" s="18" t="str">
        <f t="shared" si="56"/>
        <v>G</v>
      </c>
      <c r="H42" s="18" t="str">
        <f t="shared" si="56"/>
        <v>C</v>
      </c>
      <c r="I42" s="18" t="str">
        <f t="shared" si="56"/>
        <v>S</v>
      </c>
      <c r="J42" s="18" t="str">
        <f t="shared" si="56"/>
        <v>Q</v>
      </c>
      <c r="K42" s="18" t="str">
        <f t="shared" si="56"/>
        <v>Z</v>
      </c>
      <c r="L42" s="18" t="str">
        <f t="shared" si="56"/>
        <v>T</v>
      </c>
      <c r="M42" s="18" t="str">
        <f t="shared" si="56"/>
        <v>J</v>
      </c>
      <c r="N42" s="18" t="str">
        <f t="shared" si="56"/>
        <v>Y</v>
      </c>
      <c r="O42" s="18" t="str">
        <f t="shared" si="56"/>
        <v>U</v>
      </c>
      <c r="P42" s="18" t="str">
        <f t="shared" si="56"/>
        <v>H</v>
      </c>
      <c r="Q42" s="18" t="str">
        <f t="shared" si="56"/>
        <v>E</v>
      </c>
      <c r="R42" s="18" t="str">
        <f t="shared" si="56"/>
        <v>M</v>
      </c>
      <c r="S42" s="18" t="str">
        <f t="shared" si="56"/>
        <v>V</v>
      </c>
      <c r="T42" s="18" t="str">
        <f t="shared" si="56"/>
        <v>B</v>
      </c>
      <c r="U42" s="18" t="str">
        <f t="shared" si="56"/>
        <v>O</v>
      </c>
      <c r="V42" s="18" t="str">
        <f t="shared" si="56"/>
        <v>L</v>
      </c>
      <c r="W42" s="18" t="str">
        <f t="shared" si="56"/>
        <v>I</v>
      </c>
      <c r="X42" s="18" t="str">
        <f t="shared" si="56"/>
        <v>D</v>
      </c>
      <c r="Y42" s="18" t="str">
        <f t="shared" si="56"/>
        <v>X</v>
      </c>
      <c r="Z42" s="18" t="str">
        <f t="shared" si="56"/>
        <v>R</v>
      </c>
      <c r="AA42" s="18" t="str">
        <f t="shared" si="56"/>
        <v>N</v>
      </c>
      <c r="AB42" s="18" t="str">
        <f t="shared" si="56"/>
        <v>P</v>
      </c>
      <c r="AC42" s="18" t="str">
        <f t="shared" si="56"/>
        <v>W</v>
      </c>
      <c r="AD42" s="18" t="str">
        <f t="shared" si="56"/>
        <v>A</v>
      </c>
      <c r="AE42" s="18" t="str">
        <f t="shared" si="56"/>
        <v>F</v>
      </c>
      <c r="AF42" s="19" t="str">
        <f>CONCATENATE(F42,G42,H42,I42,J42,K42,L42,M42,N42,O42,P42,Q42,R42,S42,T42&amp;U42,V42,W42,X42,Y42,Z42,AA42,AB42,AC42,AD42,AE42)</f>
        <v>KGCSQZTJYUHEMVBOLIDXRNPWAF</v>
      </c>
      <c r="AH42" s="12" t="str">
        <f>F37&amp;F42</f>
        <v>AK</v>
      </c>
      <c r="AI42" s="12" t="str">
        <f t="shared" ref="AI42:BG42" si="57">G37&amp;G42</f>
        <v>BG</v>
      </c>
      <c r="AJ42" s="12" t="str">
        <f t="shared" si="57"/>
        <v>CC</v>
      </c>
      <c r="AK42" s="12" t="str">
        <f t="shared" si="57"/>
        <v>DS</v>
      </c>
      <c r="AL42" s="12" t="str">
        <f t="shared" si="57"/>
        <v>EQ</v>
      </c>
      <c r="AM42" s="12" t="str">
        <f t="shared" si="57"/>
        <v>FZ</v>
      </c>
      <c r="AN42" s="12" t="str">
        <f t="shared" si="57"/>
        <v>GT</v>
      </c>
      <c r="AO42" s="12" t="str">
        <f t="shared" si="57"/>
        <v>HJ</v>
      </c>
      <c r="AP42" s="12" t="str">
        <f t="shared" si="57"/>
        <v>IY</v>
      </c>
      <c r="AQ42" s="12" t="str">
        <f t="shared" si="57"/>
        <v>JU</v>
      </c>
      <c r="AR42" s="12" t="str">
        <f t="shared" si="57"/>
        <v>KH</v>
      </c>
      <c r="AS42" s="12" t="str">
        <f t="shared" si="57"/>
        <v>LE</v>
      </c>
      <c r="AT42" s="12" t="str">
        <f t="shared" si="57"/>
        <v>MM</v>
      </c>
      <c r="AU42" s="12" t="str">
        <f t="shared" si="57"/>
        <v>NV</v>
      </c>
      <c r="AV42" s="12" t="str">
        <f t="shared" si="57"/>
        <v>OB</v>
      </c>
      <c r="AW42" s="12" t="str">
        <f t="shared" si="57"/>
        <v>PO</v>
      </c>
      <c r="AX42" s="12" t="str">
        <f t="shared" si="57"/>
        <v>QL</v>
      </c>
      <c r="AY42" s="12" t="str">
        <f t="shared" si="57"/>
        <v>RI</v>
      </c>
      <c r="AZ42" s="12" t="str">
        <f t="shared" si="57"/>
        <v>SD</v>
      </c>
      <c r="BA42" s="12" t="str">
        <f t="shared" si="57"/>
        <v>TX</v>
      </c>
      <c r="BB42" s="12" t="str">
        <f t="shared" si="57"/>
        <v>UR</v>
      </c>
      <c r="BC42" s="12" t="str">
        <f t="shared" si="57"/>
        <v>VN</v>
      </c>
      <c r="BD42" s="12" t="str">
        <f t="shared" si="57"/>
        <v>WP</v>
      </c>
      <c r="BE42" s="12" t="str">
        <f t="shared" si="57"/>
        <v>XW</v>
      </c>
      <c r="BF42" s="12" t="str">
        <f t="shared" si="57"/>
        <v>YA</v>
      </c>
      <c r="BG42" s="12" t="str">
        <f t="shared" si="57"/>
        <v>ZF</v>
      </c>
    </row>
    <row r="43" spans="2:59" x14ac:dyDescent="0.35">
      <c r="F43" s="3" t="s">
        <v>0</v>
      </c>
      <c r="G43" s="3" t="s">
        <v>1</v>
      </c>
      <c r="H43" s="3" t="s">
        <v>2</v>
      </c>
      <c r="I43" s="3" t="s">
        <v>3</v>
      </c>
      <c r="J43" s="3" t="s">
        <v>4</v>
      </c>
      <c r="K43" s="3" t="s">
        <v>5</v>
      </c>
      <c r="L43" s="3" t="s">
        <v>6</v>
      </c>
      <c r="M43" s="3" t="s">
        <v>7</v>
      </c>
      <c r="N43" s="3" t="s">
        <v>8</v>
      </c>
      <c r="O43" s="3" t="s">
        <v>9</v>
      </c>
      <c r="P43" s="3" t="s">
        <v>10</v>
      </c>
      <c r="Q43" s="3" t="s">
        <v>11</v>
      </c>
      <c r="R43" s="3" t="s">
        <v>12</v>
      </c>
      <c r="S43" s="3" t="s">
        <v>13</v>
      </c>
      <c r="T43" s="3" t="s">
        <v>14</v>
      </c>
      <c r="U43" s="3" t="s">
        <v>15</v>
      </c>
      <c r="V43" s="3" t="s">
        <v>16</v>
      </c>
      <c r="W43" s="3" t="s">
        <v>17</v>
      </c>
      <c r="X43" s="3" t="s">
        <v>18</v>
      </c>
      <c r="Y43" s="3" t="s">
        <v>19</v>
      </c>
      <c r="Z43" s="3" t="s">
        <v>20</v>
      </c>
      <c r="AA43" s="3" t="s">
        <v>21</v>
      </c>
      <c r="AB43" s="3" t="s">
        <v>22</v>
      </c>
      <c r="AC43" s="3" t="s">
        <v>23</v>
      </c>
      <c r="AD43" s="3" t="s">
        <v>24</v>
      </c>
      <c r="AE43" s="3" t="s">
        <v>25</v>
      </c>
      <c r="AH43" s="42" t="str">
        <f>HLOOKUP(AH37,$AH40:$BG41,2,FALSE)</f>
        <v>B</v>
      </c>
      <c r="AI43" s="42" t="str">
        <f>HLOOKUP(AI37,$AH40:$BG41,2,FALSE)</f>
        <v>A</v>
      </c>
      <c r="AJ43" s="42" t="str">
        <f t="shared" ref="AJ43:BG43" si="58">HLOOKUP(AJ37,$AH40:$BG41,2,FALSE)</f>
        <v>T</v>
      </c>
      <c r="AK43" s="42" t="str">
        <f t="shared" si="58"/>
        <v>M</v>
      </c>
      <c r="AL43" s="42" t="str">
        <f t="shared" si="58"/>
        <v>W</v>
      </c>
      <c r="AM43" s="42" t="str">
        <f t="shared" si="58"/>
        <v>Y</v>
      </c>
      <c r="AN43" s="42" t="str">
        <f t="shared" si="58"/>
        <v>H</v>
      </c>
      <c r="AO43" s="42" t="str">
        <f t="shared" si="58"/>
        <v>G</v>
      </c>
      <c r="AP43" s="42" t="str">
        <f t="shared" si="58"/>
        <v>R</v>
      </c>
      <c r="AQ43" s="42" t="str">
        <f t="shared" si="58"/>
        <v>O</v>
      </c>
      <c r="AR43" s="42" t="str">
        <f t="shared" si="58"/>
        <v>P</v>
      </c>
      <c r="AS43" s="42" t="str">
        <f t="shared" si="58"/>
        <v>N</v>
      </c>
      <c r="AT43" s="42" t="str">
        <f t="shared" si="58"/>
        <v>D</v>
      </c>
      <c r="AU43" s="42" t="str">
        <f t="shared" si="58"/>
        <v>L</v>
      </c>
      <c r="AV43" s="42" t="str">
        <f t="shared" si="58"/>
        <v>J</v>
      </c>
      <c r="AW43" s="42" t="str">
        <f t="shared" si="58"/>
        <v>K</v>
      </c>
      <c r="AX43" s="42" t="str">
        <f t="shared" si="58"/>
        <v>V</v>
      </c>
      <c r="AY43" s="42" t="str">
        <f t="shared" si="58"/>
        <v>I</v>
      </c>
      <c r="AZ43" s="42" t="str">
        <f t="shared" si="58"/>
        <v>Z</v>
      </c>
      <c r="BA43" s="42" t="str">
        <f t="shared" si="58"/>
        <v>C</v>
      </c>
      <c r="BB43" s="42" t="str">
        <f t="shared" si="58"/>
        <v>X</v>
      </c>
      <c r="BC43" s="42" t="str">
        <f t="shared" si="58"/>
        <v>Q</v>
      </c>
      <c r="BD43" s="42" t="str">
        <f t="shared" si="58"/>
        <v>E</v>
      </c>
      <c r="BE43" s="42" t="str">
        <f t="shared" si="58"/>
        <v>U</v>
      </c>
      <c r="BF43" s="42" t="str">
        <f t="shared" si="58"/>
        <v>F</v>
      </c>
      <c r="BG43" s="42" t="str">
        <f t="shared" si="58"/>
        <v>S</v>
      </c>
    </row>
    <row r="44" spans="2:59" x14ac:dyDescent="0.35"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H44" s="95" t="s">
        <v>608</v>
      </c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U44" s="96"/>
      <c r="AV44" s="96"/>
      <c r="AW44" s="96"/>
      <c r="AX44" s="96"/>
      <c r="AY44" s="96"/>
      <c r="AZ44" s="96"/>
      <c r="BA44" s="96"/>
      <c r="BB44" s="96"/>
      <c r="BC44" s="96"/>
      <c r="BD44" s="96"/>
      <c r="BE44" s="96"/>
      <c r="BF44" s="96"/>
      <c r="BG44" s="97"/>
    </row>
  </sheetData>
  <sheetProtection sheet="1" objects="1" scenarios="1"/>
  <mergeCells count="2">
    <mergeCell ref="AH6:BG6"/>
    <mergeCell ref="AH44:BG44"/>
  </mergeCells>
  <pageMargins left="0.70866141732283472" right="0.70866141732283472" top="0.74803149606299213" bottom="0.74803149606299213" header="0.31496062992125984" footer="0.31496062992125984"/>
  <pageSetup paperSize="8" scale="6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pageSetUpPr fitToPage="1"/>
  </sheetPr>
  <dimension ref="A1:BG44"/>
  <sheetViews>
    <sheetView showGridLines="0" showRowColHeaders="0" zoomScale="80" zoomScaleNormal="80" workbookViewId="0"/>
  </sheetViews>
  <sheetFormatPr defaultRowHeight="14.5" x14ac:dyDescent="0.35"/>
  <cols>
    <col min="2" max="2" width="20.54296875" bestFit="1" customWidth="1"/>
    <col min="3" max="3" width="4.54296875" customWidth="1"/>
    <col min="4" max="4" width="8.1796875" bestFit="1" customWidth="1"/>
    <col min="5" max="5" width="15.54296875" bestFit="1" customWidth="1"/>
    <col min="6" max="6" width="3.453125" customWidth="1"/>
    <col min="7" max="7" width="4" customWidth="1"/>
    <col min="8" max="8" width="3.26953125" customWidth="1"/>
    <col min="9" max="9" width="4.1796875" customWidth="1"/>
    <col min="10" max="10" width="3.453125" customWidth="1"/>
    <col min="11" max="31" width="3.26953125" customWidth="1"/>
    <col min="32" max="32" width="32.26953125" bestFit="1" customWidth="1"/>
    <col min="34" max="59" width="3.453125" customWidth="1"/>
  </cols>
  <sheetData>
    <row r="1" spans="1:59" x14ac:dyDescent="0.35">
      <c r="B1" s="29" t="s">
        <v>378</v>
      </c>
      <c r="C1" s="75">
        <v>64</v>
      </c>
      <c r="D1" s="76" t="str">
        <f>nRotorL&amp;nRotorM&amp;nRotorR</f>
        <v>142</v>
      </c>
      <c r="E1" s="76" t="str">
        <f>F18&amp;F12&amp;F6</f>
        <v>ELO</v>
      </c>
      <c r="J1" s="44" t="s">
        <v>4</v>
      </c>
      <c r="K1" s="44" t="s">
        <v>13</v>
      </c>
      <c r="L1" s="44" t="s">
        <v>8</v>
      </c>
      <c r="M1" s="44" t="s">
        <v>6</v>
      </c>
      <c r="N1" s="44" t="s">
        <v>12</v>
      </c>
      <c r="O1" s="44" t="s">
        <v>0</v>
      </c>
      <c r="P1" s="44" t="s">
        <v>18</v>
      </c>
      <c r="Q1" s="44" t="s">
        <v>2</v>
      </c>
      <c r="R1" s="44" t="s">
        <v>17</v>
      </c>
      <c r="S1" s="44" t="s">
        <v>0</v>
      </c>
      <c r="T1" s="44" t="s">
        <v>12</v>
      </c>
      <c r="U1" s="44" t="s">
        <v>1</v>
      </c>
      <c r="V1" s="44" t="s">
        <v>11</v>
      </c>
      <c r="W1" s="44" t="s">
        <v>4</v>
      </c>
      <c r="X1" s="44" t="s">
        <v>17</v>
      </c>
      <c r="Y1" s="44">
        <v>1</v>
      </c>
      <c r="Z1" s="44">
        <v>2</v>
      </c>
    </row>
    <row r="2" spans="1:59" x14ac:dyDescent="0.35">
      <c r="D2" s="77">
        <f>nCounter</f>
        <v>3707</v>
      </c>
    </row>
    <row r="3" spans="1:59" ht="15" thickBot="1" x14ac:dyDescent="0.4">
      <c r="D3" s="78">
        <f>n_RO12</f>
        <v>0</v>
      </c>
      <c r="F3" s="1"/>
      <c r="AF3" s="79" t="s">
        <v>423</v>
      </c>
    </row>
    <row r="4" spans="1:59" x14ac:dyDescent="0.35">
      <c r="B4" s="21"/>
      <c r="C4" s="4"/>
      <c r="E4" s="5" t="s">
        <v>385</v>
      </c>
      <c r="F4" s="6" t="s">
        <v>0</v>
      </c>
      <c r="G4" s="6" t="s">
        <v>1</v>
      </c>
      <c r="H4" s="6" t="s">
        <v>2</v>
      </c>
      <c r="I4" s="6" t="s">
        <v>3</v>
      </c>
      <c r="J4" s="6" t="s">
        <v>4</v>
      </c>
      <c r="K4" s="6" t="s">
        <v>5</v>
      </c>
      <c r="L4" s="6" t="s">
        <v>6</v>
      </c>
      <c r="M4" s="6" t="s">
        <v>7</v>
      </c>
      <c r="N4" s="6" t="s">
        <v>8</v>
      </c>
      <c r="O4" s="6" t="s">
        <v>9</v>
      </c>
      <c r="P4" s="6" t="s">
        <v>10</v>
      </c>
      <c r="Q4" s="6" t="s">
        <v>11</v>
      </c>
      <c r="R4" s="6" t="s">
        <v>12</v>
      </c>
      <c r="S4" s="6" t="s">
        <v>13</v>
      </c>
      <c r="T4" s="6" t="s">
        <v>14</v>
      </c>
      <c r="U4" s="6" t="s">
        <v>15</v>
      </c>
      <c r="V4" s="6" t="s">
        <v>16</v>
      </c>
      <c r="W4" s="6" t="s">
        <v>17</v>
      </c>
      <c r="X4" s="6" t="s">
        <v>18</v>
      </c>
      <c r="Y4" s="6" t="s">
        <v>19</v>
      </c>
      <c r="Z4" s="6" t="s">
        <v>20</v>
      </c>
      <c r="AA4" s="6" t="s">
        <v>21</v>
      </c>
      <c r="AB4" s="6" t="s">
        <v>22</v>
      </c>
      <c r="AC4" s="6" t="s">
        <v>23</v>
      </c>
      <c r="AD4" s="6" t="s">
        <v>24</v>
      </c>
      <c r="AE4" s="6" t="s">
        <v>25</v>
      </c>
      <c r="AF4" s="10"/>
    </row>
    <row r="5" spans="1:59" x14ac:dyDescent="0.35">
      <c r="B5" s="22"/>
      <c r="C5" s="8"/>
      <c r="D5" s="9" t="s">
        <v>28</v>
      </c>
      <c r="E5" s="9" t="s">
        <v>27</v>
      </c>
      <c r="F5" s="1">
        <f t="shared" ref="F5:AE5" si="0">IF(ISERROR(FIND(F4,$AF3)),0,1)</f>
        <v>1</v>
      </c>
      <c r="G5" s="1">
        <f t="shared" si="0"/>
        <v>1</v>
      </c>
      <c r="H5" s="1">
        <f t="shared" si="0"/>
        <v>1</v>
      </c>
      <c r="I5" s="1">
        <f t="shared" si="0"/>
        <v>1</v>
      </c>
      <c r="J5" s="1">
        <f t="shared" si="0"/>
        <v>1</v>
      </c>
      <c r="K5" s="1">
        <f t="shared" si="0"/>
        <v>1</v>
      </c>
      <c r="L5" s="1">
        <f t="shared" si="0"/>
        <v>1</v>
      </c>
      <c r="M5" s="1">
        <f t="shared" si="0"/>
        <v>1</v>
      </c>
      <c r="N5" s="1">
        <f t="shared" si="0"/>
        <v>1</v>
      </c>
      <c r="O5" s="1">
        <f t="shared" si="0"/>
        <v>1</v>
      </c>
      <c r="P5" s="1">
        <f t="shared" si="0"/>
        <v>1</v>
      </c>
      <c r="Q5" s="1">
        <f t="shared" si="0"/>
        <v>1</v>
      </c>
      <c r="R5" s="1">
        <f t="shared" si="0"/>
        <v>1</v>
      </c>
      <c r="S5" s="1">
        <f t="shared" si="0"/>
        <v>1</v>
      </c>
      <c r="T5" s="1">
        <f t="shared" si="0"/>
        <v>1</v>
      </c>
      <c r="U5" s="1">
        <f t="shared" si="0"/>
        <v>1</v>
      </c>
      <c r="V5" s="1">
        <f t="shared" si="0"/>
        <v>1</v>
      </c>
      <c r="W5" s="1">
        <f t="shared" si="0"/>
        <v>1</v>
      </c>
      <c r="X5" s="1">
        <f t="shared" si="0"/>
        <v>1</v>
      </c>
      <c r="Y5" s="1">
        <f t="shared" si="0"/>
        <v>1</v>
      </c>
      <c r="Z5" s="1">
        <f t="shared" si="0"/>
        <v>1</v>
      </c>
      <c r="AA5" s="1">
        <f t="shared" si="0"/>
        <v>1</v>
      </c>
      <c r="AB5" s="1">
        <f t="shared" si="0"/>
        <v>1</v>
      </c>
      <c r="AC5" s="1">
        <f t="shared" si="0"/>
        <v>1</v>
      </c>
      <c r="AD5" s="1">
        <f t="shared" si="0"/>
        <v>1</v>
      </c>
      <c r="AE5" s="1">
        <f t="shared" si="0"/>
        <v>1</v>
      </c>
      <c r="AF5" s="10"/>
    </row>
    <row r="6" spans="1:59" x14ac:dyDescent="0.35">
      <c r="B6" s="22" t="s">
        <v>379</v>
      </c>
      <c r="C6" s="41">
        <f>n_RotorR</f>
        <v>2</v>
      </c>
      <c r="D6" s="11">
        <f>D3+D2</f>
        <v>3707</v>
      </c>
      <c r="E6" s="11">
        <f>IF(MOD(D6,26)=0,26,MOD(D6,26))</f>
        <v>15</v>
      </c>
      <c r="F6" s="12" t="str">
        <f>CHAR(E6+nCharOffset)</f>
        <v>O</v>
      </c>
      <c r="G6" s="13" t="str">
        <f t="shared" ref="G6:AE6" si="1">VLOOKUP(F6,nNextLetter,2,FALSE)</f>
        <v>P</v>
      </c>
      <c r="H6" s="13" t="str">
        <f t="shared" si="1"/>
        <v>Q</v>
      </c>
      <c r="I6" s="13" t="str">
        <f t="shared" si="1"/>
        <v>R</v>
      </c>
      <c r="J6" s="13" t="str">
        <f t="shared" si="1"/>
        <v>S</v>
      </c>
      <c r="K6" s="13" t="str">
        <f t="shared" si="1"/>
        <v>T</v>
      </c>
      <c r="L6" s="13" t="str">
        <f t="shared" si="1"/>
        <v>U</v>
      </c>
      <c r="M6" s="13" t="str">
        <f t="shared" si="1"/>
        <v>V</v>
      </c>
      <c r="N6" s="13" t="str">
        <f t="shared" si="1"/>
        <v>W</v>
      </c>
      <c r="O6" s="13" t="str">
        <f t="shared" si="1"/>
        <v>X</v>
      </c>
      <c r="P6" s="13" t="str">
        <f t="shared" si="1"/>
        <v>Y</v>
      </c>
      <c r="Q6" s="13" t="str">
        <f t="shared" si="1"/>
        <v>Z</v>
      </c>
      <c r="R6" s="13" t="str">
        <f t="shared" si="1"/>
        <v>A</v>
      </c>
      <c r="S6" s="13" t="str">
        <f t="shared" si="1"/>
        <v>B</v>
      </c>
      <c r="T6" s="13" t="str">
        <f t="shared" si="1"/>
        <v>C</v>
      </c>
      <c r="U6" s="13" t="str">
        <f t="shared" si="1"/>
        <v>D</v>
      </c>
      <c r="V6" s="13" t="str">
        <f t="shared" si="1"/>
        <v>E</v>
      </c>
      <c r="W6" s="13" t="str">
        <f t="shared" si="1"/>
        <v>F</v>
      </c>
      <c r="X6" s="13" t="str">
        <f t="shared" si="1"/>
        <v>G</v>
      </c>
      <c r="Y6" s="13" t="str">
        <f t="shared" si="1"/>
        <v>H</v>
      </c>
      <c r="Z6" s="13" t="str">
        <f t="shared" si="1"/>
        <v>I</v>
      </c>
      <c r="AA6" s="13" t="str">
        <f t="shared" si="1"/>
        <v>J</v>
      </c>
      <c r="AB6" s="13" t="str">
        <f t="shared" si="1"/>
        <v>K</v>
      </c>
      <c r="AC6" s="13" t="str">
        <f t="shared" si="1"/>
        <v>L</v>
      </c>
      <c r="AD6" s="13" t="str">
        <f t="shared" si="1"/>
        <v>M</v>
      </c>
      <c r="AE6" s="13" t="str">
        <f t="shared" si="1"/>
        <v>N</v>
      </c>
      <c r="AF6" s="10"/>
      <c r="AH6" s="95" t="s">
        <v>607</v>
      </c>
      <c r="AI6" s="96"/>
      <c r="AJ6" s="96"/>
      <c r="AK6" s="96"/>
      <c r="AL6" s="96"/>
      <c r="AM6" s="96"/>
      <c r="AN6" s="96"/>
      <c r="AO6" s="96"/>
      <c r="AP6" s="96"/>
      <c r="AQ6" s="96"/>
      <c r="AR6" s="96"/>
      <c r="AS6" s="96"/>
      <c r="AT6" s="96"/>
      <c r="AU6" s="96"/>
      <c r="AV6" s="96"/>
      <c r="AW6" s="96"/>
      <c r="AX6" s="96"/>
      <c r="AY6" s="96"/>
      <c r="AZ6" s="96"/>
      <c r="BA6" s="96"/>
      <c r="BB6" s="96"/>
      <c r="BC6" s="96"/>
      <c r="BD6" s="96"/>
      <c r="BE6" s="96"/>
      <c r="BF6" s="96"/>
      <c r="BG6" s="97"/>
    </row>
    <row r="7" spans="1:59" x14ac:dyDescent="0.35">
      <c r="B7" s="22" t="s">
        <v>389</v>
      </c>
      <c r="C7" s="41" t="str">
        <f>n_RingPosR</f>
        <v>A</v>
      </c>
      <c r="D7" s="11">
        <f>VLOOKUP(C7,nRingOffset,2,FALSE)</f>
        <v>0</v>
      </c>
      <c r="E7" t="s">
        <v>386</v>
      </c>
      <c r="F7" s="14" t="str">
        <f t="shared" ref="F7:AE7" si="2">IF(F5=1,VLOOKUP(nCurPosR+nRingOffsetR+(CODE(F4)-nCharOffset)-1,nNum2Let,2,FALSE),"")</f>
        <v>O</v>
      </c>
      <c r="G7" s="14" t="str">
        <f t="shared" si="2"/>
        <v>P</v>
      </c>
      <c r="H7" s="14" t="str">
        <f t="shared" si="2"/>
        <v>Q</v>
      </c>
      <c r="I7" s="14" t="str">
        <f t="shared" si="2"/>
        <v>R</v>
      </c>
      <c r="J7" s="14" t="str">
        <f t="shared" si="2"/>
        <v>S</v>
      </c>
      <c r="K7" s="14" t="str">
        <f t="shared" si="2"/>
        <v>T</v>
      </c>
      <c r="L7" s="14" t="str">
        <f t="shared" si="2"/>
        <v>U</v>
      </c>
      <c r="M7" s="14" t="str">
        <f t="shared" si="2"/>
        <v>V</v>
      </c>
      <c r="N7" s="14" t="str">
        <f t="shared" si="2"/>
        <v>W</v>
      </c>
      <c r="O7" s="14" t="str">
        <f t="shared" si="2"/>
        <v>X</v>
      </c>
      <c r="P7" s="14" t="str">
        <f t="shared" si="2"/>
        <v>Y</v>
      </c>
      <c r="Q7" s="14" t="str">
        <f t="shared" si="2"/>
        <v>Z</v>
      </c>
      <c r="R7" s="14" t="str">
        <f t="shared" si="2"/>
        <v>A</v>
      </c>
      <c r="S7" s="14" t="str">
        <f t="shared" si="2"/>
        <v>B</v>
      </c>
      <c r="T7" s="14" t="str">
        <f t="shared" si="2"/>
        <v>C</v>
      </c>
      <c r="U7" s="14" t="str">
        <f t="shared" si="2"/>
        <v>D</v>
      </c>
      <c r="V7" s="14" t="str">
        <f t="shared" si="2"/>
        <v>E</v>
      </c>
      <c r="W7" s="14" t="str">
        <f t="shared" si="2"/>
        <v>F</v>
      </c>
      <c r="X7" s="14" t="str">
        <f t="shared" si="2"/>
        <v>G</v>
      </c>
      <c r="Y7" s="14" t="str">
        <f t="shared" si="2"/>
        <v>H</v>
      </c>
      <c r="Z7" s="14" t="str">
        <f t="shared" si="2"/>
        <v>I</v>
      </c>
      <c r="AA7" s="14" t="str">
        <f t="shared" si="2"/>
        <v>J</v>
      </c>
      <c r="AB7" s="14" t="str">
        <f t="shared" si="2"/>
        <v>K</v>
      </c>
      <c r="AC7" s="14" t="str">
        <f t="shared" si="2"/>
        <v>L</v>
      </c>
      <c r="AD7" s="14" t="str">
        <f t="shared" si="2"/>
        <v>M</v>
      </c>
      <c r="AE7" s="14" t="str">
        <f t="shared" si="2"/>
        <v>N</v>
      </c>
      <c r="AF7" s="10"/>
      <c r="AH7" s="42" t="str">
        <f t="shared" ref="AH7:BG7" si="3">IF(LEN(AH9)=2,LEFT(AH9,1),"")</f>
        <v>A</v>
      </c>
      <c r="AI7" s="42" t="str">
        <f t="shared" si="3"/>
        <v>B</v>
      </c>
      <c r="AJ7" s="42" t="str">
        <f t="shared" si="3"/>
        <v>C</v>
      </c>
      <c r="AK7" s="42" t="str">
        <f t="shared" si="3"/>
        <v>D</v>
      </c>
      <c r="AL7" s="42" t="str">
        <f t="shared" si="3"/>
        <v>E</v>
      </c>
      <c r="AM7" s="42" t="str">
        <f t="shared" si="3"/>
        <v>F</v>
      </c>
      <c r="AN7" s="42" t="str">
        <f t="shared" si="3"/>
        <v>G</v>
      </c>
      <c r="AO7" s="42" t="str">
        <f t="shared" si="3"/>
        <v>H</v>
      </c>
      <c r="AP7" s="42" t="str">
        <f t="shared" si="3"/>
        <v>I</v>
      </c>
      <c r="AQ7" s="42" t="str">
        <f t="shared" si="3"/>
        <v>J</v>
      </c>
      <c r="AR7" s="42" t="str">
        <f t="shared" si="3"/>
        <v>K</v>
      </c>
      <c r="AS7" s="42" t="str">
        <f t="shared" si="3"/>
        <v>L</v>
      </c>
      <c r="AT7" s="42" t="str">
        <f t="shared" si="3"/>
        <v>M</v>
      </c>
      <c r="AU7" s="42" t="str">
        <f t="shared" si="3"/>
        <v>N</v>
      </c>
      <c r="AV7" s="42" t="str">
        <f t="shared" si="3"/>
        <v>O</v>
      </c>
      <c r="AW7" s="42" t="str">
        <f t="shared" si="3"/>
        <v>P</v>
      </c>
      <c r="AX7" s="42" t="str">
        <f t="shared" si="3"/>
        <v>Q</v>
      </c>
      <c r="AY7" s="42" t="str">
        <f t="shared" si="3"/>
        <v>R</v>
      </c>
      <c r="AZ7" s="42" t="str">
        <f t="shared" si="3"/>
        <v>S</v>
      </c>
      <c r="BA7" s="42" t="str">
        <f t="shared" si="3"/>
        <v>T</v>
      </c>
      <c r="BB7" s="42" t="str">
        <f t="shared" si="3"/>
        <v>U</v>
      </c>
      <c r="BC7" s="42" t="str">
        <f t="shared" si="3"/>
        <v>V</v>
      </c>
      <c r="BD7" s="42" t="str">
        <f t="shared" si="3"/>
        <v>W</v>
      </c>
      <c r="BE7" s="42" t="str">
        <f t="shared" si="3"/>
        <v>X</v>
      </c>
      <c r="BF7" s="42" t="str">
        <f t="shared" si="3"/>
        <v>Y</v>
      </c>
      <c r="BG7" s="42" t="str">
        <f t="shared" si="3"/>
        <v>Z</v>
      </c>
    </row>
    <row r="8" spans="1:59" x14ac:dyDescent="0.35">
      <c r="B8" s="22"/>
      <c r="C8" s="8"/>
      <c r="E8" t="s">
        <v>387</v>
      </c>
      <c r="F8" s="15" t="str">
        <f t="shared" ref="F8:AE8" si="4">IF(F5=1,VLOOKUP(nRotorR&amp;F7,nRotor,4,FALSE),"")</f>
        <v>M</v>
      </c>
      <c r="G8" s="15" t="str">
        <f t="shared" si="4"/>
        <v>C</v>
      </c>
      <c r="H8" s="15" t="str">
        <f t="shared" si="4"/>
        <v>Q</v>
      </c>
      <c r="I8" s="15" t="str">
        <f t="shared" si="4"/>
        <v>G</v>
      </c>
      <c r="J8" s="15" t="str">
        <f t="shared" si="4"/>
        <v>Z</v>
      </c>
      <c r="K8" s="15" t="str">
        <f t="shared" si="4"/>
        <v>N</v>
      </c>
      <c r="L8" s="15" t="str">
        <f t="shared" si="4"/>
        <v>P</v>
      </c>
      <c r="M8" s="15" t="str">
        <f t="shared" si="4"/>
        <v>Y</v>
      </c>
      <c r="N8" s="15" t="str">
        <f t="shared" si="4"/>
        <v>F</v>
      </c>
      <c r="O8" s="15" t="str">
        <f t="shared" si="4"/>
        <v>V</v>
      </c>
      <c r="P8" s="15" t="str">
        <f t="shared" si="4"/>
        <v>O</v>
      </c>
      <c r="Q8" s="15" t="str">
        <f t="shared" si="4"/>
        <v>E</v>
      </c>
      <c r="R8" s="15" t="str">
        <f t="shared" si="4"/>
        <v>A</v>
      </c>
      <c r="S8" s="15" t="str">
        <f t="shared" si="4"/>
        <v>J</v>
      </c>
      <c r="T8" s="15" t="str">
        <f t="shared" si="4"/>
        <v>D</v>
      </c>
      <c r="U8" s="15" t="str">
        <f t="shared" si="4"/>
        <v>K</v>
      </c>
      <c r="V8" s="15" t="str">
        <f t="shared" si="4"/>
        <v>S</v>
      </c>
      <c r="W8" s="15" t="str">
        <f t="shared" si="4"/>
        <v>I</v>
      </c>
      <c r="X8" s="15" t="str">
        <f t="shared" si="4"/>
        <v>R</v>
      </c>
      <c r="Y8" s="15" t="str">
        <f t="shared" si="4"/>
        <v>U</v>
      </c>
      <c r="Z8" s="15" t="str">
        <f t="shared" si="4"/>
        <v>X</v>
      </c>
      <c r="AA8" s="15" t="str">
        <f t="shared" si="4"/>
        <v>B</v>
      </c>
      <c r="AB8" s="15" t="str">
        <f t="shared" si="4"/>
        <v>L</v>
      </c>
      <c r="AC8" s="15" t="str">
        <f t="shared" si="4"/>
        <v>H</v>
      </c>
      <c r="AD8" s="15" t="str">
        <f t="shared" si="4"/>
        <v>W</v>
      </c>
      <c r="AE8" s="15" t="str">
        <f t="shared" si="4"/>
        <v>T</v>
      </c>
      <c r="AF8" s="10"/>
      <c r="AH8" s="28" t="str">
        <f t="shared" ref="AH8:BG8" si="5">IF(LEN(AH9)=2,RIGHT(AH9,1),"")</f>
        <v>Y</v>
      </c>
      <c r="AI8" s="28" t="str">
        <f t="shared" si="5"/>
        <v>O</v>
      </c>
      <c r="AJ8" s="28" t="str">
        <f t="shared" si="5"/>
        <v>C</v>
      </c>
      <c r="AK8" s="28" t="str">
        <f t="shared" si="5"/>
        <v>S</v>
      </c>
      <c r="AL8" s="28" t="str">
        <f t="shared" si="5"/>
        <v>L</v>
      </c>
      <c r="AM8" s="28" t="str">
        <f t="shared" si="5"/>
        <v>Z</v>
      </c>
      <c r="AN8" s="28" t="str">
        <f t="shared" si="5"/>
        <v>B</v>
      </c>
      <c r="AO8" s="28" t="str">
        <f t="shared" si="5"/>
        <v>K</v>
      </c>
      <c r="AP8" s="28" t="str">
        <f t="shared" si="5"/>
        <v>R</v>
      </c>
      <c r="AQ8" s="28" t="str">
        <f t="shared" si="5"/>
        <v>H</v>
      </c>
      <c r="AR8" s="28" t="str">
        <f t="shared" si="5"/>
        <v>A</v>
      </c>
      <c r="AS8" s="28" t="str">
        <f t="shared" si="5"/>
        <v>Q</v>
      </c>
      <c r="AT8" s="28" t="str">
        <f t="shared" si="5"/>
        <v>M</v>
      </c>
      <c r="AU8" s="28" t="str">
        <f t="shared" si="5"/>
        <v>V</v>
      </c>
      <c r="AV8" s="28" t="str">
        <f t="shared" si="5"/>
        <v>P</v>
      </c>
      <c r="AW8" s="28" t="str">
        <f t="shared" si="5"/>
        <v>W</v>
      </c>
      <c r="AX8" s="28" t="str">
        <f t="shared" si="5"/>
        <v>E</v>
      </c>
      <c r="AY8" s="28" t="str">
        <f t="shared" si="5"/>
        <v>U</v>
      </c>
      <c r="AZ8" s="28" t="str">
        <f t="shared" si="5"/>
        <v>D</v>
      </c>
      <c r="BA8" s="28" t="str">
        <f t="shared" si="5"/>
        <v>G</v>
      </c>
      <c r="BB8" s="28" t="str">
        <f t="shared" si="5"/>
        <v>J</v>
      </c>
      <c r="BC8" s="28" t="str">
        <f t="shared" si="5"/>
        <v>N</v>
      </c>
      <c r="BD8" s="28" t="str">
        <f t="shared" si="5"/>
        <v>X</v>
      </c>
      <c r="BE8" s="28" t="str">
        <f t="shared" si="5"/>
        <v>T</v>
      </c>
      <c r="BF8" s="28" t="str">
        <f t="shared" si="5"/>
        <v>I</v>
      </c>
      <c r="BG8" s="28" t="str">
        <f t="shared" si="5"/>
        <v>F</v>
      </c>
    </row>
    <row r="9" spans="1:59" ht="15" thickBot="1" x14ac:dyDescent="0.4">
      <c r="B9" s="23"/>
      <c r="C9" s="16"/>
      <c r="D9" s="17"/>
      <c r="E9" s="17" t="s">
        <v>388</v>
      </c>
      <c r="F9" s="18" t="str">
        <f t="shared" ref="F9:AE9" si="6">IF(F5=1,IF(CODE(F8)-CODE(F7)&lt;0,VLOOKUP((CODE(F8)-CODE(F7)+26)+(CODE(F4)-nCharOffset),nNum2Let,2,FALSE),VLOOKUP((CODE(F8)-CODE(F7))+(CODE(F4)-nCharOffset),nNum2Let,2,FALSE)),"")</f>
        <v>Y</v>
      </c>
      <c r="G9" s="18" t="str">
        <f t="shared" si="6"/>
        <v>O</v>
      </c>
      <c r="H9" s="18" t="str">
        <f t="shared" si="6"/>
        <v>C</v>
      </c>
      <c r="I9" s="18" t="str">
        <f t="shared" si="6"/>
        <v>S</v>
      </c>
      <c r="J9" s="18" t="str">
        <f t="shared" si="6"/>
        <v>L</v>
      </c>
      <c r="K9" s="18" t="str">
        <f t="shared" si="6"/>
        <v>Z</v>
      </c>
      <c r="L9" s="18" t="str">
        <f t="shared" si="6"/>
        <v>B</v>
      </c>
      <c r="M9" s="18" t="str">
        <f t="shared" si="6"/>
        <v>K</v>
      </c>
      <c r="N9" s="18" t="str">
        <f t="shared" si="6"/>
        <v>R</v>
      </c>
      <c r="O9" s="18" t="str">
        <f t="shared" si="6"/>
        <v>H</v>
      </c>
      <c r="P9" s="18" t="str">
        <f t="shared" si="6"/>
        <v>A</v>
      </c>
      <c r="Q9" s="18" t="str">
        <f t="shared" si="6"/>
        <v>Q</v>
      </c>
      <c r="R9" s="18" t="str">
        <f t="shared" si="6"/>
        <v>M</v>
      </c>
      <c r="S9" s="18" t="str">
        <f t="shared" si="6"/>
        <v>V</v>
      </c>
      <c r="T9" s="18" t="str">
        <f t="shared" si="6"/>
        <v>P</v>
      </c>
      <c r="U9" s="18" t="str">
        <f t="shared" si="6"/>
        <v>W</v>
      </c>
      <c r="V9" s="18" t="str">
        <f t="shared" si="6"/>
        <v>E</v>
      </c>
      <c r="W9" s="18" t="str">
        <f t="shared" si="6"/>
        <v>U</v>
      </c>
      <c r="X9" s="18" t="str">
        <f t="shared" si="6"/>
        <v>D</v>
      </c>
      <c r="Y9" s="18" t="str">
        <f t="shared" si="6"/>
        <v>G</v>
      </c>
      <c r="Z9" s="18" t="str">
        <f t="shared" si="6"/>
        <v>J</v>
      </c>
      <c r="AA9" s="18" t="str">
        <f t="shared" si="6"/>
        <v>N</v>
      </c>
      <c r="AB9" s="18" t="str">
        <f t="shared" si="6"/>
        <v>X</v>
      </c>
      <c r="AC9" s="18" t="str">
        <f t="shared" si="6"/>
        <v>T</v>
      </c>
      <c r="AD9" s="18" t="str">
        <f t="shared" si="6"/>
        <v>I</v>
      </c>
      <c r="AE9" s="18" t="str">
        <f t="shared" si="6"/>
        <v>F</v>
      </c>
      <c r="AF9" s="19" t="str">
        <f>CONCATENATE(F9,G9,H9,I9,J9,K9,L9,M9,N9,O9,P9,Q9,R9,S9,T9&amp;U9,V9,W9,X9,Y9,Z9,AA9,AB9,AC9,AD9,AE9)</f>
        <v>YOCSLZBKRHAQMVPWEUDGJNXTIF</v>
      </c>
      <c r="AH9" s="12" t="str">
        <f>F4&amp;F9</f>
        <v>AY</v>
      </c>
      <c r="AI9" s="12" t="str">
        <f t="shared" ref="AI9:BG9" si="7">G4&amp;G9</f>
        <v>BO</v>
      </c>
      <c r="AJ9" s="12" t="str">
        <f t="shared" si="7"/>
        <v>CC</v>
      </c>
      <c r="AK9" s="12" t="str">
        <f t="shared" si="7"/>
        <v>DS</v>
      </c>
      <c r="AL9" s="12" t="str">
        <f t="shared" si="7"/>
        <v>EL</v>
      </c>
      <c r="AM9" s="12" t="str">
        <f t="shared" si="7"/>
        <v>FZ</v>
      </c>
      <c r="AN9" s="12" t="str">
        <f t="shared" si="7"/>
        <v>GB</v>
      </c>
      <c r="AO9" s="12" t="str">
        <f t="shared" si="7"/>
        <v>HK</v>
      </c>
      <c r="AP9" s="12" t="str">
        <f t="shared" si="7"/>
        <v>IR</v>
      </c>
      <c r="AQ9" s="12" t="str">
        <f t="shared" si="7"/>
        <v>JH</v>
      </c>
      <c r="AR9" s="12" t="str">
        <f t="shared" si="7"/>
        <v>KA</v>
      </c>
      <c r="AS9" s="12" t="str">
        <f t="shared" si="7"/>
        <v>LQ</v>
      </c>
      <c r="AT9" s="12" t="str">
        <f t="shared" si="7"/>
        <v>MM</v>
      </c>
      <c r="AU9" s="12" t="str">
        <f t="shared" si="7"/>
        <v>NV</v>
      </c>
      <c r="AV9" s="12" t="str">
        <f t="shared" si="7"/>
        <v>OP</v>
      </c>
      <c r="AW9" s="12" t="str">
        <f t="shared" si="7"/>
        <v>PW</v>
      </c>
      <c r="AX9" s="12" t="str">
        <f t="shared" si="7"/>
        <v>QE</v>
      </c>
      <c r="AY9" s="12" t="str">
        <f t="shared" si="7"/>
        <v>RU</v>
      </c>
      <c r="AZ9" s="12" t="str">
        <f t="shared" si="7"/>
        <v>SD</v>
      </c>
      <c r="BA9" s="12" t="str">
        <f t="shared" si="7"/>
        <v>TG</v>
      </c>
      <c r="BB9" s="12" t="str">
        <f t="shared" si="7"/>
        <v>UJ</v>
      </c>
      <c r="BC9" s="12" t="str">
        <f t="shared" si="7"/>
        <v>VN</v>
      </c>
      <c r="BD9" s="12" t="str">
        <f t="shared" si="7"/>
        <v>WX</v>
      </c>
      <c r="BE9" s="12" t="str">
        <f t="shared" si="7"/>
        <v>XT</v>
      </c>
      <c r="BF9" s="12" t="str">
        <f t="shared" si="7"/>
        <v>YI</v>
      </c>
      <c r="BG9" s="12" t="str">
        <f t="shared" si="7"/>
        <v>ZF</v>
      </c>
    </row>
    <row r="10" spans="1:59" x14ac:dyDescent="0.35">
      <c r="B10" s="21"/>
      <c r="C10" s="4"/>
      <c r="D10" s="5"/>
      <c r="E10" s="5" t="s">
        <v>385</v>
      </c>
      <c r="F10" s="6" t="s">
        <v>0</v>
      </c>
      <c r="G10" s="6" t="s">
        <v>1</v>
      </c>
      <c r="H10" s="6" t="s">
        <v>2</v>
      </c>
      <c r="I10" s="6" t="s">
        <v>3</v>
      </c>
      <c r="J10" s="6" t="s">
        <v>4</v>
      </c>
      <c r="K10" s="6" t="s">
        <v>5</v>
      </c>
      <c r="L10" s="6" t="s">
        <v>6</v>
      </c>
      <c r="M10" s="6" t="s">
        <v>7</v>
      </c>
      <c r="N10" s="6" t="s">
        <v>8</v>
      </c>
      <c r="O10" s="6" t="s">
        <v>9</v>
      </c>
      <c r="P10" s="6" t="s">
        <v>10</v>
      </c>
      <c r="Q10" s="6" t="s">
        <v>11</v>
      </c>
      <c r="R10" s="6" t="s">
        <v>12</v>
      </c>
      <c r="S10" s="6" t="s">
        <v>13</v>
      </c>
      <c r="T10" s="6" t="s">
        <v>14</v>
      </c>
      <c r="U10" s="6" t="s">
        <v>15</v>
      </c>
      <c r="V10" s="6" t="s">
        <v>16</v>
      </c>
      <c r="W10" s="6" t="s">
        <v>17</v>
      </c>
      <c r="X10" s="6" t="s">
        <v>18</v>
      </c>
      <c r="Y10" s="6" t="s">
        <v>19</v>
      </c>
      <c r="Z10" s="6" t="s">
        <v>20</v>
      </c>
      <c r="AA10" s="6" t="s">
        <v>21</v>
      </c>
      <c r="AB10" s="6" t="s">
        <v>22</v>
      </c>
      <c r="AC10" s="6" t="s">
        <v>23</v>
      </c>
      <c r="AD10" s="6" t="s">
        <v>24</v>
      </c>
      <c r="AE10" s="6" t="s">
        <v>25</v>
      </c>
      <c r="AF10" s="20"/>
    </row>
    <row r="11" spans="1:59" x14ac:dyDescent="0.35">
      <c r="A11" s="43">
        <f>INT(D2/26)</f>
        <v>142</v>
      </c>
      <c r="B11" s="10"/>
      <c r="C11" s="8"/>
      <c r="F11" s="1">
        <f>IF(ISERROR(FIND(F10,$AF9)),0,1)</f>
        <v>1</v>
      </c>
      <c r="G11" s="1">
        <f t="shared" ref="G11:AE11" si="8">IF(ISERROR(FIND(G10,$AF9)),0,1)</f>
        <v>1</v>
      </c>
      <c r="H11" s="1">
        <f t="shared" si="8"/>
        <v>1</v>
      </c>
      <c r="I11" s="1">
        <f t="shared" si="8"/>
        <v>1</v>
      </c>
      <c r="J11" s="1">
        <f t="shared" si="8"/>
        <v>1</v>
      </c>
      <c r="K11" s="1">
        <f t="shared" si="8"/>
        <v>1</v>
      </c>
      <c r="L11" s="1">
        <f t="shared" si="8"/>
        <v>1</v>
      </c>
      <c r="M11" s="1">
        <f t="shared" si="8"/>
        <v>1</v>
      </c>
      <c r="N11" s="1">
        <f t="shared" si="8"/>
        <v>1</v>
      </c>
      <c r="O11" s="1">
        <f t="shared" si="8"/>
        <v>1</v>
      </c>
      <c r="P11" s="1">
        <f t="shared" si="8"/>
        <v>1</v>
      </c>
      <c r="Q11" s="1">
        <f t="shared" si="8"/>
        <v>1</v>
      </c>
      <c r="R11" s="1">
        <f t="shared" si="8"/>
        <v>1</v>
      </c>
      <c r="S11" s="1">
        <f t="shared" si="8"/>
        <v>1</v>
      </c>
      <c r="T11" s="1">
        <f t="shared" si="8"/>
        <v>1</v>
      </c>
      <c r="U11" s="1">
        <f t="shared" si="8"/>
        <v>1</v>
      </c>
      <c r="V11" s="1">
        <f t="shared" si="8"/>
        <v>1</v>
      </c>
      <c r="W11" s="1">
        <f t="shared" si="8"/>
        <v>1</v>
      </c>
      <c r="X11" s="1">
        <f t="shared" si="8"/>
        <v>1</v>
      </c>
      <c r="Y11" s="1">
        <f t="shared" si="8"/>
        <v>1</v>
      </c>
      <c r="Z11" s="1">
        <f t="shared" si="8"/>
        <v>1</v>
      </c>
      <c r="AA11" s="1">
        <f t="shared" si="8"/>
        <v>1</v>
      </c>
      <c r="AB11" s="1">
        <f t="shared" si="8"/>
        <v>1</v>
      </c>
      <c r="AC11" s="1">
        <f t="shared" si="8"/>
        <v>1</v>
      </c>
      <c r="AD11" s="1">
        <f t="shared" si="8"/>
        <v>1</v>
      </c>
      <c r="AE11" s="1">
        <f t="shared" si="8"/>
        <v>1</v>
      </c>
      <c r="AF11" s="10"/>
    </row>
    <row r="12" spans="1:59" x14ac:dyDescent="0.35">
      <c r="A12" s="43">
        <f>IF(A11=0,26,A11)</f>
        <v>142</v>
      </c>
      <c r="B12" s="10" t="s">
        <v>380</v>
      </c>
      <c r="C12" s="41">
        <f>n_RotorM</f>
        <v>4</v>
      </c>
      <c r="D12" s="11">
        <f>A12</f>
        <v>142</v>
      </c>
      <c r="E12" s="11">
        <f>IF(MOD(D12,26)=0,26,MOD(D12,26))</f>
        <v>12</v>
      </c>
      <c r="F12" s="12" t="str">
        <f>CHAR(E12+nCharOffset)</f>
        <v>L</v>
      </c>
      <c r="G12" s="13" t="str">
        <f t="shared" ref="G12:AE12" si="9">VLOOKUP(F12,nNextLetter,2,FALSE)</f>
        <v>M</v>
      </c>
      <c r="H12" s="13" t="str">
        <f t="shared" si="9"/>
        <v>N</v>
      </c>
      <c r="I12" s="13" t="str">
        <f t="shared" si="9"/>
        <v>O</v>
      </c>
      <c r="J12" s="13" t="str">
        <f t="shared" si="9"/>
        <v>P</v>
      </c>
      <c r="K12" s="13" t="str">
        <f t="shared" si="9"/>
        <v>Q</v>
      </c>
      <c r="L12" s="13" t="str">
        <f t="shared" si="9"/>
        <v>R</v>
      </c>
      <c r="M12" s="13" t="str">
        <f t="shared" si="9"/>
        <v>S</v>
      </c>
      <c r="N12" s="13" t="str">
        <f t="shared" si="9"/>
        <v>T</v>
      </c>
      <c r="O12" s="13" t="str">
        <f t="shared" si="9"/>
        <v>U</v>
      </c>
      <c r="P12" s="13" t="str">
        <f t="shared" si="9"/>
        <v>V</v>
      </c>
      <c r="Q12" s="13" t="str">
        <f t="shared" si="9"/>
        <v>W</v>
      </c>
      <c r="R12" s="13" t="str">
        <f t="shared" si="9"/>
        <v>X</v>
      </c>
      <c r="S12" s="13" t="str">
        <f t="shared" si="9"/>
        <v>Y</v>
      </c>
      <c r="T12" s="13" t="str">
        <f t="shared" si="9"/>
        <v>Z</v>
      </c>
      <c r="U12" s="13" t="str">
        <f t="shared" si="9"/>
        <v>A</v>
      </c>
      <c r="V12" s="13" t="str">
        <f t="shared" si="9"/>
        <v>B</v>
      </c>
      <c r="W12" s="13" t="str">
        <f t="shared" si="9"/>
        <v>C</v>
      </c>
      <c r="X12" s="13" t="str">
        <f t="shared" si="9"/>
        <v>D</v>
      </c>
      <c r="Y12" s="13" t="str">
        <f t="shared" si="9"/>
        <v>E</v>
      </c>
      <c r="Z12" s="13" t="str">
        <f t="shared" si="9"/>
        <v>F</v>
      </c>
      <c r="AA12" s="13" t="str">
        <f t="shared" si="9"/>
        <v>G</v>
      </c>
      <c r="AB12" s="13" t="str">
        <f t="shared" si="9"/>
        <v>H</v>
      </c>
      <c r="AC12" s="13" t="str">
        <f t="shared" si="9"/>
        <v>I</v>
      </c>
      <c r="AD12" s="13" t="str">
        <f t="shared" si="9"/>
        <v>J</v>
      </c>
      <c r="AE12" s="13" t="str">
        <f t="shared" si="9"/>
        <v>K</v>
      </c>
      <c r="AF12" s="10"/>
    </row>
    <row r="13" spans="1:59" x14ac:dyDescent="0.35">
      <c r="B13" s="22" t="s">
        <v>390</v>
      </c>
      <c r="C13" s="41" t="str">
        <f>n_RingPosM</f>
        <v>A</v>
      </c>
      <c r="D13" s="11">
        <f>VLOOKUP(C13,nRingOffset,2,FALSE)</f>
        <v>0</v>
      </c>
      <c r="E13" t="s">
        <v>386</v>
      </c>
      <c r="F13" s="14" t="str">
        <f t="shared" ref="F13:AE13" si="10">IF(F11=1,VLOOKUP(nCurPosM+nRingOffsetM+(CODE(F10)-nCharOffset)-1,nNum2Let,2,FALSE),"")</f>
        <v>L</v>
      </c>
      <c r="G13" s="14" t="str">
        <f t="shared" si="10"/>
        <v>M</v>
      </c>
      <c r="H13" s="14" t="str">
        <f t="shared" si="10"/>
        <v>N</v>
      </c>
      <c r="I13" s="14" t="str">
        <f t="shared" si="10"/>
        <v>O</v>
      </c>
      <c r="J13" s="14" t="str">
        <f t="shared" si="10"/>
        <v>P</v>
      </c>
      <c r="K13" s="14" t="str">
        <f t="shared" si="10"/>
        <v>Q</v>
      </c>
      <c r="L13" s="14" t="str">
        <f t="shared" si="10"/>
        <v>R</v>
      </c>
      <c r="M13" s="14" t="str">
        <f t="shared" si="10"/>
        <v>S</v>
      </c>
      <c r="N13" s="14" t="str">
        <f t="shared" si="10"/>
        <v>T</v>
      </c>
      <c r="O13" s="14" t="str">
        <f t="shared" si="10"/>
        <v>U</v>
      </c>
      <c r="P13" s="14" t="str">
        <f t="shared" si="10"/>
        <v>V</v>
      </c>
      <c r="Q13" s="14" t="str">
        <f t="shared" si="10"/>
        <v>W</v>
      </c>
      <c r="R13" s="14" t="str">
        <f t="shared" si="10"/>
        <v>X</v>
      </c>
      <c r="S13" s="14" t="str">
        <f t="shared" si="10"/>
        <v>Y</v>
      </c>
      <c r="T13" s="14" t="str">
        <f t="shared" si="10"/>
        <v>Z</v>
      </c>
      <c r="U13" s="14" t="str">
        <f t="shared" si="10"/>
        <v>A</v>
      </c>
      <c r="V13" s="14" t="str">
        <f t="shared" si="10"/>
        <v>B</v>
      </c>
      <c r="W13" s="14" t="str">
        <f t="shared" si="10"/>
        <v>C</v>
      </c>
      <c r="X13" s="14" t="str">
        <f t="shared" si="10"/>
        <v>D</v>
      </c>
      <c r="Y13" s="14" t="str">
        <f t="shared" si="10"/>
        <v>E</v>
      </c>
      <c r="Z13" s="14" t="str">
        <f t="shared" si="10"/>
        <v>F</v>
      </c>
      <c r="AA13" s="14" t="str">
        <f t="shared" si="10"/>
        <v>G</v>
      </c>
      <c r="AB13" s="14" t="str">
        <f t="shared" si="10"/>
        <v>H</v>
      </c>
      <c r="AC13" s="14" t="str">
        <f t="shared" si="10"/>
        <v>I</v>
      </c>
      <c r="AD13" s="14" t="str">
        <f t="shared" si="10"/>
        <v>J</v>
      </c>
      <c r="AE13" s="14" t="str">
        <f t="shared" si="10"/>
        <v>K</v>
      </c>
      <c r="AF13" s="10"/>
      <c r="AH13" s="28" t="str">
        <f t="shared" ref="AH13:BG13" si="11">IF(LEN(AH15)=2,LEFT(AH15,1),"")</f>
        <v>A</v>
      </c>
      <c r="AI13" s="28" t="str">
        <f t="shared" si="11"/>
        <v>B</v>
      </c>
      <c r="AJ13" s="28" t="str">
        <f t="shared" si="11"/>
        <v>C</v>
      </c>
      <c r="AK13" s="28" t="str">
        <f t="shared" si="11"/>
        <v>D</v>
      </c>
      <c r="AL13" s="28" t="str">
        <f t="shared" si="11"/>
        <v>E</v>
      </c>
      <c r="AM13" s="28" t="str">
        <f t="shared" si="11"/>
        <v>F</v>
      </c>
      <c r="AN13" s="28" t="str">
        <f t="shared" si="11"/>
        <v>G</v>
      </c>
      <c r="AO13" s="28" t="str">
        <f t="shared" si="11"/>
        <v>H</v>
      </c>
      <c r="AP13" s="28" t="str">
        <f t="shared" si="11"/>
        <v>I</v>
      </c>
      <c r="AQ13" s="28" t="str">
        <f t="shared" si="11"/>
        <v>J</v>
      </c>
      <c r="AR13" s="28" t="str">
        <f t="shared" si="11"/>
        <v>K</v>
      </c>
      <c r="AS13" s="28" t="str">
        <f t="shared" si="11"/>
        <v>L</v>
      </c>
      <c r="AT13" s="28" t="str">
        <f t="shared" si="11"/>
        <v>M</v>
      </c>
      <c r="AU13" s="28" t="str">
        <f t="shared" si="11"/>
        <v>N</v>
      </c>
      <c r="AV13" s="28" t="str">
        <f t="shared" si="11"/>
        <v>O</v>
      </c>
      <c r="AW13" s="28" t="str">
        <f t="shared" si="11"/>
        <v>P</v>
      </c>
      <c r="AX13" s="28" t="str">
        <f t="shared" si="11"/>
        <v>Q</v>
      </c>
      <c r="AY13" s="28" t="str">
        <f t="shared" si="11"/>
        <v>R</v>
      </c>
      <c r="AZ13" s="28" t="str">
        <f t="shared" si="11"/>
        <v>S</v>
      </c>
      <c r="BA13" s="28" t="str">
        <f t="shared" si="11"/>
        <v>T</v>
      </c>
      <c r="BB13" s="28" t="str">
        <f t="shared" si="11"/>
        <v>U</v>
      </c>
      <c r="BC13" s="28" t="str">
        <f t="shared" si="11"/>
        <v>V</v>
      </c>
      <c r="BD13" s="28" t="str">
        <f t="shared" si="11"/>
        <v>W</v>
      </c>
      <c r="BE13" s="28" t="str">
        <f t="shared" si="11"/>
        <v>X</v>
      </c>
      <c r="BF13" s="28" t="str">
        <f t="shared" si="11"/>
        <v>Y</v>
      </c>
      <c r="BG13" s="28" t="str">
        <f t="shared" si="11"/>
        <v>Z</v>
      </c>
    </row>
    <row r="14" spans="1:59" x14ac:dyDescent="0.35">
      <c r="B14" s="22"/>
      <c r="C14" s="8"/>
      <c r="E14" t="s">
        <v>387</v>
      </c>
      <c r="F14" s="15" t="str">
        <f t="shared" ref="F14:AE14" si="12">IF(F11=1,VLOOKUP(nRotorM&amp;F13,nRotor,4,FALSE),"")</f>
        <v>I</v>
      </c>
      <c r="G14" s="15" t="str">
        <f t="shared" si="12"/>
        <v>R</v>
      </c>
      <c r="H14" s="15" t="str">
        <f t="shared" si="12"/>
        <v>H</v>
      </c>
      <c r="I14" s="15" t="str">
        <f t="shared" si="12"/>
        <v>X</v>
      </c>
      <c r="J14" s="15" t="str">
        <f t="shared" si="12"/>
        <v>L</v>
      </c>
      <c r="K14" s="15" t="str">
        <f t="shared" si="12"/>
        <v>N</v>
      </c>
      <c r="L14" s="15" t="str">
        <f t="shared" si="12"/>
        <v>F</v>
      </c>
      <c r="M14" s="15" t="str">
        <f t="shared" si="12"/>
        <v>T</v>
      </c>
      <c r="N14" s="15" t="str">
        <f t="shared" si="12"/>
        <v>G</v>
      </c>
      <c r="O14" s="15" t="str">
        <f t="shared" si="12"/>
        <v>K</v>
      </c>
      <c r="P14" s="15" t="str">
        <f t="shared" si="12"/>
        <v>D</v>
      </c>
      <c r="Q14" s="15" t="str">
        <f t="shared" si="12"/>
        <v>C</v>
      </c>
      <c r="R14" s="15" t="str">
        <f t="shared" si="12"/>
        <v>M</v>
      </c>
      <c r="S14" s="15" t="str">
        <f t="shared" si="12"/>
        <v>W</v>
      </c>
      <c r="T14" s="15" t="str">
        <f t="shared" si="12"/>
        <v>B</v>
      </c>
      <c r="U14" s="15" t="str">
        <f t="shared" si="12"/>
        <v>E</v>
      </c>
      <c r="V14" s="15" t="str">
        <f t="shared" si="12"/>
        <v>S</v>
      </c>
      <c r="W14" s="15" t="str">
        <f t="shared" si="12"/>
        <v>O</v>
      </c>
      <c r="X14" s="15" t="str">
        <f t="shared" si="12"/>
        <v>V</v>
      </c>
      <c r="Y14" s="15" t="str">
        <f t="shared" si="12"/>
        <v>P</v>
      </c>
      <c r="Z14" s="15" t="str">
        <f t="shared" si="12"/>
        <v>Z</v>
      </c>
      <c r="AA14" s="15" t="str">
        <f t="shared" si="12"/>
        <v>J</v>
      </c>
      <c r="AB14" s="15" t="str">
        <f t="shared" si="12"/>
        <v>A</v>
      </c>
      <c r="AC14" s="15" t="str">
        <f t="shared" si="12"/>
        <v>Y</v>
      </c>
      <c r="AD14" s="15" t="str">
        <f t="shared" si="12"/>
        <v>Q</v>
      </c>
      <c r="AE14" s="15" t="str">
        <f t="shared" si="12"/>
        <v>U</v>
      </c>
      <c r="AF14" s="10"/>
      <c r="AH14" s="28" t="str">
        <f t="shared" ref="AH14:BG14" si="13">IF(LEN(AH15)=2,RIGHT(AH15,1),"")</f>
        <v>X</v>
      </c>
      <c r="AI14" s="28" t="str">
        <f t="shared" si="13"/>
        <v>G</v>
      </c>
      <c r="AJ14" s="28" t="str">
        <f t="shared" si="13"/>
        <v>W</v>
      </c>
      <c r="AK14" s="28" t="str">
        <f t="shared" si="13"/>
        <v>M</v>
      </c>
      <c r="AL14" s="28" t="str">
        <f t="shared" si="13"/>
        <v>A</v>
      </c>
      <c r="AM14" s="28" t="str">
        <f t="shared" si="13"/>
        <v>C</v>
      </c>
      <c r="AN14" s="28" t="str">
        <f t="shared" si="13"/>
        <v>U</v>
      </c>
      <c r="AO14" s="28" t="str">
        <f t="shared" si="13"/>
        <v>I</v>
      </c>
      <c r="AP14" s="28" t="str">
        <f t="shared" si="13"/>
        <v>V</v>
      </c>
      <c r="AQ14" s="28" t="str">
        <f t="shared" si="13"/>
        <v>Z</v>
      </c>
      <c r="AR14" s="28" t="str">
        <f t="shared" si="13"/>
        <v>S</v>
      </c>
      <c r="AS14" s="28" t="str">
        <f t="shared" si="13"/>
        <v>R</v>
      </c>
      <c r="AT14" s="28" t="str">
        <f t="shared" si="13"/>
        <v>B</v>
      </c>
      <c r="AU14" s="28" t="str">
        <f t="shared" si="13"/>
        <v>L</v>
      </c>
      <c r="AV14" s="28" t="str">
        <f t="shared" si="13"/>
        <v>Q</v>
      </c>
      <c r="AW14" s="28" t="str">
        <f t="shared" si="13"/>
        <v>T</v>
      </c>
      <c r="AX14" s="28" t="str">
        <f t="shared" si="13"/>
        <v>H</v>
      </c>
      <c r="AY14" s="28" t="str">
        <f t="shared" si="13"/>
        <v>D</v>
      </c>
      <c r="AZ14" s="28" t="str">
        <f t="shared" si="13"/>
        <v>K</v>
      </c>
      <c r="BA14" s="28" t="str">
        <f t="shared" si="13"/>
        <v>E</v>
      </c>
      <c r="BB14" s="28" t="str">
        <f t="shared" si="13"/>
        <v>O</v>
      </c>
      <c r="BC14" s="28" t="str">
        <f t="shared" si="13"/>
        <v>Y</v>
      </c>
      <c r="BD14" s="28" t="str">
        <f t="shared" si="13"/>
        <v>P</v>
      </c>
      <c r="BE14" s="28" t="str">
        <f t="shared" si="13"/>
        <v>N</v>
      </c>
      <c r="BF14" s="28" t="str">
        <f t="shared" si="13"/>
        <v>F</v>
      </c>
      <c r="BG14" s="28" t="str">
        <f t="shared" si="13"/>
        <v>J</v>
      </c>
    </row>
    <row r="15" spans="1:59" ht="15" thickBot="1" x14ac:dyDescent="0.4">
      <c r="B15" s="23"/>
      <c r="C15" s="16"/>
      <c r="D15" s="17"/>
      <c r="E15" s="17" t="s">
        <v>388</v>
      </c>
      <c r="F15" s="18" t="str">
        <f t="shared" ref="F15:AE15" si="14">IF(F11=1,IF(CODE(F14)-CODE(F13)&lt;0,VLOOKUP((CODE(F14)-CODE(F13)+26)+(CODE(F10)-nCharOffset),nNum2Let,2,FALSE),VLOOKUP((CODE(F14)-CODE(F13))+(CODE(F10)-nCharOffset),nNum2Let,2,FALSE)),"")</f>
        <v>X</v>
      </c>
      <c r="G15" s="18" t="str">
        <f t="shared" si="14"/>
        <v>G</v>
      </c>
      <c r="H15" s="18" t="str">
        <f t="shared" si="14"/>
        <v>W</v>
      </c>
      <c r="I15" s="18" t="str">
        <f t="shared" si="14"/>
        <v>M</v>
      </c>
      <c r="J15" s="18" t="str">
        <f t="shared" si="14"/>
        <v>A</v>
      </c>
      <c r="K15" s="18" t="str">
        <f t="shared" si="14"/>
        <v>C</v>
      </c>
      <c r="L15" s="18" t="str">
        <f t="shared" si="14"/>
        <v>U</v>
      </c>
      <c r="M15" s="18" t="str">
        <f t="shared" si="14"/>
        <v>I</v>
      </c>
      <c r="N15" s="18" t="str">
        <f t="shared" si="14"/>
        <v>V</v>
      </c>
      <c r="O15" s="18" t="str">
        <f t="shared" si="14"/>
        <v>Z</v>
      </c>
      <c r="P15" s="18" t="str">
        <f t="shared" si="14"/>
        <v>S</v>
      </c>
      <c r="Q15" s="18" t="str">
        <f t="shared" si="14"/>
        <v>R</v>
      </c>
      <c r="R15" s="18" t="str">
        <f t="shared" si="14"/>
        <v>B</v>
      </c>
      <c r="S15" s="18" t="str">
        <f t="shared" si="14"/>
        <v>L</v>
      </c>
      <c r="T15" s="18" t="str">
        <f t="shared" si="14"/>
        <v>Q</v>
      </c>
      <c r="U15" s="18" t="str">
        <f t="shared" si="14"/>
        <v>T</v>
      </c>
      <c r="V15" s="18" t="str">
        <f t="shared" si="14"/>
        <v>H</v>
      </c>
      <c r="W15" s="18" t="str">
        <f t="shared" si="14"/>
        <v>D</v>
      </c>
      <c r="X15" s="18" t="str">
        <f t="shared" si="14"/>
        <v>K</v>
      </c>
      <c r="Y15" s="18" t="str">
        <f t="shared" si="14"/>
        <v>E</v>
      </c>
      <c r="Z15" s="18" t="str">
        <f t="shared" si="14"/>
        <v>O</v>
      </c>
      <c r="AA15" s="18" t="str">
        <f t="shared" si="14"/>
        <v>Y</v>
      </c>
      <c r="AB15" s="18" t="str">
        <f t="shared" si="14"/>
        <v>P</v>
      </c>
      <c r="AC15" s="18" t="str">
        <f t="shared" si="14"/>
        <v>N</v>
      </c>
      <c r="AD15" s="18" t="str">
        <f t="shared" si="14"/>
        <v>F</v>
      </c>
      <c r="AE15" s="18" t="str">
        <f t="shared" si="14"/>
        <v>J</v>
      </c>
      <c r="AF15" s="19" t="str">
        <f>CONCATENATE(F15,G15,H15,I15,J15,K15,L15,M15,N15,O15,P15,Q15,R15,S15,T15&amp;U15,V15,W15,X15,Y15,Z15,AA15,AB15,AC15,AD15,AE15)</f>
        <v>XGWMACUIVZSRBLQTHDKEOYPNFJ</v>
      </c>
      <c r="AH15" s="12" t="str">
        <f>F10&amp;F15</f>
        <v>AX</v>
      </c>
      <c r="AI15" s="12" t="str">
        <f t="shared" ref="AI15:BG15" si="15">G10&amp;G15</f>
        <v>BG</v>
      </c>
      <c r="AJ15" s="12" t="str">
        <f t="shared" si="15"/>
        <v>CW</v>
      </c>
      <c r="AK15" s="12" t="str">
        <f t="shared" si="15"/>
        <v>DM</v>
      </c>
      <c r="AL15" s="12" t="str">
        <f t="shared" si="15"/>
        <v>EA</v>
      </c>
      <c r="AM15" s="12" t="str">
        <f t="shared" si="15"/>
        <v>FC</v>
      </c>
      <c r="AN15" s="12" t="str">
        <f t="shared" si="15"/>
        <v>GU</v>
      </c>
      <c r="AO15" s="12" t="str">
        <f t="shared" si="15"/>
        <v>HI</v>
      </c>
      <c r="AP15" s="12" t="str">
        <f t="shared" si="15"/>
        <v>IV</v>
      </c>
      <c r="AQ15" s="12" t="str">
        <f t="shared" si="15"/>
        <v>JZ</v>
      </c>
      <c r="AR15" s="12" t="str">
        <f t="shared" si="15"/>
        <v>KS</v>
      </c>
      <c r="AS15" s="12" t="str">
        <f t="shared" si="15"/>
        <v>LR</v>
      </c>
      <c r="AT15" s="12" t="str">
        <f t="shared" si="15"/>
        <v>MB</v>
      </c>
      <c r="AU15" s="12" t="str">
        <f t="shared" si="15"/>
        <v>NL</v>
      </c>
      <c r="AV15" s="12" t="str">
        <f t="shared" si="15"/>
        <v>OQ</v>
      </c>
      <c r="AW15" s="12" t="str">
        <f t="shared" si="15"/>
        <v>PT</v>
      </c>
      <c r="AX15" s="12" t="str">
        <f t="shared" si="15"/>
        <v>QH</v>
      </c>
      <c r="AY15" s="12" t="str">
        <f t="shared" si="15"/>
        <v>RD</v>
      </c>
      <c r="AZ15" s="12" t="str">
        <f t="shared" si="15"/>
        <v>SK</v>
      </c>
      <c r="BA15" s="12" t="str">
        <f t="shared" si="15"/>
        <v>TE</v>
      </c>
      <c r="BB15" s="12" t="str">
        <f t="shared" si="15"/>
        <v>UO</v>
      </c>
      <c r="BC15" s="12" t="str">
        <f t="shared" si="15"/>
        <v>VY</v>
      </c>
      <c r="BD15" s="12" t="str">
        <f t="shared" si="15"/>
        <v>WP</v>
      </c>
      <c r="BE15" s="12" t="str">
        <f t="shared" si="15"/>
        <v>XN</v>
      </c>
      <c r="BF15" s="12" t="str">
        <f t="shared" si="15"/>
        <v>YF</v>
      </c>
      <c r="BG15" s="12" t="str">
        <f t="shared" si="15"/>
        <v>ZJ</v>
      </c>
    </row>
    <row r="16" spans="1:59" x14ac:dyDescent="0.35">
      <c r="B16" s="21"/>
      <c r="C16" s="4"/>
      <c r="D16" s="5"/>
      <c r="E16" s="5" t="s">
        <v>385</v>
      </c>
      <c r="F16" s="6" t="s">
        <v>0</v>
      </c>
      <c r="G16" s="6" t="s">
        <v>1</v>
      </c>
      <c r="H16" s="6" t="s">
        <v>2</v>
      </c>
      <c r="I16" s="6" t="s">
        <v>3</v>
      </c>
      <c r="J16" s="6" t="s">
        <v>4</v>
      </c>
      <c r="K16" s="6" t="s">
        <v>5</v>
      </c>
      <c r="L16" s="6" t="s">
        <v>6</v>
      </c>
      <c r="M16" s="6" t="s">
        <v>7</v>
      </c>
      <c r="N16" s="6" t="s">
        <v>8</v>
      </c>
      <c r="O16" s="6" t="s">
        <v>9</v>
      </c>
      <c r="P16" s="6" t="s">
        <v>10</v>
      </c>
      <c r="Q16" s="6" t="s">
        <v>11</v>
      </c>
      <c r="R16" s="6" t="s">
        <v>12</v>
      </c>
      <c r="S16" s="6" t="s">
        <v>13</v>
      </c>
      <c r="T16" s="6" t="s">
        <v>14</v>
      </c>
      <c r="U16" s="6" t="s">
        <v>15</v>
      </c>
      <c r="V16" s="6" t="s">
        <v>16</v>
      </c>
      <c r="W16" s="6" t="s">
        <v>17</v>
      </c>
      <c r="X16" s="6" t="s">
        <v>18</v>
      </c>
      <c r="Y16" s="6" t="s">
        <v>19</v>
      </c>
      <c r="Z16" s="6" t="s">
        <v>20</v>
      </c>
      <c r="AA16" s="6" t="s">
        <v>21</v>
      </c>
      <c r="AB16" s="6" t="s">
        <v>22</v>
      </c>
      <c r="AC16" s="6" t="s">
        <v>23</v>
      </c>
      <c r="AD16" s="6" t="s">
        <v>24</v>
      </c>
      <c r="AE16" s="6" t="s">
        <v>25</v>
      </c>
      <c r="AF16" s="7"/>
      <c r="AH16" s="28" t="str">
        <f>HLOOKUP(AH8,$AH13:$BG14,2,FALSE)</f>
        <v>F</v>
      </c>
      <c r="AI16" s="28" t="str">
        <f>HLOOKUP(AI8,$AH13:$BG14,2,FALSE)</f>
        <v>Q</v>
      </c>
      <c r="AJ16" s="28" t="str">
        <f>HLOOKUP(AJ8,$AH13:$BG14,2,FALSE)</f>
        <v>W</v>
      </c>
      <c r="AK16" s="28" t="str">
        <f t="shared" ref="AK16:BG16" si="16">HLOOKUP(AK8,$AH13:$BG14,2,FALSE)</f>
        <v>K</v>
      </c>
      <c r="AL16" s="28" t="str">
        <f t="shared" si="16"/>
        <v>R</v>
      </c>
      <c r="AM16" s="28" t="str">
        <f t="shared" si="16"/>
        <v>J</v>
      </c>
      <c r="AN16" s="28" t="str">
        <f t="shared" si="16"/>
        <v>G</v>
      </c>
      <c r="AO16" s="28" t="str">
        <f t="shared" si="16"/>
        <v>S</v>
      </c>
      <c r="AP16" s="28" t="str">
        <f t="shared" si="16"/>
        <v>D</v>
      </c>
      <c r="AQ16" s="28" t="str">
        <f t="shared" si="16"/>
        <v>I</v>
      </c>
      <c r="AR16" s="28" t="str">
        <f t="shared" si="16"/>
        <v>X</v>
      </c>
      <c r="AS16" s="28" t="str">
        <f t="shared" si="16"/>
        <v>H</v>
      </c>
      <c r="AT16" s="28" t="str">
        <f t="shared" si="16"/>
        <v>B</v>
      </c>
      <c r="AU16" s="28" t="str">
        <f t="shared" si="16"/>
        <v>Y</v>
      </c>
      <c r="AV16" s="28" t="str">
        <f t="shared" si="16"/>
        <v>T</v>
      </c>
      <c r="AW16" s="28" t="str">
        <f t="shared" si="16"/>
        <v>P</v>
      </c>
      <c r="AX16" s="28" t="str">
        <f t="shared" si="16"/>
        <v>A</v>
      </c>
      <c r="AY16" s="28" t="str">
        <f t="shared" si="16"/>
        <v>O</v>
      </c>
      <c r="AZ16" s="28" t="str">
        <f t="shared" si="16"/>
        <v>M</v>
      </c>
      <c r="BA16" s="28" t="str">
        <f t="shared" si="16"/>
        <v>U</v>
      </c>
      <c r="BB16" s="28" t="str">
        <f t="shared" si="16"/>
        <v>Z</v>
      </c>
      <c r="BC16" s="28" t="str">
        <f t="shared" si="16"/>
        <v>L</v>
      </c>
      <c r="BD16" s="28" t="str">
        <f t="shared" si="16"/>
        <v>N</v>
      </c>
      <c r="BE16" s="28" t="str">
        <f t="shared" si="16"/>
        <v>E</v>
      </c>
      <c r="BF16" s="28" t="str">
        <f t="shared" si="16"/>
        <v>V</v>
      </c>
      <c r="BG16" s="28" t="str">
        <f t="shared" si="16"/>
        <v>C</v>
      </c>
    </row>
    <row r="17" spans="1:59" x14ac:dyDescent="0.35">
      <c r="A17" s="43">
        <f>INT(D2/676)</f>
        <v>5</v>
      </c>
      <c r="B17" s="10"/>
      <c r="C17" s="8"/>
      <c r="F17" s="1">
        <f>IF(ISERROR(FIND(F16,$AF15)),0,1)</f>
        <v>1</v>
      </c>
      <c r="G17" s="1">
        <f t="shared" ref="G17:AE17" si="17">IF(ISERROR(FIND(G16,$AF15)),0,1)</f>
        <v>1</v>
      </c>
      <c r="H17" s="1">
        <f t="shared" si="17"/>
        <v>1</v>
      </c>
      <c r="I17" s="1">
        <f t="shared" si="17"/>
        <v>1</v>
      </c>
      <c r="J17" s="1">
        <f t="shared" si="17"/>
        <v>1</v>
      </c>
      <c r="K17" s="1">
        <f t="shared" si="17"/>
        <v>1</v>
      </c>
      <c r="L17" s="1">
        <f t="shared" si="17"/>
        <v>1</v>
      </c>
      <c r="M17" s="1">
        <f t="shared" si="17"/>
        <v>1</v>
      </c>
      <c r="N17" s="1">
        <f t="shared" si="17"/>
        <v>1</v>
      </c>
      <c r="O17" s="1">
        <f t="shared" si="17"/>
        <v>1</v>
      </c>
      <c r="P17" s="1">
        <f t="shared" si="17"/>
        <v>1</v>
      </c>
      <c r="Q17" s="1">
        <f t="shared" si="17"/>
        <v>1</v>
      </c>
      <c r="R17" s="1">
        <f t="shared" si="17"/>
        <v>1</v>
      </c>
      <c r="S17" s="1">
        <f t="shared" si="17"/>
        <v>1</v>
      </c>
      <c r="T17" s="1">
        <f t="shared" si="17"/>
        <v>1</v>
      </c>
      <c r="U17" s="1">
        <f t="shared" si="17"/>
        <v>1</v>
      </c>
      <c r="V17" s="1">
        <f t="shared" si="17"/>
        <v>1</v>
      </c>
      <c r="W17" s="1">
        <f t="shared" si="17"/>
        <v>1</v>
      </c>
      <c r="X17" s="1">
        <f t="shared" si="17"/>
        <v>1</v>
      </c>
      <c r="Y17" s="1">
        <f t="shared" si="17"/>
        <v>1</v>
      </c>
      <c r="Z17" s="1">
        <f t="shared" si="17"/>
        <v>1</v>
      </c>
      <c r="AA17" s="1">
        <f t="shared" si="17"/>
        <v>1</v>
      </c>
      <c r="AB17" s="1">
        <f t="shared" si="17"/>
        <v>1</v>
      </c>
      <c r="AC17" s="1">
        <f t="shared" si="17"/>
        <v>1</v>
      </c>
      <c r="AD17" s="1">
        <f t="shared" si="17"/>
        <v>1</v>
      </c>
      <c r="AE17" s="1">
        <f t="shared" si="17"/>
        <v>1</v>
      </c>
      <c r="AF17" s="10"/>
    </row>
    <row r="18" spans="1:59" x14ac:dyDescent="0.35">
      <c r="A18" s="43">
        <f>IF(A17=0,26,A17)</f>
        <v>5</v>
      </c>
      <c r="B18" s="10" t="s">
        <v>381</v>
      </c>
      <c r="C18" s="41">
        <f>n_RotorL</f>
        <v>1</v>
      </c>
      <c r="D18" s="11">
        <f>A18</f>
        <v>5</v>
      </c>
      <c r="E18" s="11">
        <f>IF(MOD(D18,26)=0,26,MOD(D18,26))</f>
        <v>5</v>
      </c>
      <c r="F18" s="12" t="str">
        <f>CHAR(E18+nCharOffset)</f>
        <v>E</v>
      </c>
      <c r="G18" s="13" t="str">
        <f t="shared" ref="G18:AE18" si="18">VLOOKUP(F18,nNextLetter,2,FALSE)</f>
        <v>F</v>
      </c>
      <c r="H18" s="13" t="str">
        <f t="shared" si="18"/>
        <v>G</v>
      </c>
      <c r="I18" s="13" t="str">
        <f t="shared" si="18"/>
        <v>H</v>
      </c>
      <c r="J18" s="13" t="str">
        <f t="shared" si="18"/>
        <v>I</v>
      </c>
      <c r="K18" s="13" t="str">
        <f t="shared" si="18"/>
        <v>J</v>
      </c>
      <c r="L18" s="13" t="str">
        <f t="shared" si="18"/>
        <v>K</v>
      </c>
      <c r="M18" s="13" t="str">
        <f t="shared" si="18"/>
        <v>L</v>
      </c>
      <c r="N18" s="13" t="str">
        <f t="shared" si="18"/>
        <v>M</v>
      </c>
      <c r="O18" s="13" t="str">
        <f t="shared" si="18"/>
        <v>N</v>
      </c>
      <c r="P18" s="13" t="str">
        <f t="shared" si="18"/>
        <v>O</v>
      </c>
      <c r="Q18" s="13" t="str">
        <f t="shared" si="18"/>
        <v>P</v>
      </c>
      <c r="R18" s="13" t="str">
        <f t="shared" si="18"/>
        <v>Q</v>
      </c>
      <c r="S18" s="13" t="str">
        <f t="shared" si="18"/>
        <v>R</v>
      </c>
      <c r="T18" s="13" t="str">
        <f t="shared" si="18"/>
        <v>S</v>
      </c>
      <c r="U18" s="13" t="str">
        <f t="shared" si="18"/>
        <v>T</v>
      </c>
      <c r="V18" s="13" t="str">
        <f t="shared" si="18"/>
        <v>U</v>
      </c>
      <c r="W18" s="13" t="str">
        <f t="shared" si="18"/>
        <v>V</v>
      </c>
      <c r="X18" s="13" t="str">
        <f t="shared" si="18"/>
        <v>W</v>
      </c>
      <c r="Y18" s="13" t="str">
        <f t="shared" si="18"/>
        <v>X</v>
      </c>
      <c r="Z18" s="13" t="str">
        <f t="shared" si="18"/>
        <v>Y</v>
      </c>
      <c r="AA18" s="13" t="str">
        <f t="shared" si="18"/>
        <v>Z</v>
      </c>
      <c r="AB18" s="13" t="str">
        <f t="shared" si="18"/>
        <v>A</v>
      </c>
      <c r="AC18" s="13" t="str">
        <f t="shared" si="18"/>
        <v>B</v>
      </c>
      <c r="AD18" s="13" t="str">
        <f t="shared" si="18"/>
        <v>C</v>
      </c>
      <c r="AE18" s="13" t="str">
        <f t="shared" si="18"/>
        <v>D</v>
      </c>
      <c r="AF18" s="10"/>
    </row>
    <row r="19" spans="1:59" x14ac:dyDescent="0.35">
      <c r="B19" s="22" t="s">
        <v>391</v>
      </c>
      <c r="C19" s="41" t="str">
        <f>n_RingPosL</f>
        <v>A</v>
      </c>
      <c r="D19" s="11">
        <f>VLOOKUP(C19,nRingOffset,2,FALSE)</f>
        <v>0</v>
      </c>
      <c r="E19" t="s">
        <v>386</v>
      </c>
      <c r="F19" s="14" t="str">
        <f t="shared" ref="F19:AE19" si="19">IF(F17=1,VLOOKUP(nCurPosL+nRingOffsetL+(CODE(F16)-nCharOffset)-1,nNum2Let,2,FALSE),"")</f>
        <v>E</v>
      </c>
      <c r="G19" s="14" t="str">
        <f t="shared" si="19"/>
        <v>F</v>
      </c>
      <c r="H19" s="14" t="str">
        <f t="shared" si="19"/>
        <v>G</v>
      </c>
      <c r="I19" s="14" t="str">
        <f t="shared" si="19"/>
        <v>H</v>
      </c>
      <c r="J19" s="14" t="str">
        <f t="shared" si="19"/>
        <v>I</v>
      </c>
      <c r="K19" s="14" t="str">
        <f t="shared" si="19"/>
        <v>J</v>
      </c>
      <c r="L19" s="14" t="str">
        <f t="shared" si="19"/>
        <v>K</v>
      </c>
      <c r="M19" s="14" t="str">
        <f t="shared" si="19"/>
        <v>L</v>
      </c>
      <c r="N19" s="14" t="str">
        <f t="shared" si="19"/>
        <v>M</v>
      </c>
      <c r="O19" s="14" t="str">
        <f t="shared" si="19"/>
        <v>N</v>
      </c>
      <c r="P19" s="14" t="str">
        <f t="shared" si="19"/>
        <v>O</v>
      </c>
      <c r="Q19" s="14" t="str">
        <f t="shared" si="19"/>
        <v>P</v>
      </c>
      <c r="R19" s="14" t="str">
        <f t="shared" si="19"/>
        <v>Q</v>
      </c>
      <c r="S19" s="14" t="str">
        <f t="shared" si="19"/>
        <v>R</v>
      </c>
      <c r="T19" s="14" t="str">
        <f t="shared" si="19"/>
        <v>S</v>
      </c>
      <c r="U19" s="14" t="str">
        <f t="shared" si="19"/>
        <v>T</v>
      </c>
      <c r="V19" s="14" t="str">
        <f t="shared" si="19"/>
        <v>U</v>
      </c>
      <c r="W19" s="14" t="str">
        <f t="shared" si="19"/>
        <v>V</v>
      </c>
      <c r="X19" s="14" t="str">
        <f t="shared" si="19"/>
        <v>W</v>
      </c>
      <c r="Y19" s="14" t="str">
        <f t="shared" si="19"/>
        <v>X</v>
      </c>
      <c r="Z19" s="14" t="str">
        <f t="shared" si="19"/>
        <v>Y</v>
      </c>
      <c r="AA19" s="14" t="str">
        <f t="shared" si="19"/>
        <v>Z</v>
      </c>
      <c r="AB19" s="14" t="str">
        <f t="shared" si="19"/>
        <v>A</v>
      </c>
      <c r="AC19" s="14" t="str">
        <f t="shared" si="19"/>
        <v>B</v>
      </c>
      <c r="AD19" s="14" t="str">
        <f t="shared" si="19"/>
        <v>C</v>
      </c>
      <c r="AE19" s="14" t="str">
        <f t="shared" si="19"/>
        <v>D</v>
      </c>
      <c r="AF19" s="10"/>
      <c r="AH19" s="28" t="str">
        <f t="shared" ref="AH19:BG19" si="20">IF(LEN(AH21)=2,LEFT(AH21,1),"")</f>
        <v>A</v>
      </c>
      <c r="AI19" s="28" t="str">
        <f t="shared" si="20"/>
        <v>B</v>
      </c>
      <c r="AJ19" s="28" t="str">
        <f t="shared" si="20"/>
        <v>C</v>
      </c>
      <c r="AK19" s="28" t="str">
        <f t="shared" si="20"/>
        <v>D</v>
      </c>
      <c r="AL19" s="28" t="str">
        <f t="shared" si="20"/>
        <v>E</v>
      </c>
      <c r="AM19" s="28" t="str">
        <f t="shared" si="20"/>
        <v>F</v>
      </c>
      <c r="AN19" s="28" t="str">
        <f t="shared" si="20"/>
        <v>G</v>
      </c>
      <c r="AO19" s="28" t="str">
        <f t="shared" si="20"/>
        <v>H</v>
      </c>
      <c r="AP19" s="28" t="str">
        <f t="shared" si="20"/>
        <v>I</v>
      </c>
      <c r="AQ19" s="28" t="str">
        <f t="shared" si="20"/>
        <v>J</v>
      </c>
      <c r="AR19" s="28" t="str">
        <f t="shared" si="20"/>
        <v>K</v>
      </c>
      <c r="AS19" s="28" t="str">
        <f t="shared" si="20"/>
        <v>L</v>
      </c>
      <c r="AT19" s="28" t="str">
        <f t="shared" si="20"/>
        <v>M</v>
      </c>
      <c r="AU19" s="28" t="str">
        <f t="shared" si="20"/>
        <v>N</v>
      </c>
      <c r="AV19" s="28" t="str">
        <f t="shared" si="20"/>
        <v>O</v>
      </c>
      <c r="AW19" s="28" t="str">
        <f t="shared" si="20"/>
        <v>P</v>
      </c>
      <c r="AX19" s="28" t="str">
        <f t="shared" si="20"/>
        <v>Q</v>
      </c>
      <c r="AY19" s="28" t="str">
        <f t="shared" si="20"/>
        <v>R</v>
      </c>
      <c r="AZ19" s="28" t="str">
        <f t="shared" si="20"/>
        <v>S</v>
      </c>
      <c r="BA19" s="28" t="str">
        <f t="shared" si="20"/>
        <v>T</v>
      </c>
      <c r="BB19" s="28" t="str">
        <f t="shared" si="20"/>
        <v>U</v>
      </c>
      <c r="BC19" s="28" t="str">
        <f t="shared" si="20"/>
        <v>V</v>
      </c>
      <c r="BD19" s="28" t="str">
        <f t="shared" si="20"/>
        <v>W</v>
      </c>
      <c r="BE19" s="28" t="str">
        <f t="shared" si="20"/>
        <v>X</v>
      </c>
      <c r="BF19" s="28" t="str">
        <f t="shared" si="20"/>
        <v>Y</v>
      </c>
      <c r="BG19" s="28" t="str">
        <f t="shared" si="20"/>
        <v>Z</v>
      </c>
    </row>
    <row r="20" spans="1:59" x14ac:dyDescent="0.35">
      <c r="B20" s="22"/>
      <c r="C20" s="8"/>
      <c r="E20" t="s">
        <v>387</v>
      </c>
      <c r="F20" s="15" t="str">
        <f t="shared" ref="F20:AE20" si="21">IF(F17=1,VLOOKUP(nRotorL&amp;F19,nRotor,4,FALSE),"")</f>
        <v>L</v>
      </c>
      <c r="G20" s="15" t="str">
        <f t="shared" si="21"/>
        <v>G</v>
      </c>
      <c r="H20" s="15" t="str">
        <f t="shared" si="21"/>
        <v>D</v>
      </c>
      <c r="I20" s="15" t="str">
        <f t="shared" si="21"/>
        <v>Q</v>
      </c>
      <c r="J20" s="15" t="str">
        <f t="shared" si="21"/>
        <v>V</v>
      </c>
      <c r="K20" s="15" t="str">
        <f t="shared" si="21"/>
        <v>Z</v>
      </c>
      <c r="L20" s="15" t="str">
        <f t="shared" si="21"/>
        <v>N</v>
      </c>
      <c r="M20" s="15" t="str">
        <f t="shared" si="21"/>
        <v>T</v>
      </c>
      <c r="N20" s="15" t="str">
        <f t="shared" si="21"/>
        <v>O</v>
      </c>
      <c r="O20" s="15" t="str">
        <f t="shared" si="21"/>
        <v>W</v>
      </c>
      <c r="P20" s="15" t="str">
        <f t="shared" si="21"/>
        <v>Y</v>
      </c>
      <c r="Q20" s="15" t="str">
        <f t="shared" si="21"/>
        <v>H</v>
      </c>
      <c r="R20" s="15" t="str">
        <f t="shared" si="21"/>
        <v>X</v>
      </c>
      <c r="S20" s="15" t="str">
        <f t="shared" si="21"/>
        <v>U</v>
      </c>
      <c r="T20" s="15" t="str">
        <f t="shared" si="21"/>
        <v>S</v>
      </c>
      <c r="U20" s="15" t="str">
        <f t="shared" si="21"/>
        <v>P</v>
      </c>
      <c r="V20" s="15" t="str">
        <f t="shared" si="21"/>
        <v>A</v>
      </c>
      <c r="W20" s="15" t="str">
        <f t="shared" si="21"/>
        <v>I</v>
      </c>
      <c r="X20" s="15" t="str">
        <f t="shared" si="21"/>
        <v>B</v>
      </c>
      <c r="Y20" s="15" t="str">
        <f t="shared" si="21"/>
        <v>R</v>
      </c>
      <c r="Z20" s="15" t="str">
        <f t="shared" si="21"/>
        <v>C</v>
      </c>
      <c r="AA20" s="15" t="str">
        <f t="shared" si="21"/>
        <v>J</v>
      </c>
      <c r="AB20" s="15" t="str">
        <f t="shared" si="21"/>
        <v>E</v>
      </c>
      <c r="AC20" s="15" t="str">
        <f t="shared" si="21"/>
        <v>K</v>
      </c>
      <c r="AD20" s="15" t="str">
        <f t="shared" si="21"/>
        <v>M</v>
      </c>
      <c r="AE20" s="15" t="str">
        <f t="shared" si="21"/>
        <v>F</v>
      </c>
      <c r="AF20" s="10"/>
      <c r="AH20" s="28" t="str">
        <f t="shared" ref="AH20:BG20" si="22">IF(LEN(AH21)=2,RIGHT(AH21,1),"")</f>
        <v>H</v>
      </c>
      <c r="AI20" s="28" t="str">
        <f t="shared" si="22"/>
        <v>C</v>
      </c>
      <c r="AJ20" s="28" t="str">
        <f t="shared" si="22"/>
        <v>Z</v>
      </c>
      <c r="AK20" s="28" t="str">
        <f t="shared" si="22"/>
        <v>M</v>
      </c>
      <c r="AL20" s="28" t="str">
        <f t="shared" si="22"/>
        <v>R</v>
      </c>
      <c r="AM20" s="28" t="str">
        <f t="shared" si="22"/>
        <v>V</v>
      </c>
      <c r="AN20" s="28" t="str">
        <f t="shared" si="22"/>
        <v>J</v>
      </c>
      <c r="AO20" s="28" t="str">
        <f t="shared" si="22"/>
        <v>P</v>
      </c>
      <c r="AP20" s="28" t="str">
        <f t="shared" si="22"/>
        <v>K</v>
      </c>
      <c r="AQ20" s="28" t="str">
        <f t="shared" si="22"/>
        <v>S</v>
      </c>
      <c r="AR20" s="28" t="str">
        <f t="shared" si="22"/>
        <v>U</v>
      </c>
      <c r="AS20" s="28" t="str">
        <f t="shared" si="22"/>
        <v>D</v>
      </c>
      <c r="AT20" s="28" t="str">
        <f t="shared" si="22"/>
        <v>T</v>
      </c>
      <c r="AU20" s="28" t="str">
        <f t="shared" si="22"/>
        <v>Q</v>
      </c>
      <c r="AV20" s="28" t="str">
        <f t="shared" si="22"/>
        <v>O</v>
      </c>
      <c r="AW20" s="28" t="str">
        <f t="shared" si="22"/>
        <v>L</v>
      </c>
      <c r="AX20" s="28" t="str">
        <f t="shared" si="22"/>
        <v>W</v>
      </c>
      <c r="AY20" s="28" t="str">
        <f t="shared" si="22"/>
        <v>E</v>
      </c>
      <c r="AZ20" s="28" t="str">
        <f t="shared" si="22"/>
        <v>X</v>
      </c>
      <c r="BA20" s="28" t="str">
        <f t="shared" si="22"/>
        <v>N</v>
      </c>
      <c r="BB20" s="28" t="str">
        <f t="shared" si="22"/>
        <v>Y</v>
      </c>
      <c r="BC20" s="28" t="str">
        <f t="shared" si="22"/>
        <v>F</v>
      </c>
      <c r="BD20" s="28" t="str">
        <f t="shared" si="22"/>
        <v>A</v>
      </c>
      <c r="BE20" s="28" t="str">
        <f t="shared" si="22"/>
        <v>G</v>
      </c>
      <c r="BF20" s="28" t="str">
        <f t="shared" si="22"/>
        <v>I</v>
      </c>
      <c r="BG20" s="28" t="str">
        <f t="shared" si="22"/>
        <v>B</v>
      </c>
    </row>
    <row r="21" spans="1:59" ht="15" thickBot="1" x14ac:dyDescent="0.4">
      <c r="B21" s="23"/>
      <c r="C21" s="16"/>
      <c r="D21" s="17"/>
      <c r="E21" s="17" t="s">
        <v>388</v>
      </c>
      <c r="F21" s="18" t="str">
        <f t="shared" ref="F21:AE21" si="23">IF(F17=1,IF(CODE(F20)-CODE(F19)&lt;0,VLOOKUP((CODE(F20)-CODE(F19)+26)+(CODE(F16)-nCharOffset),nNum2Let,2,FALSE),VLOOKUP((CODE(F20)-CODE(F19))+(CODE(F16)-nCharOffset),nNum2Let,2,FALSE)),"")</f>
        <v>H</v>
      </c>
      <c r="G21" s="18" t="str">
        <f t="shared" si="23"/>
        <v>C</v>
      </c>
      <c r="H21" s="18" t="str">
        <f t="shared" si="23"/>
        <v>Z</v>
      </c>
      <c r="I21" s="18" t="str">
        <f t="shared" si="23"/>
        <v>M</v>
      </c>
      <c r="J21" s="18" t="str">
        <f t="shared" si="23"/>
        <v>R</v>
      </c>
      <c r="K21" s="18" t="str">
        <f t="shared" si="23"/>
        <v>V</v>
      </c>
      <c r="L21" s="18" t="str">
        <f t="shared" si="23"/>
        <v>J</v>
      </c>
      <c r="M21" s="18" t="str">
        <f t="shared" si="23"/>
        <v>P</v>
      </c>
      <c r="N21" s="18" t="str">
        <f t="shared" si="23"/>
        <v>K</v>
      </c>
      <c r="O21" s="18" t="str">
        <f t="shared" si="23"/>
        <v>S</v>
      </c>
      <c r="P21" s="18" t="str">
        <f t="shared" si="23"/>
        <v>U</v>
      </c>
      <c r="Q21" s="18" t="str">
        <f t="shared" si="23"/>
        <v>D</v>
      </c>
      <c r="R21" s="18" t="str">
        <f t="shared" si="23"/>
        <v>T</v>
      </c>
      <c r="S21" s="18" t="str">
        <f t="shared" si="23"/>
        <v>Q</v>
      </c>
      <c r="T21" s="18" t="str">
        <f t="shared" si="23"/>
        <v>O</v>
      </c>
      <c r="U21" s="18" t="str">
        <f t="shared" si="23"/>
        <v>L</v>
      </c>
      <c r="V21" s="18" t="str">
        <f t="shared" si="23"/>
        <v>W</v>
      </c>
      <c r="W21" s="18" t="str">
        <f t="shared" si="23"/>
        <v>E</v>
      </c>
      <c r="X21" s="18" t="str">
        <f t="shared" si="23"/>
        <v>X</v>
      </c>
      <c r="Y21" s="18" t="str">
        <f t="shared" si="23"/>
        <v>N</v>
      </c>
      <c r="Z21" s="18" t="str">
        <f t="shared" si="23"/>
        <v>Y</v>
      </c>
      <c r="AA21" s="18" t="str">
        <f t="shared" si="23"/>
        <v>F</v>
      </c>
      <c r="AB21" s="18" t="str">
        <f t="shared" si="23"/>
        <v>A</v>
      </c>
      <c r="AC21" s="18" t="str">
        <f t="shared" si="23"/>
        <v>G</v>
      </c>
      <c r="AD21" s="18" t="str">
        <f t="shared" si="23"/>
        <v>I</v>
      </c>
      <c r="AE21" s="18" t="str">
        <f t="shared" si="23"/>
        <v>B</v>
      </c>
      <c r="AF21" s="19" t="str">
        <f>CONCATENATE(F21,G21,H21,I21,J21,K21,L21,M21,N21,O21,P21,Q21,R21,S21,T21&amp;U21,V21,W21,X21,Y21,Z21,AA21,AB21,AC21,AD21,AE21)</f>
        <v>HCZMRVJPKSUDTQOLWEXNYFAGIB</v>
      </c>
      <c r="AH21" s="12" t="str">
        <f>F16&amp;F21</f>
        <v>AH</v>
      </c>
      <c r="AI21" s="12" t="str">
        <f t="shared" ref="AI21:BG21" si="24">G16&amp;G21</f>
        <v>BC</v>
      </c>
      <c r="AJ21" s="12" t="str">
        <f t="shared" si="24"/>
        <v>CZ</v>
      </c>
      <c r="AK21" s="12" t="str">
        <f t="shared" si="24"/>
        <v>DM</v>
      </c>
      <c r="AL21" s="12" t="str">
        <f t="shared" si="24"/>
        <v>ER</v>
      </c>
      <c r="AM21" s="12" t="str">
        <f t="shared" si="24"/>
        <v>FV</v>
      </c>
      <c r="AN21" s="12" t="str">
        <f t="shared" si="24"/>
        <v>GJ</v>
      </c>
      <c r="AO21" s="12" t="str">
        <f t="shared" si="24"/>
        <v>HP</v>
      </c>
      <c r="AP21" s="12" t="str">
        <f t="shared" si="24"/>
        <v>IK</v>
      </c>
      <c r="AQ21" s="12" t="str">
        <f t="shared" si="24"/>
        <v>JS</v>
      </c>
      <c r="AR21" s="12" t="str">
        <f t="shared" si="24"/>
        <v>KU</v>
      </c>
      <c r="AS21" s="12" t="str">
        <f t="shared" si="24"/>
        <v>LD</v>
      </c>
      <c r="AT21" s="12" t="str">
        <f t="shared" si="24"/>
        <v>MT</v>
      </c>
      <c r="AU21" s="12" t="str">
        <f t="shared" si="24"/>
        <v>NQ</v>
      </c>
      <c r="AV21" s="12" t="str">
        <f t="shared" si="24"/>
        <v>OO</v>
      </c>
      <c r="AW21" s="12" t="str">
        <f t="shared" si="24"/>
        <v>PL</v>
      </c>
      <c r="AX21" s="12" t="str">
        <f t="shared" si="24"/>
        <v>QW</v>
      </c>
      <c r="AY21" s="12" t="str">
        <f t="shared" si="24"/>
        <v>RE</v>
      </c>
      <c r="AZ21" s="12" t="str">
        <f t="shared" si="24"/>
        <v>SX</v>
      </c>
      <c r="BA21" s="12" t="str">
        <f t="shared" si="24"/>
        <v>TN</v>
      </c>
      <c r="BB21" s="12" t="str">
        <f t="shared" si="24"/>
        <v>UY</v>
      </c>
      <c r="BC21" s="12" t="str">
        <f t="shared" si="24"/>
        <v>VF</v>
      </c>
      <c r="BD21" s="12" t="str">
        <f t="shared" si="24"/>
        <v>WA</v>
      </c>
      <c r="BE21" s="12" t="str">
        <f t="shared" si="24"/>
        <v>XG</v>
      </c>
      <c r="BF21" s="12" t="str">
        <f t="shared" si="24"/>
        <v>YI</v>
      </c>
      <c r="BG21" s="12" t="str">
        <f t="shared" si="24"/>
        <v>ZB</v>
      </c>
    </row>
    <row r="22" spans="1:59" x14ac:dyDescent="0.35">
      <c r="B22" s="21"/>
      <c r="C22" s="5"/>
      <c r="D22" s="5"/>
      <c r="E22" s="5" t="s">
        <v>385</v>
      </c>
      <c r="F22" s="6" t="s">
        <v>0</v>
      </c>
      <c r="G22" s="6" t="s">
        <v>1</v>
      </c>
      <c r="H22" s="6" t="s">
        <v>2</v>
      </c>
      <c r="I22" s="6" t="s">
        <v>3</v>
      </c>
      <c r="J22" s="6" t="s">
        <v>4</v>
      </c>
      <c r="K22" s="6" t="s">
        <v>5</v>
      </c>
      <c r="L22" s="6" t="s">
        <v>6</v>
      </c>
      <c r="M22" s="6" t="s">
        <v>7</v>
      </c>
      <c r="N22" s="6" t="s">
        <v>8</v>
      </c>
      <c r="O22" s="6" t="s">
        <v>9</v>
      </c>
      <c r="P22" s="6" t="s">
        <v>10</v>
      </c>
      <c r="Q22" s="6" t="s">
        <v>11</v>
      </c>
      <c r="R22" s="6" t="s">
        <v>12</v>
      </c>
      <c r="S22" s="6" t="s">
        <v>13</v>
      </c>
      <c r="T22" s="6" t="s">
        <v>14</v>
      </c>
      <c r="U22" s="6" t="s">
        <v>15</v>
      </c>
      <c r="V22" s="6" t="s">
        <v>16</v>
      </c>
      <c r="W22" s="6" t="s">
        <v>17</v>
      </c>
      <c r="X22" s="6" t="s">
        <v>18</v>
      </c>
      <c r="Y22" s="6" t="s">
        <v>19</v>
      </c>
      <c r="Z22" s="6" t="s">
        <v>20</v>
      </c>
      <c r="AA22" s="6" t="s">
        <v>21</v>
      </c>
      <c r="AB22" s="6" t="s">
        <v>22</v>
      </c>
      <c r="AC22" s="6" t="s">
        <v>23</v>
      </c>
      <c r="AD22" s="6" t="s">
        <v>24</v>
      </c>
      <c r="AE22" s="6" t="s">
        <v>25</v>
      </c>
      <c r="AF22" s="7"/>
      <c r="AH22" s="28" t="str">
        <f>HLOOKUP(AH16,$AH19:$BG20,2,FALSE)</f>
        <v>V</v>
      </c>
      <c r="AI22" s="28" t="str">
        <f>HLOOKUP(AI16,$AH19:$BG20,2,FALSE)</f>
        <v>W</v>
      </c>
      <c r="AJ22" s="28" t="str">
        <f t="shared" ref="AJ22:BG22" si="25">HLOOKUP(AJ16,$AH19:$BG20,2,FALSE)</f>
        <v>A</v>
      </c>
      <c r="AK22" s="28" t="str">
        <f t="shared" si="25"/>
        <v>U</v>
      </c>
      <c r="AL22" s="28" t="str">
        <f t="shared" si="25"/>
        <v>E</v>
      </c>
      <c r="AM22" s="28" t="str">
        <f t="shared" si="25"/>
        <v>S</v>
      </c>
      <c r="AN22" s="28" t="str">
        <f t="shared" si="25"/>
        <v>J</v>
      </c>
      <c r="AO22" s="28" t="str">
        <f t="shared" si="25"/>
        <v>X</v>
      </c>
      <c r="AP22" s="28" t="str">
        <f t="shared" si="25"/>
        <v>M</v>
      </c>
      <c r="AQ22" s="28" t="str">
        <f t="shared" si="25"/>
        <v>K</v>
      </c>
      <c r="AR22" s="28" t="str">
        <f t="shared" si="25"/>
        <v>G</v>
      </c>
      <c r="AS22" s="28" t="str">
        <f t="shared" si="25"/>
        <v>P</v>
      </c>
      <c r="AT22" s="28" t="str">
        <f t="shared" si="25"/>
        <v>C</v>
      </c>
      <c r="AU22" s="28" t="str">
        <f t="shared" si="25"/>
        <v>I</v>
      </c>
      <c r="AV22" s="28" t="str">
        <f t="shared" si="25"/>
        <v>N</v>
      </c>
      <c r="AW22" s="28" t="str">
        <f t="shared" si="25"/>
        <v>L</v>
      </c>
      <c r="AX22" s="28" t="str">
        <f t="shared" si="25"/>
        <v>H</v>
      </c>
      <c r="AY22" s="28" t="str">
        <f t="shared" si="25"/>
        <v>O</v>
      </c>
      <c r="AZ22" s="28" t="str">
        <f t="shared" si="25"/>
        <v>T</v>
      </c>
      <c r="BA22" s="28" t="str">
        <f t="shared" si="25"/>
        <v>Y</v>
      </c>
      <c r="BB22" s="28" t="str">
        <f t="shared" si="25"/>
        <v>B</v>
      </c>
      <c r="BC22" s="28" t="str">
        <f t="shared" si="25"/>
        <v>D</v>
      </c>
      <c r="BD22" s="28" t="str">
        <f t="shared" si="25"/>
        <v>Q</v>
      </c>
      <c r="BE22" s="28" t="str">
        <f t="shared" si="25"/>
        <v>R</v>
      </c>
      <c r="BF22" s="28" t="str">
        <f t="shared" si="25"/>
        <v>F</v>
      </c>
      <c r="BG22" s="28" t="str">
        <f t="shared" si="25"/>
        <v>Z</v>
      </c>
    </row>
    <row r="23" spans="1:59" x14ac:dyDescent="0.35">
      <c r="B23" s="22" t="s">
        <v>26</v>
      </c>
      <c r="C23" s="41" t="str">
        <f>n_Reflector</f>
        <v>B</v>
      </c>
      <c r="D23" s="11" t="str">
        <f>"Wide"&amp;C23</f>
        <v>WideB</v>
      </c>
      <c r="F23" s="1">
        <f>IF(ISERROR(FIND(F22,$AF21)),0,1)</f>
        <v>1</v>
      </c>
      <c r="G23" s="1">
        <f t="shared" ref="G23:AE23" si="26">IF(ISERROR(FIND(G22,$AF21)),0,1)</f>
        <v>1</v>
      </c>
      <c r="H23" s="1">
        <f t="shared" si="26"/>
        <v>1</v>
      </c>
      <c r="I23" s="1">
        <f t="shared" si="26"/>
        <v>1</v>
      </c>
      <c r="J23" s="1">
        <f t="shared" si="26"/>
        <v>1</v>
      </c>
      <c r="K23" s="1">
        <f t="shared" si="26"/>
        <v>1</v>
      </c>
      <c r="L23" s="1">
        <f t="shared" si="26"/>
        <v>1</v>
      </c>
      <c r="M23" s="1">
        <f t="shared" si="26"/>
        <v>1</v>
      </c>
      <c r="N23" s="1">
        <f t="shared" si="26"/>
        <v>1</v>
      </c>
      <c r="O23" s="1">
        <f t="shared" si="26"/>
        <v>1</v>
      </c>
      <c r="P23" s="1">
        <f t="shared" si="26"/>
        <v>1</v>
      </c>
      <c r="Q23" s="1">
        <f t="shared" si="26"/>
        <v>1</v>
      </c>
      <c r="R23" s="1">
        <f t="shared" si="26"/>
        <v>1</v>
      </c>
      <c r="S23" s="1">
        <f t="shared" si="26"/>
        <v>1</v>
      </c>
      <c r="T23" s="1">
        <f t="shared" si="26"/>
        <v>1</v>
      </c>
      <c r="U23" s="1">
        <f t="shared" si="26"/>
        <v>1</v>
      </c>
      <c r="V23" s="1">
        <f t="shared" si="26"/>
        <v>1</v>
      </c>
      <c r="W23" s="1">
        <f t="shared" si="26"/>
        <v>1</v>
      </c>
      <c r="X23" s="1">
        <f t="shared" si="26"/>
        <v>1</v>
      </c>
      <c r="Y23" s="1">
        <f t="shared" si="26"/>
        <v>1</v>
      </c>
      <c r="Z23" s="1">
        <f t="shared" si="26"/>
        <v>1</v>
      </c>
      <c r="AA23" s="1">
        <f t="shared" si="26"/>
        <v>1</v>
      </c>
      <c r="AB23" s="1">
        <f t="shared" si="26"/>
        <v>1</v>
      </c>
      <c r="AC23" s="1">
        <f t="shared" si="26"/>
        <v>1</v>
      </c>
      <c r="AD23" s="1">
        <f t="shared" si="26"/>
        <v>1</v>
      </c>
      <c r="AE23" s="1">
        <f t="shared" si="26"/>
        <v>1</v>
      </c>
      <c r="AF23" s="10"/>
      <c r="AH23" s="28" t="str">
        <f>HLOOKUP(AH22,$AH25:$BG26,2,FALSE)</f>
        <v>W</v>
      </c>
      <c r="AI23" s="28" t="str">
        <f t="shared" ref="AI23:BG23" si="27">HLOOKUP(AI22,$AH25:$BG26,2,FALSE)</f>
        <v>V</v>
      </c>
      <c r="AJ23" s="28" t="str">
        <f t="shared" si="27"/>
        <v>Y</v>
      </c>
      <c r="AK23" s="28" t="str">
        <f t="shared" si="27"/>
        <v>C</v>
      </c>
      <c r="AL23" s="28" t="str">
        <f t="shared" si="27"/>
        <v>Q</v>
      </c>
      <c r="AM23" s="28" t="str">
        <f t="shared" si="27"/>
        <v>F</v>
      </c>
      <c r="AN23" s="28" t="str">
        <f t="shared" si="27"/>
        <v>X</v>
      </c>
      <c r="AO23" s="28" t="str">
        <f t="shared" si="27"/>
        <v>J</v>
      </c>
      <c r="AP23" s="28" t="str">
        <f t="shared" si="27"/>
        <v>O</v>
      </c>
      <c r="AQ23" s="28" t="str">
        <f t="shared" si="27"/>
        <v>N</v>
      </c>
      <c r="AR23" s="28" t="str">
        <f t="shared" si="27"/>
        <v>L</v>
      </c>
      <c r="AS23" s="28" t="str">
        <f t="shared" si="27"/>
        <v>I</v>
      </c>
      <c r="AT23" s="28" t="str">
        <f t="shared" si="27"/>
        <v>U</v>
      </c>
      <c r="AU23" s="28" t="str">
        <f t="shared" si="27"/>
        <v>P</v>
      </c>
      <c r="AV23" s="28" t="str">
        <f t="shared" si="27"/>
        <v>K</v>
      </c>
      <c r="AW23" s="28" t="str">
        <f t="shared" si="27"/>
        <v>G</v>
      </c>
      <c r="AX23" s="28" t="str">
        <f t="shared" si="27"/>
        <v>D</v>
      </c>
      <c r="AY23" s="28" t="str">
        <f t="shared" si="27"/>
        <v>M</v>
      </c>
      <c r="AZ23" s="28" t="str">
        <f t="shared" si="27"/>
        <v>Z</v>
      </c>
      <c r="BA23" s="28" t="str">
        <f t="shared" si="27"/>
        <v>A</v>
      </c>
      <c r="BB23" s="28" t="str">
        <f t="shared" si="27"/>
        <v>R</v>
      </c>
      <c r="BC23" s="28" t="str">
        <f t="shared" si="27"/>
        <v>H</v>
      </c>
      <c r="BD23" s="28" t="str">
        <f t="shared" si="27"/>
        <v>E</v>
      </c>
      <c r="BE23" s="28" t="str">
        <f t="shared" si="27"/>
        <v>B</v>
      </c>
      <c r="BF23" s="28" t="str">
        <f t="shared" si="27"/>
        <v>S</v>
      </c>
      <c r="BG23" s="28" t="str">
        <f t="shared" si="27"/>
        <v>T</v>
      </c>
    </row>
    <row r="24" spans="1:59" ht="15" thickBot="1" x14ac:dyDescent="0.4">
      <c r="B24" s="23"/>
      <c r="C24" s="17"/>
      <c r="D24" s="17"/>
      <c r="E24" s="17"/>
      <c r="F24" s="24" t="str">
        <f t="shared" ref="F24:AE24" si="28">IF(F23=1,VLOOKUP(nReflector&amp;"_"&amp;F22,nReflectorWide,4,FALSE),"")</f>
        <v>Y</v>
      </c>
      <c r="G24" s="24" t="str">
        <f t="shared" si="28"/>
        <v>R</v>
      </c>
      <c r="H24" s="24" t="str">
        <f t="shared" si="28"/>
        <v>U</v>
      </c>
      <c r="I24" s="24" t="str">
        <f t="shared" si="28"/>
        <v>H</v>
      </c>
      <c r="J24" s="24" t="str">
        <f t="shared" si="28"/>
        <v>Q</v>
      </c>
      <c r="K24" s="24" t="str">
        <f t="shared" si="28"/>
        <v>S</v>
      </c>
      <c r="L24" s="24" t="str">
        <f t="shared" si="28"/>
        <v>L</v>
      </c>
      <c r="M24" s="24" t="str">
        <f t="shared" si="28"/>
        <v>D</v>
      </c>
      <c r="N24" s="24" t="str">
        <f t="shared" si="28"/>
        <v>P</v>
      </c>
      <c r="O24" s="24" t="str">
        <f t="shared" si="28"/>
        <v>X</v>
      </c>
      <c r="P24" s="24" t="str">
        <f t="shared" si="28"/>
        <v>N</v>
      </c>
      <c r="Q24" s="24" t="str">
        <f t="shared" si="28"/>
        <v>G</v>
      </c>
      <c r="R24" s="24" t="str">
        <f t="shared" si="28"/>
        <v>O</v>
      </c>
      <c r="S24" s="24" t="str">
        <f t="shared" si="28"/>
        <v>K</v>
      </c>
      <c r="T24" s="24" t="str">
        <f t="shared" si="28"/>
        <v>M</v>
      </c>
      <c r="U24" s="24" t="str">
        <f t="shared" si="28"/>
        <v>I</v>
      </c>
      <c r="V24" s="24" t="str">
        <f t="shared" si="28"/>
        <v>E</v>
      </c>
      <c r="W24" s="24" t="str">
        <f t="shared" si="28"/>
        <v>B</v>
      </c>
      <c r="X24" s="24" t="str">
        <f t="shared" si="28"/>
        <v>F</v>
      </c>
      <c r="Y24" s="24" t="str">
        <f t="shared" si="28"/>
        <v>Z</v>
      </c>
      <c r="Z24" s="24" t="str">
        <f t="shared" si="28"/>
        <v>C</v>
      </c>
      <c r="AA24" s="24" t="str">
        <f t="shared" si="28"/>
        <v>W</v>
      </c>
      <c r="AB24" s="24" t="str">
        <f t="shared" si="28"/>
        <v>V</v>
      </c>
      <c r="AC24" s="24" t="str">
        <f t="shared" si="28"/>
        <v>J</v>
      </c>
      <c r="AD24" s="24" t="str">
        <f t="shared" si="28"/>
        <v>A</v>
      </c>
      <c r="AE24" s="24" t="str">
        <f t="shared" si="28"/>
        <v>T</v>
      </c>
      <c r="AF24" s="25" t="str">
        <f>CONCATENATE(F24,G24,H24,I24,J24,K24,L24,M24,N24,O24,P24,Q24,R24,S24,T24&amp;U24,V24,W24,X24,Y24,Z24,AA24,AB24,AC24,AD24,AE24)</f>
        <v>YRUHQSLDPXNGOKMIEBFZCWVJAT</v>
      </c>
      <c r="AH24" s="27" t="str">
        <f>F22&amp;F24</f>
        <v>AY</v>
      </c>
      <c r="AI24" s="27" t="str">
        <f t="shared" ref="AI24:BG24" si="29">G22&amp;G24</f>
        <v>BR</v>
      </c>
      <c r="AJ24" s="27" t="str">
        <f t="shared" si="29"/>
        <v>CU</v>
      </c>
      <c r="AK24" s="27" t="str">
        <f t="shared" si="29"/>
        <v>DH</v>
      </c>
      <c r="AL24" s="27" t="str">
        <f t="shared" si="29"/>
        <v>EQ</v>
      </c>
      <c r="AM24" s="27" t="str">
        <f t="shared" si="29"/>
        <v>FS</v>
      </c>
      <c r="AN24" s="27" t="str">
        <f t="shared" si="29"/>
        <v>GL</v>
      </c>
      <c r="AO24" s="27" t="str">
        <f t="shared" si="29"/>
        <v>HD</v>
      </c>
      <c r="AP24" s="27" t="str">
        <f t="shared" si="29"/>
        <v>IP</v>
      </c>
      <c r="AQ24" s="27" t="str">
        <f t="shared" si="29"/>
        <v>JX</v>
      </c>
      <c r="AR24" s="27" t="str">
        <f t="shared" si="29"/>
        <v>KN</v>
      </c>
      <c r="AS24" s="27" t="str">
        <f t="shared" si="29"/>
        <v>LG</v>
      </c>
      <c r="AT24" s="27" t="str">
        <f t="shared" si="29"/>
        <v>MO</v>
      </c>
      <c r="AU24" s="27" t="str">
        <f t="shared" si="29"/>
        <v>NK</v>
      </c>
      <c r="AV24" s="27" t="str">
        <f t="shared" si="29"/>
        <v>OM</v>
      </c>
      <c r="AW24" s="27" t="str">
        <f t="shared" si="29"/>
        <v>PI</v>
      </c>
      <c r="AX24" s="27" t="str">
        <f t="shared" si="29"/>
        <v>QE</v>
      </c>
      <c r="AY24" s="27" t="str">
        <f t="shared" si="29"/>
        <v>RB</v>
      </c>
      <c r="AZ24" s="27" t="str">
        <f t="shared" si="29"/>
        <v>SF</v>
      </c>
      <c r="BA24" s="27" t="str">
        <f t="shared" si="29"/>
        <v>TZ</v>
      </c>
      <c r="BB24" s="27" t="str">
        <f t="shared" si="29"/>
        <v>UC</v>
      </c>
      <c r="BC24" s="27" t="str">
        <f t="shared" si="29"/>
        <v>VW</v>
      </c>
      <c r="BD24" s="27" t="str">
        <f t="shared" si="29"/>
        <v>WV</v>
      </c>
      <c r="BE24" s="27" t="str">
        <f t="shared" si="29"/>
        <v>XJ</v>
      </c>
      <c r="BF24" s="27" t="str">
        <f t="shared" si="29"/>
        <v>YA</v>
      </c>
      <c r="BG24" s="27" t="str">
        <f t="shared" si="29"/>
        <v>ZT</v>
      </c>
    </row>
    <row r="25" spans="1:59" x14ac:dyDescent="0.35">
      <c r="B25" s="21"/>
      <c r="C25" s="4"/>
      <c r="D25" s="5"/>
      <c r="E25" s="5" t="s">
        <v>385</v>
      </c>
      <c r="F25" s="6" t="s">
        <v>0</v>
      </c>
      <c r="G25" s="6" t="s">
        <v>1</v>
      </c>
      <c r="H25" s="6" t="s">
        <v>2</v>
      </c>
      <c r="I25" s="6" t="s">
        <v>3</v>
      </c>
      <c r="J25" s="6" t="s">
        <v>4</v>
      </c>
      <c r="K25" s="6" t="s">
        <v>5</v>
      </c>
      <c r="L25" s="6" t="s">
        <v>6</v>
      </c>
      <c r="M25" s="6" t="s">
        <v>7</v>
      </c>
      <c r="N25" s="6" t="s">
        <v>8</v>
      </c>
      <c r="O25" s="6" t="s">
        <v>9</v>
      </c>
      <c r="P25" s="6" t="s">
        <v>10</v>
      </c>
      <c r="Q25" s="6" t="s">
        <v>11</v>
      </c>
      <c r="R25" s="6" t="s">
        <v>12</v>
      </c>
      <c r="S25" s="6" t="s">
        <v>13</v>
      </c>
      <c r="T25" s="6" t="s">
        <v>14</v>
      </c>
      <c r="U25" s="6" t="s">
        <v>15</v>
      </c>
      <c r="V25" s="6" t="s">
        <v>16</v>
      </c>
      <c r="W25" s="6" t="s">
        <v>17</v>
      </c>
      <c r="X25" s="6" t="s">
        <v>18</v>
      </c>
      <c r="Y25" s="6" t="s">
        <v>19</v>
      </c>
      <c r="Z25" s="6" t="s">
        <v>20</v>
      </c>
      <c r="AA25" s="6" t="s">
        <v>21</v>
      </c>
      <c r="AB25" s="6" t="s">
        <v>22</v>
      </c>
      <c r="AC25" s="6" t="s">
        <v>23</v>
      </c>
      <c r="AD25" s="6" t="s">
        <v>24</v>
      </c>
      <c r="AE25" s="6" t="s">
        <v>25</v>
      </c>
      <c r="AF25" s="7"/>
      <c r="AH25" s="28" t="str">
        <f>IF(LEN(AH24)=2,LEFT(AH24,1),"")</f>
        <v>A</v>
      </c>
      <c r="AI25" s="28" t="str">
        <f t="shared" ref="AI25:BG25" si="30">IF(LEN(AI24)=2,LEFT(AI24,1),"")</f>
        <v>B</v>
      </c>
      <c r="AJ25" s="28" t="str">
        <f t="shared" si="30"/>
        <v>C</v>
      </c>
      <c r="AK25" s="28" t="str">
        <f t="shared" si="30"/>
        <v>D</v>
      </c>
      <c r="AL25" s="28" t="str">
        <f t="shared" si="30"/>
        <v>E</v>
      </c>
      <c r="AM25" s="28" t="str">
        <f t="shared" si="30"/>
        <v>F</v>
      </c>
      <c r="AN25" s="28" t="str">
        <f t="shared" si="30"/>
        <v>G</v>
      </c>
      <c r="AO25" s="28" t="str">
        <f t="shared" si="30"/>
        <v>H</v>
      </c>
      <c r="AP25" s="28" t="str">
        <f t="shared" si="30"/>
        <v>I</v>
      </c>
      <c r="AQ25" s="28" t="str">
        <f t="shared" si="30"/>
        <v>J</v>
      </c>
      <c r="AR25" s="28" t="str">
        <f t="shared" si="30"/>
        <v>K</v>
      </c>
      <c r="AS25" s="28" t="str">
        <f t="shared" si="30"/>
        <v>L</v>
      </c>
      <c r="AT25" s="28" t="str">
        <f t="shared" si="30"/>
        <v>M</v>
      </c>
      <c r="AU25" s="28" t="str">
        <f t="shared" si="30"/>
        <v>N</v>
      </c>
      <c r="AV25" s="28" t="str">
        <f t="shared" si="30"/>
        <v>O</v>
      </c>
      <c r="AW25" s="28" t="str">
        <f t="shared" si="30"/>
        <v>P</v>
      </c>
      <c r="AX25" s="28" t="str">
        <f t="shared" si="30"/>
        <v>Q</v>
      </c>
      <c r="AY25" s="28" t="str">
        <f t="shared" si="30"/>
        <v>R</v>
      </c>
      <c r="AZ25" s="28" t="str">
        <f t="shared" si="30"/>
        <v>S</v>
      </c>
      <c r="BA25" s="28" t="str">
        <f t="shared" si="30"/>
        <v>T</v>
      </c>
      <c r="BB25" s="28" t="str">
        <f t="shared" si="30"/>
        <v>U</v>
      </c>
      <c r="BC25" s="28" t="str">
        <f t="shared" si="30"/>
        <v>V</v>
      </c>
      <c r="BD25" s="28" t="str">
        <f t="shared" si="30"/>
        <v>W</v>
      </c>
      <c r="BE25" s="28" t="str">
        <f t="shared" si="30"/>
        <v>X</v>
      </c>
      <c r="BF25" s="28" t="str">
        <f t="shared" si="30"/>
        <v>Y</v>
      </c>
      <c r="BG25" s="28" t="str">
        <f t="shared" si="30"/>
        <v>Z</v>
      </c>
    </row>
    <row r="26" spans="1:59" x14ac:dyDescent="0.35">
      <c r="B26" s="22"/>
      <c r="C26" s="8"/>
      <c r="F26" s="1">
        <f t="shared" ref="F26:AE26" si="31">IF(ISERROR(FIND(F25,$AF24)),0,1)</f>
        <v>1</v>
      </c>
      <c r="G26" s="1">
        <f t="shared" si="31"/>
        <v>1</v>
      </c>
      <c r="H26" s="1">
        <f t="shared" si="31"/>
        <v>1</v>
      </c>
      <c r="I26" s="1">
        <f t="shared" si="31"/>
        <v>1</v>
      </c>
      <c r="J26" s="1">
        <f t="shared" si="31"/>
        <v>1</v>
      </c>
      <c r="K26" s="1">
        <f t="shared" si="31"/>
        <v>1</v>
      </c>
      <c r="L26" s="1">
        <f t="shared" si="31"/>
        <v>1</v>
      </c>
      <c r="M26" s="1">
        <f t="shared" si="31"/>
        <v>1</v>
      </c>
      <c r="N26" s="1">
        <f t="shared" si="31"/>
        <v>1</v>
      </c>
      <c r="O26" s="1">
        <f t="shared" si="31"/>
        <v>1</v>
      </c>
      <c r="P26" s="1">
        <f t="shared" si="31"/>
        <v>1</v>
      </c>
      <c r="Q26" s="1">
        <f t="shared" si="31"/>
        <v>1</v>
      </c>
      <c r="R26" s="1">
        <f t="shared" si="31"/>
        <v>1</v>
      </c>
      <c r="S26" s="1">
        <f t="shared" si="31"/>
        <v>1</v>
      </c>
      <c r="T26" s="1">
        <f t="shared" si="31"/>
        <v>1</v>
      </c>
      <c r="U26" s="1">
        <f t="shared" si="31"/>
        <v>1</v>
      </c>
      <c r="V26" s="1">
        <f t="shared" si="31"/>
        <v>1</v>
      </c>
      <c r="W26" s="1">
        <f t="shared" si="31"/>
        <v>1</v>
      </c>
      <c r="X26" s="1">
        <f t="shared" si="31"/>
        <v>1</v>
      </c>
      <c r="Y26" s="1">
        <f t="shared" si="31"/>
        <v>1</v>
      </c>
      <c r="Z26" s="1">
        <f t="shared" si="31"/>
        <v>1</v>
      </c>
      <c r="AA26" s="1">
        <f t="shared" si="31"/>
        <v>1</v>
      </c>
      <c r="AB26" s="1">
        <f t="shared" si="31"/>
        <v>1</v>
      </c>
      <c r="AC26" s="1">
        <f t="shared" si="31"/>
        <v>1</v>
      </c>
      <c r="AD26" s="1">
        <f t="shared" si="31"/>
        <v>1</v>
      </c>
      <c r="AE26" s="1">
        <f t="shared" si="31"/>
        <v>1</v>
      </c>
      <c r="AF26" s="10"/>
      <c r="AH26" s="28" t="str">
        <f>IF(LEN(AH24)=2,RIGHT(AH24,1),"")</f>
        <v>Y</v>
      </c>
      <c r="AI26" s="28" t="str">
        <f t="shared" ref="AI26:BG26" si="32">IF(LEN(AI24)=2,RIGHT(AI24,1),"")</f>
        <v>R</v>
      </c>
      <c r="AJ26" s="28" t="str">
        <f t="shared" si="32"/>
        <v>U</v>
      </c>
      <c r="AK26" s="28" t="str">
        <f t="shared" si="32"/>
        <v>H</v>
      </c>
      <c r="AL26" s="28" t="str">
        <f t="shared" si="32"/>
        <v>Q</v>
      </c>
      <c r="AM26" s="28" t="str">
        <f t="shared" si="32"/>
        <v>S</v>
      </c>
      <c r="AN26" s="28" t="str">
        <f t="shared" si="32"/>
        <v>L</v>
      </c>
      <c r="AO26" s="28" t="str">
        <f t="shared" si="32"/>
        <v>D</v>
      </c>
      <c r="AP26" s="28" t="str">
        <f t="shared" si="32"/>
        <v>P</v>
      </c>
      <c r="AQ26" s="28" t="str">
        <f t="shared" si="32"/>
        <v>X</v>
      </c>
      <c r="AR26" s="28" t="str">
        <f t="shared" si="32"/>
        <v>N</v>
      </c>
      <c r="AS26" s="28" t="str">
        <f t="shared" si="32"/>
        <v>G</v>
      </c>
      <c r="AT26" s="28" t="str">
        <f t="shared" si="32"/>
        <v>O</v>
      </c>
      <c r="AU26" s="28" t="str">
        <f t="shared" si="32"/>
        <v>K</v>
      </c>
      <c r="AV26" s="28" t="str">
        <f t="shared" si="32"/>
        <v>M</v>
      </c>
      <c r="AW26" s="28" t="str">
        <f t="shared" si="32"/>
        <v>I</v>
      </c>
      <c r="AX26" s="28" t="str">
        <f t="shared" si="32"/>
        <v>E</v>
      </c>
      <c r="AY26" s="28" t="str">
        <f t="shared" si="32"/>
        <v>B</v>
      </c>
      <c r="AZ26" s="28" t="str">
        <f t="shared" si="32"/>
        <v>F</v>
      </c>
      <c r="BA26" s="28" t="str">
        <f t="shared" si="32"/>
        <v>Z</v>
      </c>
      <c r="BB26" s="28" t="str">
        <f t="shared" si="32"/>
        <v>C</v>
      </c>
      <c r="BC26" s="28" t="str">
        <f t="shared" si="32"/>
        <v>W</v>
      </c>
      <c r="BD26" s="28" t="str">
        <f t="shared" si="32"/>
        <v>V</v>
      </c>
      <c r="BE26" s="28" t="str">
        <f t="shared" si="32"/>
        <v>J</v>
      </c>
      <c r="BF26" s="28" t="str">
        <f t="shared" si="32"/>
        <v>A</v>
      </c>
      <c r="BG26" s="28" t="str">
        <f t="shared" si="32"/>
        <v>T</v>
      </c>
    </row>
    <row r="27" spans="1:59" x14ac:dyDescent="0.35">
      <c r="B27" s="22" t="s">
        <v>382</v>
      </c>
      <c r="C27" s="26" t="str">
        <f>"R"&amp;C18</f>
        <v>R1</v>
      </c>
      <c r="D27" s="11">
        <f>D18</f>
        <v>5</v>
      </c>
      <c r="E27" s="11">
        <f>E18</f>
        <v>5</v>
      </c>
      <c r="F27" s="12" t="str">
        <f>F18</f>
        <v>E</v>
      </c>
      <c r="G27" s="13" t="str">
        <f t="shared" ref="G27:AE27" si="33">VLOOKUP(F27,nNextLetter,2,FALSE)</f>
        <v>F</v>
      </c>
      <c r="H27" s="13" t="str">
        <f t="shared" si="33"/>
        <v>G</v>
      </c>
      <c r="I27" s="13" t="str">
        <f t="shared" si="33"/>
        <v>H</v>
      </c>
      <c r="J27" s="13" t="str">
        <f t="shared" si="33"/>
        <v>I</v>
      </c>
      <c r="K27" s="13" t="str">
        <f t="shared" si="33"/>
        <v>J</v>
      </c>
      <c r="L27" s="13" t="str">
        <f t="shared" si="33"/>
        <v>K</v>
      </c>
      <c r="M27" s="13" t="str">
        <f t="shared" si="33"/>
        <v>L</v>
      </c>
      <c r="N27" s="13" t="str">
        <f t="shared" si="33"/>
        <v>M</v>
      </c>
      <c r="O27" s="13" t="str">
        <f t="shared" si="33"/>
        <v>N</v>
      </c>
      <c r="P27" s="13" t="str">
        <f t="shared" si="33"/>
        <v>O</v>
      </c>
      <c r="Q27" s="13" t="str">
        <f t="shared" si="33"/>
        <v>P</v>
      </c>
      <c r="R27" s="13" t="str">
        <f t="shared" si="33"/>
        <v>Q</v>
      </c>
      <c r="S27" s="13" t="str">
        <f t="shared" si="33"/>
        <v>R</v>
      </c>
      <c r="T27" s="13" t="str">
        <f t="shared" si="33"/>
        <v>S</v>
      </c>
      <c r="U27" s="13" t="str">
        <f t="shared" si="33"/>
        <v>T</v>
      </c>
      <c r="V27" s="13" t="str">
        <f t="shared" si="33"/>
        <v>U</v>
      </c>
      <c r="W27" s="13" t="str">
        <f t="shared" si="33"/>
        <v>V</v>
      </c>
      <c r="X27" s="13" t="str">
        <f t="shared" si="33"/>
        <v>W</v>
      </c>
      <c r="Y27" s="13" t="str">
        <f t="shared" si="33"/>
        <v>X</v>
      </c>
      <c r="Z27" s="13" t="str">
        <f t="shared" si="33"/>
        <v>Y</v>
      </c>
      <c r="AA27" s="13" t="str">
        <f t="shared" si="33"/>
        <v>Z</v>
      </c>
      <c r="AB27" s="13" t="str">
        <f t="shared" si="33"/>
        <v>A</v>
      </c>
      <c r="AC27" s="13" t="str">
        <f t="shared" si="33"/>
        <v>B</v>
      </c>
      <c r="AD27" s="13" t="str">
        <f t="shared" si="33"/>
        <v>C</v>
      </c>
      <c r="AE27" s="13" t="str">
        <f t="shared" si="33"/>
        <v>D</v>
      </c>
      <c r="AF27" s="10"/>
    </row>
    <row r="28" spans="1:59" x14ac:dyDescent="0.35">
      <c r="B28" s="22"/>
      <c r="C28" s="8"/>
      <c r="E28" t="s">
        <v>386</v>
      </c>
      <c r="F28" s="14" t="str">
        <f t="shared" ref="F28:AE28" si="34">IF(F26=1,VLOOKUP(nCurPosL+nRingOffsetL+(CODE(F25)-nCharOffset)-1,nNum2Let,2,FALSE),"")</f>
        <v>E</v>
      </c>
      <c r="G28" s="14" t="str">
        <f t="shared" si="34"/>
        <v>F</v>
      </c>
      <c r="H28" s="14" t="str">
        <f t="shared" si="34"/>
        <v>G</v>
      </c>
      <c r="I28" s="14" t="str">
        <f t="shared" si="34"/>
        <v>H</v>
      </c>
      <c r="J28" s="14" t="str">
        <f t="shared" si="34"/>
        <v>I</v>
      </c>
      <c r="K28" s="14" t="str">
        <f t="shared" si="34"/>
        <v>J</v>
      </c>
      <c r="L28" s="14" t="str">
        <f t="shared" si="34"/>
        <v>K</v>
      </c>
      <c r="M28" s="14" t="str">
        <f t="shared" si="34"/>
        <v>L</v>
      </c>
      <c r="N28" s="14" t="str">
        <f t="shared" si="34"/>
        <v>M</v>
      </c>
      <c r="O28" s="14" t="str">
        <f t="shared" si="34"/>
        <v>N</v>
      </c>
      <c r="P28" s="14" t="str">
        <f t="shared" si="34"/>
        <v>O</v>
      </c>
      <c r="Q28" s="14" t="str">
        <f t="shared" si="34"/>
        <v>P</v>
      </c>
      <c r="R28" s="14" t="str">
        <f t="shared" si="34"/>
        <v>Q</v>
      </c>
      <c r="S28" s="14" t="str">
        <f t="shared" si="34"/>
        <v>R</v>
      </c>
      <c r="T28" s="14" t="str">
        <f t="shared" si="34"/>
        <v>S</v>
      </c>
      <c r="U28" s="14" t="str">
        <f t="shared" si="34"/>
        <v>T</v>
      </c>
      <c r="V28" s="14" t="str">
        <f t="shared" si="34"/>
        <v>U</v>
      </c>
      <c r="W28" s="14" t="str">
        <f t="shared" si="34"/>
        <v>V</v>
      </c>
      <c r="X28" s="14" t="str">
        <f t="shared" si="34"/>
        <v>W</v>
      </c>
      <c r="Y28" s="14" t="str">
        <f t="shared" si="34"/>
        <v>X</v>
      </c>
      <c r="Z28" s="14" t="str">
        <f t="shared" si="34"/>
        <v>Y</v>
      </c>
      <c r="AA28" s="14" t="str">
        <f t="shared" si="34"/>
        <v>Z</v>
      </c>
      <c r="AB28" s="14" t="str">
        <f t="shared" si="34"/>
        <v>A</v>
      </c>
      <c r="AC28" s="14" t="str">
        <f t="shared" si="34"/>
        <v>B</v>
      </c>
      <c r="AD28" s="14" t="str">
        <f t="shared" si="34"/>
        <v>C</v>
      </c>
      <c r="AE28" s="14" t="str">
        <f t="shared" si="34"/>
        <v>D</v>
      </c>
      <c r="AF28" s="10"/>
      <c r="AH28" s="28" t="str">
        <f t="shared" ref="AH28:BG28" si="35">IF(LEN(AH30)=2,LEFT(AH30,1),"")</f>
        <v>A</v>
      </c>
      <c r="AI28" s="28" t="str">
        <f t="shared" si="35"/>
        <v>B</v>
      </c>
      <c r="AJ28" s="28" t="str">
        <f t="shared" si="35"/>
        <v>C</v>
      </c>
      <c r="AK28" s="28" t="str">
        <f t="shared" si="35"/>
        <v>D</v>
      </c>
      <c r="AL28" s="28" t="str">
        <f t="shared" si="35"/>
        <v>E</v>
      </c>
      <c r="AM28" s="28" t="str">
        <f t="shared" si="35"/>
        <v>F</v>
      </c>
      <c r="AN28" s="28" t="str">
        <f t="shared" si="35"/>
        <v>G</v>
      </c>
      <c r="AO28" s="28" t="str">
        <f t="shared" si="35"/>
        <v>H</v>
      </c>
      <c r="AP28" s="28" t="str">
        <f t="shared" si="35"/>
        <v>I</v>
      </c>
      <c r="AQ28" s="28" t="str">
        <f t="shared" si="35"/>
        <v>J</v>
      </c>
      <c r="AR28" s="28" t="str">
        <f t="shared" si="35"/>
        <v>K</v>
      </c>
      <c r="AS28" s="28" t="str">
        <f t="shared" si="35"/>
        <v>L</v>
      </c>
      <c r="AT28" s="28" t="str">
        <f t="shared" si="35"/>
        <v>M</v>
      </c>
      <c r="AU28" s="28" t="str">
        <f t="shared" si="35"/>
        <v>N</v>
      </c>
      <c r="AV28" s="28" t="str">
        <f t="shared" si="35"/>
        <v>O</v>
      </c>
      <c r="AW28" s="28" t="str">
        <f t="shared" si="35"/>
        <v>P</v>
      </c>
      <c r="AX28" s="28" t="str">
        <f t="shared" si="35"/>
        <v>Q</v>
      </c>
      <c r="AY28" s="28" t="str">
        <f t="shared" si="35"/>
        <v>R</v>
      </c>
      <c r="AZ28" s="28" t="str">
        <f t="shared" si="35"/>
        <v>S</v>
      </c>
      <c r="BA28" s="28" t="str">
        <f t="shared" si="35"/>
        <v>T</v>
      </c>
      <c r="BB28" s="28" t="str">
        <f t="shared" si="35"/>
        <v>U</v>
      </c>
      <c r="BC28" s="28" t="str">
        <f t="shared" si="35"/>
        <v>V</v>
      </c>
      <c r="BD28" s="28" t="str">
        <f t="shared" si="35"/>
        <v>W</v>
      </c>
      <c r="BE28" s="28" t="str">
        <f t="shared" si="35"/>
        <v>X</v>
      </c>
      <c r="BF28" s="28" t="str">
        <f t="shared" si="35"/>
        <v>Y</v>
      </c>
      <c r="BG28" s="28" t="str">
        <f t="shared" si="35"/>
        <v>Z</v>
      </c>
    </row>
    <row r="29" spans="1:59" x14ac:dyDescent="0.35">
      <c r="B29" s="22"/>
      <c r="C29" s="8"/>
      <c r="E29" t="s">
        <v>387</v>
      </c>
      <c r="F29" s="15" t="str">
        <f t="shared" ref="F29:AE29" si="36">IF(F26=1,VLOOKUP(nRotorL_Rev&amp;F28,nRotorRev,4,FALSE),"")</f>
        <v>A</v>
      </c>
      <c r="G29" s="15" t="str">
        <f t="shared" si="36"/>
        <v>D</v>
      </c>
      <c r="H29" s="15" t="str">
        <f t="shared" si="36"/>
        <v>F</v>
      </c>
      <c r="I29" s="15" t="str">
        <f t="shared" si="36"/>
        <v>P</v>
      </c>
      <c r="J29" s="15" t="str">
        <f t="shared" si="36"/>
        <v>V</v>
      </c>
      <c r="K29" s="15" t="str">
        <f t="shared" si="36"/>
        <v>Z</v>
      </c>
      <c r="L29" s="15" t="str">
        <f t="shared" si="36"/>
        <v>B</v>
      </c>
      <c r="M29" s="15" t="str">
        <f t="shared" si="36"/>
        <v>E</v>
      </c>
      <c r="N29" s="15" t="str">
        <f t="shared" si="36"/>
        <v>C</v>
      </c>
      <c r="O29" s="15" t="str">
        <f t="shared" si="36"/>
        <v>K</v>
      </c>
      <c r="P29" s="15" t="str">
        <f t="shared" si="36"/>
        <v>M</v>
      </c>
      <c r="Q29" s="15" t="str">
        <f t="shared" si="36"/>
        <v>T</v>
      </c>
      <c r="R29" s="15" t="str">
        <f t="shared" si="36"/>
        <v>H</v>
      </c>
      <c r="S29" s="15" t="str">
        <f t="shared" si="36"/>
        <v>X</v>
      </c>
      <c r="T29" s="15" t="str">
        <f t="shared" si="36"/>
        <v>S</v>
      </c>
      <c r="U29" s="15" t="str">
        <f t="shared" si="36"/>
        <v>L</v>
      </c>
      <c r="V29" s="15" t="str">
        <f t="shared" si="36"/>
        <v>R</v>
      </c>
      <c r="W29" s="15" t="str">
        <f t="shared" si="36"/>
        <v>I</v>
      </c>
      <c r="X29" s="15" t="str">
        <f t="shared" si="36"/>
        <v>N</v>
      </c>
      <c r="Y29" s="15" t="str">
        <f t="shared" si="36"/>
        <v>Q</v>
      </c>
      <c r="Z29" s="15" t="str">
        <f t="shared" si="36"/>
        <v>O</v>
      </c>
      <c r="AA29" s="15" t="str">
        <f t="shared" si="36"/>
        <v>J</v>
      </c>
      <c r="AB29" s="15" t="str">
        <f t="shared" si="36"/>
        <v>U</v>
      </c>
      <c r="AC29" s="15" t="str">
        <f t="shared" si="36"/>
        <v>W</v>
      </c>
      <c r="AD29" s="15" t="str">
        <f t="shared" si="36"/>
        <v>Y</v>
      </c>
      <c r="AE29" s="15" t="str">
        <f t="shared" si="36"/>
        <v>G</v>
      </c>
      <c r="AF29" s="10"/>
      <c r="AH29" s="28" t="str">
        <f t="shared" ref="AH29:BG29" si="37">IF(LEN(AH30)=2,RIGHT(AH30,1),"")</f>
        <v>W</v>
      </c>
      <c r="AI29" s="28" t="str">
        <f t="shared" si="37"/>
        <v>Z</v>
      </c>
      <c r="AJ29" s="28" t="str">
        <f t="shared" si="37"/>
        <v>B</v>
      </c>
      <c r="AK29" s="28" t="str">
        <f t="shared" si="37"/>
        <v>L</v>
      </c>
      <c r="AL29" s="28" t="str">
        <f t="shared" si="37"/>
        <v>R</v>
      </c>
      <c r="AM29" s="28" t="str">
        <f t="shared" si="37"/>
        <v>V</v>
      </c>
      <c r="AN29" s="28" t="str">
        <f t="shared" si="37"/>
        <v>X</v>
      </c>
      <c r="AO29" s="28" t="str">
        <f t="shared" si="37"/>
        <v>A</v>
      </c>
      <c r="AP29" s="28" t="str">
        <f t="shared" si="37"/>
        <v>Y</v>
      </c>
      <c r="AQ29" s="28" t="str">
        <f t="shared" si="37"/>
        <v>G</v>
      </c>
      <c r="AR29" s="28" t="str">
        <f t="shared" si="37"/>
        <v>I</v>
      </c>
      <c r="AS29" s="28" t="str">
        <f t="shared" si="37"/>
        <v>P</v>
      </c>
      <c r="AT29" s="28" t="str">
        <f t="shared" si="37"/>
        <v>D</v>
      </c>
      <c r="AU29" s="28" t="str">
        <f t="shared" si="37"/>
        <v>T</v>
      </c>
      <c r="AV29" s="28" t="str">
        <f t="shared" si="37"/>
        <v>O</v>
      </c>
      <c r="AW29" s="28" t="str">
        <f t="shared" si="37"/>
        <v>H</v>
      </c>
      <c r="AX29" s="28" t="str">
        <f t="shared" si="37"/>
        <v>N</v>
      </c>
      <c r="AY29" s="28" t="str">
        <f t="shared" si="37"/>
        <v>E</v>
      </c>
      <c r="AZ29" s="28" t="str">
        <f t="shared" si="37"/>
        <v>J</v>
      </c>
      <c r="BA29" s="28" t="str">
        <f t="shared" si="37"/>
        <v>M</v>
      </c>
      <c r="BB29" s="28" t="str">
        <f t="shared" si="37"/>
        <v>K</v>
      </c>
      <c r="BC29" s="28" t="str">
        <f t="shared" si="37"/>
        <v>F</v>
      </c>
      <c r="BD29" s="28" t="str">
        <f t="shared" si="37"/>
        <v>Q</v>
      </c>
      <c r="BE29" s="28" t="str">
        <f t="shared" si="37"/>
        <v>S</v>
      </c>
      <c r="BF29" s="28" t="str">
        <f t="shared" si="37"/>
        <v>U</v>
      </c>
      <c r="BG29" s="28" t="str">
        <f t="shared" si="37"/>
        <v>C</v>
      </c>
    </row>
    <row r="30" spans="1:59" ht="15" thickBot="1" x14ac:dyDescent="0.4">
      <c r="B30" s="23"/>
      <c r="C30" s="16"/>
      <c r="D30" s="17"/>
      <c r="E30" s="17" t="s">
        <v>388</v>
      </c>
      <c r="F30" s="18" t="str">
        <f t="shared" ref="F30:AE30" si="38">IF(F26=1,IF(CODE(F29)-CODE(F28)&lt;0,VLOOKUP((CODE(F29)-CODE(F28)+26)+(CODE(F25)-nCharOffset),nNum2Let,2,FALSE),VLOOKUP((CODE(F29)-CODE(F28))+(CODE(F25)-nCharOffset),nNum2Let,2,FALSE)),"")</f>
        <v>W</v>
      </c>
      <c r="G30" s="18" t="str">
        <f t="shared" si="38"/>
        <v>Z</v>
      </c>
      <c r="H30" s="18" t="str">
        <f t="shared" si="38"/>
        <v>B</v>
      </c>
      <c r="I30" s="18" t="str">
        <f t="shared" si="38"/>
        <v>L</v>
      </c>
      <c r="J30" s="18" t="str">
        <f t="shared" si="38"/>
        <v>R</v>
      </c>
      <c r="K30" s="18" t="str">
        <f t="shared" si="38"/>
        <v>V</v>
      </c>
      <c r="L30" s="18" t="str">
        <f t="shared" si="38"/>
        <v>X</v>
      </c>
      <c r="M30" s="18" t="str">
        <f t="shared" si="38"/>
        <v>A</v>
      </c>
      <c r="N30" s="18" t="str">
        <f t="shared" si="38"/>
        <v>Y</v>
      </c>
      <c r="O30" s="18" t="str">
        <f t="shared" si="38"/>
        <v>G</v>
      </c>
      <c r="P30" s="18" t="str">
        <f t="shared" si="38"/>
        <v>I</v>
      </c>
      <c r="Q30" s="18" t="str">
        <f t="shared" si="38"/>
        <v>P</v>
      </c>
      <c r="R30" s="18" t="str">
        <f t="shared" si="38"/>
        <v>D</v>
      </c>
      <c r="S30" s="18" t="str">
        <f t="shared" si="38"/>
        <v>T</v>
      </c>
      <c r="T30" s="18" t="str">
        <f t="shared" si="38"/>
        <v>O</v>
      </c>
      <c r="U30" s="18" t="str">
        <f t="shared" si="38"/>
        <v>H</v>
      </c>
      <c r="V30" s="18" t="str">
        <f t="shared" si="38"/>
        <v>N</v>
      </c>
      <c r="W30" s="18" t="str">
        <f t="shared" si="38"/>
        <v>E</v>
      </c>
      <c r="X30" s="18" t="str">
        <f t="shared" si="38"/>
        <v>J</v>
      </c>
      <c r="Y30" s="18" t="str">
        <f t="shared" si="38"/>
        <v>M</v>
      </c>
      <c r="Z30" s="18" t="str">
        <f t="shared" si="38"/>
        <v>K</v>
      </c>
      <c r="AA30" s="18" t="str">
        <f t="shared" si="38"/>
        <v>F</v>
      </c>
      <c r="AB30" s="18" t="str">
        <f t="shared" si="38"/>
        <v>Q</v>
      </c>
      <c r="AC30" s="18" t="str">
        <f t="shared" si="38"/>
        <v>S</v>
      </c>
      <c r="AD30" s="18" t="str">
        <f t="shared" si="38"/>
        <v>U</v>
      </c>
      <c r="AE30" s="18" t="str">
        <f t="shared" si="38"/>
        <v>C</v>
      </c>
      <c r="AF30" s="19" t="str">
        <f>CONCATENATE(F30,G30,H30,I30,J30,K30,L30,M30,N30,O30,P30,Q30,R30,S30,T30&amp;U30,V30,W30,X30,Y30,Z30,AA30,AB30,AC30,AD30,AE30)</f>
        <v>WZBLRVXAYGIPDTOHNEJMKFQSUC</v>
      </c>
      <c r="AH30" s="12" t="str">
        <f>F25&amp;F30</f>
        <v>AW</v>
      </c>
      <c r="AI30" s="12" t="str">
        <f t="shared" ref="AI30:BG30" si="39">G25&amp;G30</f>
        <v>BZ</v>
      </c>
      <c r="AJ30" s="12" t="str">
        <f t="shared" si="39"/>
        <v>CB</v>
      </c>
      <c r="AK30" s="12" t="str">
        <f t="shared" si="39"/>
        <v>DL</v>
      </c>
      <c r="AL30" s="12" t="str">
        <f t="shared" si="39"/>
        <v>ER</v>
      </c>
      <c r="AM30" s="12" t="str">
        <f t="shared" si="39"/>
        <v>FV</v>
      </c>
      <c r="AN30" s="12" t="str">
        <f t="shared" si="39"/>
        <v>GX</v>
      </c>
      <c r="AO30" s="12" t="str">
        <f t="shared" si="39"/>
        <v>HA</v>
      </c>
      <c r="AP30" s="12" t="str">
        <f t="shared" si="39"/>
        <v>IY</v>
      </c>
      <c r="AQ30" s="12" t="str">
        <f t="shared" si="39"/>
        <v>JG</v>
      </c>
      <c r="AR30" s="12" t="str">
        <f t="shared" si="39"/>
        <v>KI</v>
      </c>
      <c r="AS30" s="12" t="str">
        <f t="shared" si="39"/>
        <v>LP</v>
      </c>
      <c r="AT30" s="12" t="str">
        <f t="shared" si="39"/>
        <v>MD</v>
      </c>
      <c r="AU30" s="12" t="str">
        <f t="shared" si="39"/>
        <v>NT</v>
      </c>
      <c r="AV30" s="12" t="str">
        <f t="shared" si="39"/>
        <v>OO</v>
      </c>
      <c r="AW30" s="12" t="str">
        <f t="shared" si="39"/>
        <v>PH</v>
      </c>
      <c r="AX30" s="12" t="str">
        <f t="shared" si="39"/>
        <v>QN</v>
      </c>
      <c r="AY30" s="12" t="str">
        <f t="shared" si="39"/>
        <v>RE</v>
      </c>
      <c r="AZ30" s="12" t="str">
        <f t="shared" si="39"/>
        <v>SJ</v>
      </c>
      <c r="BA30" s="12" t="str">
        <f t="shared" si="39"/>
        <v>TM</v>
      </c>
      <c r="BB30" s="12" t="str">
        <f t="shared" si="39"/>
        <v>UK</v>
      </c>
      <c r="BC30" s="12" t="str">
        <f t="shared" si="39"/>
        <v>VF</v>
      </c>
      <c r="BD30" s="12" t="str">
        <f t="shared" si="39"/>
        <v>WQ</v>
      </c>
      <c r="BE30" s="12" t="str">
        <f t="shared" si="39"/>
        <v>XS</v>
      </c>
      <c r="BF30" s="12" t="str">
        <f t="shared" si="39"/>
        <v>YU</v>
      </c>
      <c r="BG30" s="12" t="str">
        <f t="shared" si="39"/>
        <v>ZC</v>
      </c>
    </row>
    <row r="31" spans="1:59" x14ac:dyDescent="0.35">
      <c r="B31" s="21"/>
      <c r="C31" s="4"/>
      <c r="D31" s="5"/>
      <c r="E31" s="5" t="s">
        <v>385</v>
      </c>
      <c r="F31" s="6" t="s">
        <v>0</v>
      </c>
      <c r="G31" s="6" t="s">
        <v>1</v>
      </c>
      <c r="H31" s="6" t="s">
        <v>2</v>
      </c>
      <c r="I31" s="6" t="s">
        <v>3</v>
      </c>
      <c r="J31" s="6" t="s">
        <v>4</v>
      </c>
      <c r="K31" s="6" t="s">
        <v>5</v>
      </c>
      <c r="L31" s="6" t="s">
        <v>6</v>
      </c>
      <c r="M31" s="6" t="s">
        <v>7</v>
      </c>
      <c r="N31" s="6" t="s">
        <v>8</v>
      </c>
      <c r="O31" s="6" t="s">
        <v>9</v>
      </c>
      <c r="P31" s="6" t="s">
        <v>10</v>
      </c>
      <c r="Q31" s="6" t="s">
        <v>11</v>
      </c>
      <c r="R31" s="6" t="s">
        <v>12</v>
      </c>
      <c r="S31" s="6" t="s">
        <v>13</v>
      </c>
      <c r="T31" s="6" t="s">
        <v>14</v>
      </c>
      <c r="U31" s="6" t="s">
        <v>15</v>
      </c>
      <c r="V31" s="6" t="s">
        <v>16</v>
      </c>
      <c r="W31" s="6" t="s">
        <v>17</v>
      </c>
      <c r="X31" s="6" t="s">
        <v>18</v>
      </c>
      <c r="Y31" s="6" t="s">
        <v>19</v>
      </c>
      <c r="Z31" s="6" t="s">
        <v>20</v>
      </c>
      <c r="AA31" s="6" t="s">
        <v>21</v>
      </c>
      <c r="AB31" s="6" t="s">
        <v>22</v>
      </c>
      <c r="AC31" s="6" t="s">
        <v>23</v>
      </c>
      <c r="AD31" s="6" t="s">
        <v>24</v>
      </c>
      <c r="AE31" s="6" t="s">
        <v>25</v>
      </c>
      <c r="AF31" s="7"/>
      <c r="AH31" s="28" t="str">
        <f>HLOOKUP(AH23,$AH28:$BG29,2,FALSE)</f>
        <v>Q</v>
      </c>
      <c r="AI31" s="28" t="str">
        <f>HLOOKUP(AI23,$AH28:$BG29,2,FALSE)</f>
        <v>F</v>
      </c>
      <c r="AJ31" s="28" t="str">
        <f t="shared" ref="AJ31:BG31" si="40">HLOOKUP(AJ23,$AH28:$BG29,2,FALSE)</f>
        <v>U</v>
      </c>
      <c r="AK31" s="28" t="str">
        <f t="shared" si="40"/>
        <v>B</v>
      </c>
      <c r="AL31" s="28" t="str">
        <f t="shared" si="40"/>
        <v>N</v>
      </c>
      <c r="AM31" s="28" t="str">
        <f t="shared" si="40"/>
        <v>V</v>
      </c>
      <c r="AN31" s="28" t="str">
        <f t="shared" si="40"/>
        <v>S</v>
      </c>
      <c r="AO31" s="28" t="str">
        <f t="shared" si="40"/>
        <v>G</v>
      </c>
      <c r="AP31" s="28" t="str">
        <f t="shared" si="40"/>
        <v>O</v>
      </c>
      <c r="AQ31" s="28" t="str">
        <f t="shared" si="40"/>
        <v>T</v>
      </c>
      <c r="AR31" s="28" t="str">
        <f t="shared" si="40"/>
        <v>P</v>
      </c>
      <c r="AS31" s="28" t="str">
        <f t="shared" si="40"/>
        <v>Y</v>
      </c>
      <c r="AT31" s="28" t="str">
        <f t="shared" si="40"/>
        <v>K</v>
      </c>
      <c r="AU31" s="28" t="str">
        <f t="shared" si="40"/>
        <v>H</v>
      </c>
      <c r="AV31" s="28" t="str">
        <f t="shared" si="40"/>
        <v>I</v>
      </c>
      <c r="AW31" s="28" t="str">
        <f t="shared" si="40"/>
        <v>X</v>
      </c>
      <c r="AX31" s="28" t="str">
        <f t="shared" si="40"/>
        <v>L</v>
      </c>
      <c r="AY31" s="28" t="str">
        <f t="shared" si="40"/>
        <v>D</v>
      </c>
      <c r="AZ31" s="28" t="str">
        <f t="shared" si="40"/>
        <v>C</v>
      </c>
      <c r="BA31" s="28" t="str">
        <f t="shared" si="40"/>
        <v>W</v>
      </c>
      <c r="BB31" s="28" t="str">
        <f t="shared" si="40"/>
        <v>E</v>
      </c>
      <c r="BC31" s="28" t="str">
        <f t="shared" si="40"/>
        <v>A</v>
      </c>
      <c r="BD31" s="28" t="str">
        <f t="shared" si="40"/>
        <v>R</v>
      </c>
      <c r="BE31" s="28" t="str">
        <f t="shared" si="40"/>
        <v>Z</v>
      </c>
      <c r="BF31" s="28" t="str">
        <f t="shared" si="40"/>
        <v>J</v>
      </c>
      <c r="BG31" s="28" t="str">
        <f t="shared" si="40"/>
        <v>M</v>
      </c>
    </row>
    <row r="32" spans="1:59" x14ac:dyDescent="0.35">
      <c r="B32" s="22"/>
      <c r="C32" s="8"/>
      <c r="F32" s="1">
        <f>IF(ISERROR(FIND(F31,$AF30)),0,1)</f>
        <v>1</v>
      </c>
      <c r="G32" s="1">
        <f t="shared" ref="G32:AE32" si="41">IF(ISERROR(FIND(G31,$AF30)),0,1)</f>
        <v>1</v>
      </c>
      <c r="H32" s="1">
        <f t="shared" si="41"/>
        <v>1</v>
      </c>
      <c r="I32" s="1">
        <f t="shared" si="41"/>
        <v>1</v>
      </c>
      <c r="J32" s="1">
        <f t="shared" si="41"/>
        <v>1</v>
      </c>
      <c r="K32" s="1">
        <f t="shared" si="41"/>
        <v>1</v>
      </c>
      <c r="L32" s="1">
        <f t="shared" si="41"/>
        <v>1</v>
      </c>
      <c r="M32" s="1">
        <f t="shared" si="41"/>
        <v>1</v>
      </c>
      <c r="N32" s="1">
        <f t="shared" si="41"/>
        <v>1</v>
      </c>
      <c r="O32" s="1">
        <f t="shared" si="41"/>
        <v>1</v>
      </c>
      <c r="P32" s="1">
        <f t="shared" si="41"/>
        <v>1</v>
      </c>
      <c r="Q32" s="1">
        <f t="shared" si="41"/>
        <v>1</v>
      </c>
      <c r="R32" s="1">
        <f t="shared" si="41"/>
        <v>1</v>
      </c>
      <c r="S32" s="1">
        <f t="shared" si="41"/>
        <v>1</v>
      </c>
      <c r="T32" s="1">
        <f t="shared" si="41"/>
        <v>1</v>
      </c>
      <c r="U32" s="1">
        <f t="shared" si="41"/>
        <v>1</v>
      </c>
      <c r="V32" s="1">
        <f t="shared" si="41"/>
        <v>1</v>
      </c>
      <c r="W32" s="1">
        <f t="shared" si="41"/>
        <v>1</v>
      </c>
      <c r="X32" s="1">
        <f t="shared" si="41"/>
        <v>1</v>
      </c>
      <c r="Y32" s="1">
        <f t="shared" si="41"/>
        <v>1</v>
      </c>
      <c r="Z32" s="1">
        <f t="shared" si="41"/>
        <v>1</v>
      </c>
      <c r="AA32" s="1">
        <f t="shared" si="41"/>
        <v>1</v>
      </c>
      <c r="AB32" s="1">
        <f t="shared" si="41"/>
        <v>1</v>
      </c>
      <c r="AC32" s="1">
        <f t="shared" si="41"/>
        <v>1</v>
      </c>
      <c r="AD32" s="1">
        <f t="shared" si="41"/>
        <v>1</v>
      </c>
      <c r="AE32" s="1">
        <f t="shared" si="41"/>
        <v>1</v>
      </c>
      <c r="AF32" s="10"/>
    </row>
    <row r="33" spans="2:59" x14ac:dyDescent="0.35">
      <c r="B33" s="22" t="s">
        <v>383</v>
      </c>
      <c r="C33" s="26" t="str">
        <f>"R"&amp;C12</f>
        <v>R4</v>
      </c>
      <c r="D33" s="11">
        <f>D12</f>
        <v>142</v>
      </c>
      <c r="E33" s="11">
        <f>E12</f>
        <v>12</v>
      </c>
      <c r="F33" s="12" t="str">
        <f>F12</f>
        <v>L</v>
      </c>
      <c r="G33" s="13" t="str">
        <f t="shared" ref="G33:AE33" si="42">VLOOKUP(F33,nNextLetter,2,FALSE)</f>
        <v>M</v>
      </c>
      <c r="H33" s="13" t="str">
        <f t="shared" si="42"/>
        <v>N</v>
      </c>
      <c r="I33" s="13" t="str">
        <f t="shared" si="42"/>
        <v>O</v>
      </c>
      <c r="J33" s="13" t="str">
        <f t="shared" si="42"/>
        <v>P</v>
      </c>
      <c r="K33" s="13" t="str">
        <f t="shared" si="42"/>
        <v>Q</v>
      </c>
      <c r="L33" s="13" t="str">
        <f t="shared" si="42"/>
        <v>R</v>
      </c>
      <c r="M33" s="13" t="str">
        <f t="shared" si="42"/>
        <v>S</v>
      </c>
      <c r="N33" s="13" t="str">
        <f t="shared" si="42"/>
        <v>T</v>
      </c>
      <c r="O33" s="13" t="str">
        <f t="shared" si="42"/>
        <v>U</v>
      </c>
      <c r="P33" s="13" t="str">
        <f t="shared" si="42"/>
        <v>V</v>
      </c>
      <c r="Q33" s="13" t="str">
        <f t="shared" si="42"/>
        <v>W</v>
      </c>
      <c r="R33" s="13" t="str">
        <f t="shared" si="42"/>
        <v>X</v>
      </c>
      <c r="S33" s="13" t="str">
        <f t="shared" si="42"/>
        <v>Y</v>
      </c>
      <c r="T33" s="13" t="str">
        <f t="shared" si="42"/>
        <v>Z</v>
      </c>
      <c r="U33" s="13" t="str">
        <f t="shared" si="42"/>
        <v>A</v>
      </c>
      <c r="V33" s="13" t="str">
        <f t="shared" si="42"/>
        <v>B</v>
      </c>
      <c r="W33" s="13" t="str">
        <f t="shared" si="42"/>
        <v>C</v>
      </c>
      <c r="X33" s="13" t="str">
        <f t="shared" si="42"/>
        <v>D</v>
      </c>
      <c r="Y33" s="13" t="str">
        <f t="shared" si="42"/>
        <v>E</v>
      </c>
      <c r="Z33" s="13" t="str">
        <f t="shared" si="42"/>
        <v>F</v>
      </c>
      <c r="AA33" s="13" t="str">
        <f t="shared" si="42"/>
        <v>G</v>
      </c>
      <c r="AB33" s="13" t="str">
        <f t="shared" si="42"/>
        <v>H</v>
      </c>
      <c r="AC33" s="13" t="str">
        <f t="shared" si="42"/>
        <v>I</v>
      </c>
      <c r="AD33" s="13" t="str">
        <f t="shared" si="42"/>
        <v>J</v>
      </c>
      <c r="AE33" s="13" t="str">
        <f t="shared" si="42"/>
        <v>K</v>
      </c>
      <c r="AF33" s="10"/>
    </row>
    <row r="34" spans="2:59" x14ac:dyDescent="0.35">
      <c r="B34" s="22"/>
      <c r="C34" s="8"/>
      <c r="E34" t="s">
        <v>386</v>
      </c>
      <c r="F34" s="14" t="str">
        <f t="shared" ref="F34:AE34" si="43">IF(F32=1,VLOOKUP(nCurPosM+nRingOffsetM+(CODE(F31)-nCharOffset)-1,nNum2Let,2,FALSE),"")</f>
        <v>L</v>
      </c>
      <c r="G34" s="14" t="str">
        <f t="shared" si="43"/>
        <v>M</v>
      </c>
      <c r="H34" s="14" t="str">
        <f t="shared" si="43"/>
        <v>N</v>
      </c>
      <c r="I34" s="14" t="str">
        <f t="shared" si="43"/>
        <v>O</v>
      </c>
      <c r="J34" s="14" t="str">
        <f t="shared" si="43"/>
        <v>P</v>
      </c>
      <c r="K34" s="14" t="str">
        <f t="shared" si="43"/>
        <v>Q</v>
      </c>
      <c r="L34" s="14" t="str">
        <f t="shared" si="43"/>
        <v>R</v>
      </c>
      <c r="M34" s="14" t="str">
        <f t="shared" si="43"/>
        <v>S</v>
      </c>
      <c r="N34" s="14" t="str">
        <f t="shared" si="43"/>
        <v>T</v>
      </c>
      <c r="O34" s="14" t="str">
        <f t="shared" si="43"/>
        <v>U</v>
      </c>
      <c r="P34" s="14" t="str">
        <f t="shared" si="43"/>
        <v>V</v>
      </c>
      <c r="Q34" s="14" t="str">
        <f t="shared" si="43"/>
        <v>W</v>
      </c>
      <c r="R34" s="14" t="str">
        <f t="shared" si="43"/>
        <v>X</v>
      </c>
      <c r="S34" s="14" t="str">
        <f t="shared" si="43"/>
        <v>Y</v>
      </c>
      <c r="T34" s="14" t="str">
        <f t="shared" si="43"/>
        <v>Z</v>
      </c>
      <c r="U34" s="14" t="str">
        <f t="shared" si="43"/>
        <v>A</v>
      </c>
      <c r="V34" s="14" t="str">
        <f t="shared" si="43"/>
        <v>B</v>
      </c>
      <c r="W34" s="14" t="str">
        <f t="shared" si="43"/>
        <v>C</v>
      </c>
      <c r="X34" s="14" t="str">
        <f t="shared" si="43"/>
        <v>D</v>
      </c>
      <c r="Y34" s="14" t="str">
        <f t="shared" si="43"/>
        <v>E</v>
      </c>
      <c r="Z34" s="14" t="str">
        <f t="shared" si="43"/>
        <v>F</v>
      </c>
      <c r="AA34" s="14" t="str">
        <f t="shared" si="43"/>
        <v>G</v>
      </c>
      <c r="AB34" s="14" t="str">
        <f t="shared" si="43"/>
        <v>H</v>
      </c>
      <c r="AC34" s="14" t="str">
        <f t="shared" si="43"/>
        <v>I</v>
      </c>
      <c r="AD34" s="14" t="str">
        <f t="shared" si="43"/>
        <v>J</v>
      </c>
      <c r="AE34" s="14" t="str">
        <f t="shared" si="43"/>
        <v>K</v>
      </c>
      <c r="AF34" s="10"/>
      <c r="AH34" s="28" t="str">
        <f t="shared" ref="AH34:BG34" si="44">IF(LEN(AH36)=2,LEFT(AH36,1),"")</f>
        <v>A</v>
      </c>
      <c r="AI34" s="28" t="str">
        <f t="shared" si="44"/>
        <v>B</v>
      </c>
      <c r="AJ34" s="28" t="str">
        <f t="shared" si="44"/>
        <v>C</v>
      </c>
      <c r="AK34" s="28" t="str">
        <f t="shared" si="44"/>
        <v>D</v>
      </c>
      <c r="AL34" s="28" t="str">
        <f t="shared" si="44"/>
        <v>E</v>
      </c>
      <c r="AM34" s="28" t="str">
        <f t="shared" si="44"/>
        <v>F</v>
      </c>
      <c r="AN34" s="28" t="str">
        <f t="shared" si="44"/>
        <v>G</v>
      </c>
      <c r="AO34" s="28" t="str">
        <f t="shared" si="44"/>
        <v>H</v>
      </c>
      <c r="AP34" s="28" t="str">
        <f t="shared" si="44"/>
        <v>I</v>
      </c>
      <c r="AQ34" s="28" t="str">
        <f t="shared" si="44"/>
        <v>J</v>
      </c>
      <c r="AR34" s="28" t="str">
        <f t="shared" si="44"/>
        <v>K</v>
      </c>
      <c r="AS34" s="28" t="str">
        <f t="shared" si="44"/>
        <v>L</v>
      </c>
      <c r="AT34" s="28" t="str">
        <f t="shared" si="44"/>
        <v>M</v>
      </c>
      <c r="AU34" s="28" t="str">
        <f t="shared" si="44"/>
        <v>N</v>
      </c>
      <c r="AV34" s="28" t="str">
        <f t="shared" si="44"/>
        <v>O</v>
      </c>
      <c r="AW34" s="28" t="str">
        <f t="shared" si="44"/>
        <v>P</v>
      </c>
      <c r="AX34" s="28" t="str">
        <f t="shared" si="44"/>
        <v>Q</v>
      </c>
      <c r="AY34" s="28" t="str">
        <f t="shared" si="44"/>
        <v>R</v>
      </c>
      <c r="AZ34" s="28" t="str">
        <f t="shared" si="44"/>
        <v>S</v>
      </c>
      <c r="BA34" s="28" t="str">
        <f t="shared" si="44"/>
        <v>T</v>
      </c>
      <c r="BB34" s="28" t="str">
        <f t="shared" si="44"/>
        <v>U</v>
      </c>
      <c r="BC34" s="28" t="str">
        <f t="shared" si="44"/>
        <v>V</v>
      </c>
      <c r="BD34" s="28" t="str">
        <f t="shared" si="44"/>
        <v>W</v>
      </c>
      <c r="BE34" s="28" t="str">
        <f t="shared" si="44"/>
        <v>X</v>
      </c>
      <c r="BF34" s="28" t="str">
        <f t="shared" si="44"/>
        <v>Y</v>
      </c>
      <c r="BG34" s="28" t="str">
        <f t="shared" si="44"/>
        <v>Z</v>
      </c>
    </row>
    <row r="35" spans="2:59" x14ac:dyDescent="0.35">
      <c r="B35" s="22"/>
      <c r="C35" s="8"/>
      <c r="E35" t="s">
        <v>387</v>
      </c>
      <c r="F35" s="15" t="str">
        <f t="shared" ref="F35:AE35" si="45">IF(F32=1,VLOOKUP(nRotorM_Rev&amp;F34,nRotorRev,4,FALSE),"")</f>
        <v>P</v>
      </c>
      <c r="G35" s="15" t="str">
        <f t="shared" si="45"/>
        <v>X</v>
      </c>
      <c r="H35" s="15" t="str">
        <f t="shared" si="45"/>
        <v>Q</v>
      </c>
      <c r="I35" s="15" t="str">
        <f t="shared" si="45"/>
        <v>C</v>
      </c>
      <c r="J35" s="15" t="str">
        <f t="shared" si="45"/>
        <v>E</v>
      </c>
      <c r="K35" s="15" t="str">
        <f t="shared" si="45"/>
        <v>J</v>
      </c>
      <c r="L35" s="15" t="str">
        <f t="shared" si="45"/>
        <v>M</v>
      </c>
      <c r="M35" s="15" t="str">
        <f t="shared" si="45"/>
        <v>B</v>
      </c>
      <c r="N35" s="15" t="str">
        <f t="shared" si="45"/>
        <v>S</v>
      </c>
      <c r="O35" s="15" t="str">
        <f t="shared" si="45"/>
        <v>K</v>
      </c>
      <c r="P35" s="15" t="str">
        <f t="shared" si="45"/>
        <v>D</v>
      </c>
      <c r="Q35" s="15" t="str">
        <f t="shared" si="45"/>
        <v>Y</v>
      </c>
      <c r="R35" s="15" t="str">
        <f t="shared" si="45"/>
        <v>O</v>
      </c>
      <c r="S35" s="15" t="str">
        <f t="shared" si="45"/>
        <v>I</v>
      </c>
      <c r="T35" s="15" t="str">
        <f t="shared" si="45"/>
        <v>F</v>
      </c>
      <c r="U35" s="15" t="str">
        <f t="shared" si="45"/>
        <v>H</v>
      </c>
      <c r="V35" s="15" t="str">
        <f t="shared" si="45"/>
        <v>Z</v>
      </c>
      <c r="W35" s="15" t="str">
        <f t="shared" si="45"/>
        <v>W</v>
      </c>
      <c r="X35" s="15" t="str">
        <f t="shared" si="45"/>
        <v>V</v>
      </c>
      <c r="Y35" s="15" t="str">
        <f t="shared" si="45"/>
        <v>A</v>
      </c>
      <c r="Z35" s="15" t="str">
        <f t="shared" si="45"/>
        <v>R</v>
      </c>
      <c r="AA35" s="15" t="str">
        <f t="shared" si="45"/>
        <v>T</v>
      </c>
      <c r="AB35" s="15" t="str">
        <f t="shared" si="45"/>
        <v>N</v>
      </c>
      <c r="AC35" s="15" t="str">
        <f t="shared" si="45"/>
        <v>L</v>
      </c>
      <c r="AD35" s="15" t="str">
        <f t="shared" si="45"/>
        <v>G</v>
      </c>
      <c r="AE35" s="15" t="str">
        <f t="shared" si="45"/>
        <v>U</v>
      </c>
      <c r="AF35" s="10"/>
      <c r="AH35" s="28" t="str">
        <f t="shared" ref="AH35:BG35" si="46">IF(LEN(AH36)=2,RIGHT(AH36,1),"")</f>
        <v>E</v>
      </c>
      <c r="AI35" s="28" t="str">
        <f t="shared" si="46"/>
        <v>M</v>
      </c>
      <c r="AJ35" s="28" t="str">
        <f t="shared" si="46"/>
        <v>F</v>
      </c>
      <c r="AK35" s="28" t="str">
        <f t="shared" si="46"/>
        <v>R</v>
      </c>
      <c r="AL35" s="28" t="str">
        <f t="shared" si="46"/>
        <v>T</v>
      </c>
      <c r="AM35" s="28" t="str">
        <f t="shared" si="46"/>
        <v>Y</v>
      </c>
      <c r="AN35" s="28" t="str">
        <f t="shared" si="46"/>
        <v>B</v>
      </c>
      <c r="AO35" s="28" t="str">
        <f t="shared" si="46"/>
        <v>Q</v>
      </c>
      <c r="AP35" s="28" t="str">
        <f t="shared" si="46"/>
        <v>H</v>
      </c>
      <c r="AQ35" s="28" t="str">
        <f t="shared" si="46"/>
        <v>Z</v>
      </c>
      <c r="AR35" s="28" t="str">
        <f t="shared" si="46"/>
        <v>S</v>
      </c>
      <c r="AS35" s="28" t="str">
        <f t="shared" si="46"/>
        <v>N</v>
      </c>
      <c r="AT35" s="28" t="str">
        <f t="shared" si="46"/>
        <v>D</v>
      </c>
      <c r="AU35" s="28" t="str">
        <f t="shared" si="46"/>
        <v>X</v>
      </c>
      <c r="AV35" s="28" t="str">
        <f t="shared" si="46"/>
        <v>U</v>
      </c>
      <c r="AW35" s="28" t="str">
        <f t="shared" si="46"/>
        <v>W</v>
      </c>
      <c r="AX35" s="28" t="str">
        <f t="shared" si="46"/>
        <v>O</v>
      </c>
      <c r="AY35" s="28" t="str">
        <f t="shared" si="46"/>
        <v>L</v>
      </c>
      <c r="AZ35" s="28" t="str">
        <f t="shared" si="46"/>
        <v>K</v>
      </c>
      <c r="BA35" s="28" t="str">
        <f t="shared" si="46"/>
        <v>P</v>
      </c>
      <c r="BB35" s="28" t="str">
        <f t="shared" si="46"/>
        <v>G</v>
      </c>
      <c r="BC35" s="28" t="str">
        <f t="shared" si="46"/>
        <v>I</v>
      </c>
      <c r="BD35" s="28" t="str">
        <f t="shared" si="46"/>
        <v>C</v>
      </c>
      <c r="BE35" s="28" t="str">
        <f t="shared" si="46"/>
        <v>A</v>
      </c>
      <c r="BF35" s="28" t="str">
        <f t="shared" si="46"/>
        <v>V</v>
      </c>
      <c r="BG35" s="28" t="str">
        <f t="shared" si="46"/>
        <v>J</v>
      </c>
    </row>
    <row r="36" spans="2:59" ht="15" thickBot="1" x14ac:dyDescent="0.4">
      <c r="B36" s="23"/>
      <c r="C36" s="16"/>
      <c r="D36" s="17"/>
      <c r="E36" s="17" t="s">
        <v>388</v>
      </c>
      <c r="F36" s="18" t="str">
        <f t="shared" ref="F36:AE36" si="47">IF(F32=1,IF(CODE(F35)-CODE(F34)&lt;0,VLOOKUP((CODE(F35)-CODE(F34)+26)+(CODE(F31)-nCharOffset),nNum2Let,2,FALSE),VLOOKUP((CODE(F35)-CODE(F34))+(CODE(F31)-nCharOffset),nNum2Let,2,FALSE)),"")</f>
        <v>E</v>
      </c>
      <c r="G36" s="18" t="str">
        <f t="shared" si="47"/>
        <v>M</v>
      </c>
      <c r="H36" s="18" t="str">
        <f t="shared" si="47"/>
        <v>F</v>
      </c>
      <c r="I36" s="18" t="str">
        <f t="shared" si="47"/>
        <v>R</v>
      </c>
      <c r="J36" s="18" t="str">
        <f t="shared" si="47"/>
        <v>T</v>
      </c>
      <c r="K36" s="18" t="str">
        <f t="shared" si="47"/>
        <v>Y</v>
      </c>
      <c r="L36" s="18" t="str">
        <f t="shared" si="47"/>
        <v>B</v>
      </c>
      <c r="M36" s="18" t="str">
        <f t="shared" si="47"/>
        <v>Q</v>
      </c>
      <c r="N36" s="18" t="str">
        <f t="shared" si="47"/>
        <v>H</v>
      </c>
      <c r="O36" s="18" t="str">
        <f t="shared" si="47"/>
        <v>Z</v>
      </c>
      <c r="P36" s="18" t="str">
        <f t="shared" si="47"/>
        <v>S</v>
      </c>
      <c r="Q36" s="18" t="str">
        <f t="shared" si="47"/>
        <v>N</v>
      </c>
      <c r="R36" s="18" t="str">
        <f t="shared" si="47"/>
        <v>D</v>
      </c>
      <c r="S36" s="18" t="str">
        <f t="shared" si="47"/>
        <v>X</v>
      </c>
      <c r="T36" s="18" t="str">
        <f t="shared" si="47"/>
        <v>U</v>
      </c>
      <c r="U36" s="18" t="str">
        <f t="shared" si="47"/>
        <v>W</v>
      </c>
      <c r="V36" s="18" t="str">
        <f t="shared" si="47"/>
        <v>O</v>
      </c>
      <c r="W36" s="18" t="str">
        <f t="shared" si="47"/>
        <v>L</v>
      </c>
      <c r="X36" s="18" t="str">
        <f t="shared" si="47"/>
        <v>K</v>
      </c>
      <c r="Y36" s="18" t="str">
        <f t="shared" si="47"/>
        <v>P</v>
      </c>
      <c r="Z36" s="18" t="str">
        <f t="shared" si="47"/>
        <v>G</v>
      </c>
      <c r="AA36" s="18" t="str">
        <f t="shared" si="47"/>
        <v>I</v>
      </c>
      <c r="AB36" s="18" t="str">
        <f t="shared" si="47"/>
        <v>C</v>
      </c>
      <c r="AC36" s="18" t="str">
        <f t="shared" si="47"/>
        <v>A</v>
      </c>
      <c r="AD36" s="18" t="str">
        <f t="shared" si="47"/>
        <v>V</v>
      </c>
      <c r="AE36" s="18" t="str">
        <f t="shared" si="47"/>
        <v>J</v>
      </c>
      <c r="AF36" s="19" t="str">
        <f>CONCATENATE(F36,G36,H36,I36,J36,K36,L36,M36,N36,O36,P36,Q36,R36,S36,T36&amp;U36,V36,W36,X36,Y36,Z36,AA36,AB36,AC36,AD36,AE36)</f>
        <v>EMFRTYBQHZSNDXUWOLKPGICAVJ</v>
      </c>
      <c r="AH36" s="12" t="str">
        <f>F31&amp;F36</f>
        <v>AE</v>
      </c>
      <c r="AI36" s="12" t="str">
        <f t="shared" ref="AI36:BG36" si="48">G31&amp;G36</f>
        <v>BM</v>
      </c>
      <c r="AJ36" s="12" t="str">
        <f t="shared" si="48"/>
        <v>CF</v>
      </c>
      <c r="AK36" s="12" t="str">
        <f t="shared" si="48"/>
        <v>DR</v>
      </c>
      <c r="AL36" s="12" t="str">
        <f t="shared" si="48"/>
        <v>ET</v>
      </c>
      <c r="AM36" s="12" t="str">
        <f t="shared" si="48"/>
        <v>FY</v>
      </c>
      <c r="AN36" s="12" t="str">
        <f t="shared" si="48"/>
        <v>GB</v>
      </c>
      <c r="AO36" s="12" t="str">
        <f t="shared" si="48"/>
        <v>HQ</v>
      </c>
      <c r="AP36" s="12" t="str">
        <f t="shared" si="48"/>
        <v>IH</v>
      </c>
      <c r="AQ36" s="12" t="str">
        <f t="shared" si="48"/>
        <v>JZ</v>
      </c>
      <c r="AR36" s="12" t="str">
        <f t="shared" si="48"/>
        <v>KS</v>
      </c>
      <c r="AS36" s="12" t="str">
        <f t="shared" si="48"/>
        <v>LN</v>
      </c>
      <c r="AT36" s="12" t="str">
        <f t="shared" si="48"/>
        <v>MD</v>
      </c>
      <c r="AU36" s="12" t="str">
        <f t="shared" si="48"/>
        <v>NX</v>
      </c>
      <c r="AV36" s="12" t="str">
        <f t="shared" si="48"/>
        <v>OU</v>
      </c>
      <c r="AW36" s="12" t="str">
        <f t="shared" si="48"/>
        <v>PW</v>
      </c>
      <c r="AX36" s="12" t="str">
        <f t="shared" si="48"/>
        <v>QO</v>
      </c>
      <c r="AY36" s="12" t="str">
        <f t="shared" si="48"/>
        <v>RL</v>
      </c>
      <c r="AZ36" s="12" t="str">
        <f t="shared" si="48"/>
        <v>SK</v>
      </c>
      <c r="BA36" s="12" t="str">
        <f t="shared" si="48"/>
        <v>TP</v>
      </c>
      <c r="BB36" s="12" t="str">
        <f t="shared" si="48"/>
        <v>UG</v>
      </c>
      <c r="BC36" s="12" t="str">
        <f t="shared" si="48"/>
        <v>VI</v>
      </c>
      <c r="BD36" s="12" t="str">
        <f t="shared" si="48"/>
        <v>WC</v>
      </c>
      <c r="BE36" s="12" t="str">
        <f t="shared" si="48"/>
        <v>XA</v>
      </c>
      <c r="BF36" s="12" t="str">
        <f t="shared" si="48"/>
        <v>YV</v>
      </c>
      <c r="BG36" s="12" t="str">
        <f t="shared" si="48"/>
        <v>ZJ</v>
      </c>
    </row>
    <row r="37" spans="2:59" x14ac:dyDescent="0.35">
      <c r="B37" s="21"/>
      <c r="C37" s="4"/>
      <c r="D37" s="5"/>
      <c r="E37" s="5" t="s">
        <v>385</v>
      </c>
      <c r="F37" s="6" t="s">
        <v>0</v>
      </c>
      <c r="G37" s="6" t="s">
        <v>1</v>
      </c>
      <c r="H37" s="6" t="s">
        <v>2</v>
      </c>
      <c r="I37" s="6" t="s">
        <v>3</v>
      </c>
      <c r="J37" s="6" t="s">
        <v>4</v>
      </c>
      <c r="K37" s="6" t="s">
        <v>5</v>
      </c>
      <c r="L37" s="6" t="s">
        <v>6</v>
      </c>
      <c r="M37" s="6" t="s">
        <v>7</v>
      </c>
      <c r="N37" s="6" t="s">
        <v>8</v>
      </c>
      <c r="O37" s="6" t="s">
        <v>9</v>
      </c>
      <c r="P37" s="6" t="s">
        <v>10</v>
      </c>
      <c r="Q37" s="6" t="s">
        <v>11</v>
      </c>
      <c r="R37" s="6" t="s">
        <v>12</v>
      </c>
      <c r="S37" s="6" t="s">
        <v>13</v>
      </c>
      <c r="T37" s="6" t="s">
        <v>14</v>
      </c>
      <c r="U37" s="6" t="s">
        <v>15</v>
      </c>
      <c r="V37" s="6" t="s">
        <v>16</v>
      </c>
      <c r="W37" s="6" t="s">
        <v>17</v>
      </c>
      <c r="X37" s="6" t="s">
        <v>18</v>
      </c>
      <c r="Y37" s="6" t="s">
        <v>19</v>
      </c>
      <c r="Z37" s="6" t="s">
        <v>20</v>
      </c>
      <c r="AA37" s="6" t="s">
        <v>21</v>
      </c>
      <c r="AB37" s="6" t="s">
        <v>22</v>
      </c>
      <c r="AC37" s="6" t="s">
        <v>23</v>
      </c>
      <c r="AD37" s="6" t="s">
        <v>24</v>
      </c>
      <c r="AE37" s="6" t="s">
        <v>25</v>
      </c>
      <c r="AF37" s="20"/>
      <c r="AH37" s="28" t="str">
        <f>HLOOKUP(AH31,$AH34:$BG35,2,FALSE)</f>
        <v>O</v>
      </c>
      <c r="AI37" s="28" t="str">
        <f>HLOOKUP(AI31,$AH34:$BG35,2,FALSE)</f>
        <v>Y</v>
      </c>
      <c r="AJ37" s="28" t="str">
        <f>HLOOKUP(AJ31,$AH34:$BG35,2,FALSE)</f>
        <v>G</v>
      </c>
      <c r="AK37" s="28" t="str">
        <f t="shared" ref="AK37:BG37" si="49">HLOOKUP(AK31,$AH34:$BG35,2,FALSE)</f>
        <v>M</v>
      </c>
      <c r="AL37" s="28" t="str">
        <f t="shared" si="49"/>
        <v>X</v>
      </c>
      <c r="AM37" s="28" t="str">
        <f t="shared" si="49"/>
        <v>I</v>
      </c>
      <c r="AN37" s="28" t="str">
        <f t="shared" si="49"/>
        <v>K</v>
      </c>
      <c r="AO37" s="28" t="str">
        <f t="shared" si="49"/>
        <v>B</v>
      </c>
      <c r="AP37" s="28" t="str">
        <f t="shared" si="49"/>
        <v>U</v>
      </c>
      <c r="AQ37" s="28" t="str">
        <f t="shared" si="49"/>
        <v>P</v>
      </c>
      <c r="AR37" s="28" t="str">
        <f t="shared" si="49"/>
        <v>W</v>
      </c>
      <c r="AS37" s="28" t="str">
        <f t="shared" si="49"/>
        <v>V</v>
      </c>
      <c r="AT37" s="28" t="str">
        <f t="shared" si="49"/>
        <v>S</v>
      </c>
      <c r="AU37" s="28" t="str">
        <f t="shared" si="49"/>
        <v>Q</v>
      </c>
      <c r="AV37" s="28" t="str">
        <f t="shared" si="49"/>
        <v>H</v>
      </c>
      <c r="AW37" s="28" t="str">
        <f t="shared" si="49"/>
        <v>A</v>
      </c>
      <c r="AX37" s="28" t="str">
        <f t="shared" si="49"/>
        <v>N</v>
      </c>
      <c r="AY37" s="28" t="str">
        <f t="shared" si="49"/>
        <v>R</v>
      </c>
      <c r="AZ37" s="28" t="str">
        <f t="shared" si="49"/>
        <v>F</v>
      </c>
      <c r="BA37" s="28" t="str">
        <f t="shared" si="49"/>
        <v>C</v>
      </c>
      <c r="BB37" s="28" t="str">
        <f t="shared" si="49"/>
        <v>T</v>
      </c>
      <c r="BC37" s="28" t="str">
        <f t="shared" si="49"/>
        <v>E</v>
      </c>
      <c r="BD37" s="28" t="str">
        <f t="shared" si="49"/>
        <v>L</v>
      </c>
      <c r="BE37" s="28" t="str">
        <f t="shared" si="49"/>
        <v>J</v>
      </c>
      <c r="BF37" s="28" t="str">
        <f t="shared" si="49"/>
        <v>Z</v>
      </c>
      <c r="BG37" s="28" t="str">
        <f t="shared" si="49"/>
        <v>D</v>
      </c>
    </row>
    <row r="38" spans="2:59" x14ac:dyDescent="0.35">
      <c r="B38" s="22"/>
      <c r="C38" s="8"/>
      <c r="F38" s="1">
        <f t="shared" ref="F38:AE38" si="50">IF(ISERROR(FIND(F37,$AF36)),0,1)</f>
        <v>1</v>
      </c>
      <c r="G38" s="1">
        <f t="shared" si="50"/>
        <v>1</v>
      </c>
      <c r="H38" s="1">
        <f t="shared" si="50"/>
        <v>1</v>
      </c>
      <c r="I38" s="1">
        <f t="shared" si="50"/>
        <v>1</v>
      </c>
      <c r="J38" s="1">
        <f t="shared" si="50"/>
        <v>1</v>
      </c>
      <c r="K38" s="1">
        <f t="shared" si="50"/>
        <v>1</v>
      </c>
      <c r="L38" s="1">
        <f t="shared" si="50"/>
        <v>1</v>
      </c>
      <c r="M38" s="1">
        <f t="shared" si="50"/>
        <v>1</v>
      </c>
      <c r="N38" s="1">
        <f t="shared" si="50"/>
        <v>1</v>
      </c>
      <c r="O38" s="1">
        <f t="shared" si="50"/>
        <v>1</v>
      </c>
      <c r="P38" s="1">
        <f t="shared" si="50"/>
        <v>1</v>
      </c>
      <c r="Q38" s="1">
        <f t="shared" si="50"/>
        <v>1</v>
      </c>
      <c r="R38" s="1">
        <f t="shared" si="50"/>
        <v>1</v>
      </c>
      <c r="S38" s="1">
        <f t="shared" si="50"/>
        <v>1</v>
      </c>
      <c r="T38" s="1">
        <f t="shared" si="50"/>
        <v>1</v>
      </c>
      <c r="U38" s="1">
        <f t="shared" si="50"/>
        <v>1</v>
      </c>
      <c r="V38" s="1">
        <f t="shared" si="50"/>
        <v>1</v>
      </c>
      <c r="W38" s="1">
        <f t="shared" si="50"/>
        <v>1</v>
      </c>
      <c r="X38" s="1">
        <f t="shared" si="50"/>
        <v>1</v>
      </c>
      <c r="Y38" s="1">
        <f t="shared" si="50"/>
        <v>1</v>
      </c>
      <c r="Z38" s="1">
        <f t="shared" si="50"/>
        <v>1</v>
      </c>
      <c r="AA38" s="1">
        <f t="shared" si="50"/>
        <v>1</v>
      </c>
      <c r="AB38" s="1">
        <f t="shared" si="50"/>
        <v>1</v>
      </c>
      <c r="AC38" s="1">
        <f t="shared" si="50"/>
        <v>1</v>
      </c>
      <c r="AD38" s="1">
        <f t="shared" si="50"/>
        <v>1</v>
      </c>
      <c r="AE38" s="1">
        <f t="shared" si="50"/>
        <v>1</v>
      </c>
      <c r="AF38" s="10"/>
    </row>
    <row r="39" spans="2:59" x14ac:dyDescent="0.35">
      <c r="B39" s="22" t="s">
        <v>384</v>
      </c>
      <c r="C39" s="26" t="str">
        <f>"R"&amp;C6</f>
        <v>R2</v>
      </c>
      <c r="D39" s="11">
        <f>D6</f>
        <v>3707</v>
      </c>
      <c r="E39" s="11">
        <f>E6</f>
        <v>15</v>
      </c>
      <c r="F39" s="12" t="str">
        <f>F6</f>
        <v>O</v>
      </c>
      <c r="G39" s="13" t="str">
        <f t="shared" ref="G39:AE39" si="51">VLOOKUP(F39,nNextLetter,2,FALSE)</f>
        <v>P</v>
      </c>
      <c r="H39" s="13" t="str">
        <f t="shared" si="51"/>
        <v>Q</v>
      </c>
      <c r="I39" s="13" t="str">
        <f t="shared" si="51"/>
        <v>R</v>
      </c>
      <c r="J39" s="13" t="str">
        <f t="shared" si="51"/>
        <v>S</v>
      </c>
      <c r="K39" s="13" t="str">
        <f t="shared" si="51"/>
        <v>T</v>
      </c>
      <c r="L39" s="13" t="str">
        <f t="shared" si="51"/>
        <v>U</v>
      </c>
      <c r="M39" s="13" t="str">
        <f t="shared" si="51"/>
        <v>V</v>
      </c>
      <c r="N39" s="13" t="str">
        <f t="shared" si="51"/>
        <v>W</v>
      </c>
      <c r="O39" s="13" t="str">
        <f t="shared" si="51"/>
        <v>X</v>
      </c>
      <c r="P39" s="13" t="str">
        <f t="shared" si="51"/>
        <v>Y</v>
      </c>
      <c r="Q39" s="13" t="str">
        <f t="shared" si="51"/>
        <v>Z</v>
      </c>
      <c r="R39" s="13" t="str">
        <f t="shared" si="51"/>
        <v>A</v>
      </c>
      <c r="S39" s="13" t="str">
        <f t="shared" si="51"/>
        <v>B</v>
      </c>
      <c r="T39" s="13" t="str">
        <f t="shared" si="51"/>
        <v>C</v>
      </c>
      <c r="U39" s="13" t="str">
        <f t="shared" si="51"/>
        <v>D</v>
      </c>
      <c r="V39" s="13" t="str">
        <f t="shared" si="51"/>
        <v>E</v>
      </c>
      <c r="W39" s="13" t="str">
        <f t="shared" si="51"/>
        <v>F</v>
      </c>
      <c r="X39" s="13" t="str">
        <f t="shared" si="51"/>
        <v>G</v>
      </c>
      <c r="Y39" s="13" t="str">
        <f t="shared" si="51"/>
        <v>H</v>
      </c>
      <c r="Z39" s="13" t="str">
        <f t="shared" si="51"/>
        <v>I</v>
      </c>
      <c r="AA39" s="13" t="str">
        <f t="shared" si="51"/>
        <v>J</v>
      </c>
      <c r="AB39" s="13" t="str">
        <f t="shared" si="51"/>
        <v>K</v>
      </c>
      <c r="AC39" s="13" t="str">
        <f t="shared" si="51"/>
        <v>L</v>
      </c>
      <c r="AD39" s="13" t="str">
        <f t="shared" si="51"/>
        <v>M</v>
      </c>
      <c r="AE39" s="13" t="str">
        <f t="shared" si="51"/>
        <v>N</v>
      </c>
      <c r="AF39" s="10"/>
    </row>
    <row r="40" spans="2:59" x14ac:dyDescent="0.35">
      <c r="B40" s="22"/>
      <c r="C40" s="8"/>
      <c r="E40" t="s">
        <v>386</v>
      </c>
      <c r="F40" s="14" t="str">
        <f>IF(F38=1,VLOOKUP(nCurPosR+nRingOffsetR+(CODE(F37)-nCharOffset)-1,nNum2Let,2,FALSE),"")</f>
        <v>O</v>
      </c>
      <c r="G40" s="14" t="str">
        <f t="shared" ref="G40:AE40" si="52">IF(G38=1,VLOOKUP(nCurPosR+nRingOffsetR+(CODE(G37)-nCharOffset)-1,nNum2Let,2,FALSE),"")</f>
        <v>P</v>
      </c>
      <c r="H40" s="14" t="str">
        <f t="shared" si="52"/>
        <v>Q</v>
      </c>
      <c r="I40" s="14" t="str">
        <f t="shared" si="52"/>
        <v>R</v>
      </c>
      <c r="J40" s="14" t="str">
        <f t="shared" si="52"/>
        <v>S</v>
      </c>
      <c r="K40" s="14" t="str">
        <f t="shared" si="52"/>
        <v>T</v>
      </c>
      <c r="L40" s="14" t="str">
        <f t="shared" si="52"/>
        <v>U</v>
      </c>
      <c r="M40" s="14" t="str">
        <f t="shared" si="52"/>
        <v>V</v>
      </c>
      <c r="N40" s="14" t="str">
        <f t="shared" si="52"/>
        <v>W</v>
      </c>
      <c r="O40" s="14" t="str">
        <f t="shared" si="52"/>
        <v>X</v>
      </c>
      <c r="P40" s="14" t="str">
        <f t="shared" si="52"/>
        <v>Y</v>
      </c>
      <c r="Q40" s="14" t="str">
        <f t="shared" si="52"/>
        <v>Z</v>
      </c>
      <c r="R40" s="14" t="str">
        <f t="shared" si="52"/>
        <v>A</v>
      </c>
      <c r="S40" s="14" t="str">
        <f t="shared" si="52"/>
        <v>B</v>
      </c>
      <c r="T40" s="14" t="str">
        <f t="shared" si="52"/>
        <v>C</v>
      </c>
      <c r="U40" s="14" t="str">
        <f t="shared" si="52"/>
        <v>D</v>
      </c>
      <c r="V40" s="14" t="str">
        <f t="shared" si="52"/>
        <v>E</v>
      </c>
      <c r="W40" s="14" t="str">
        <f t="shared" si="52"/>
        <v>F</v>
      </c>
      <c r="X40" s="14" t="str">
        <f t="shared" si="52"/>
        <v>G</v>
      </c>
      <c r="Y40" s="14" t="str">
        <f t="shared" si="52"/>
        <v>H</v>
      </c>
      <c r="Z40" s="14" t="str">
        <f t="shared" si="52"/>
        <v>I</v>
      </c>
      <c r="AA40" s="14" t="str">
        <f t="shared" si="52"/>
        <v>J</v>
      </c>
      <c r="AB40" s="14" t="str">
        <f t="shared" si="52"/>
        <v>K</v>
      </c>
      <c r="AC40" s="14" t="str">
        <f t="shared" si="52"/>
        <v>L</v>
      </c>
      <c r="AD40" s="14" t="str">
        <f t="shared" si="52"/>
        <v>M</v>
      </c>
      <c r="AE40" s="14" t="str">
        <f t="shared" si="52"/>
        <v>N</v>
      </c>
      <c r="AF40" s="10"/>
      <c r="AH40" s="28" t="str">
        <f t="shared" ref="AH40:BG40" si="53">IF(LEN(AH42)=2,LEFT(AH42,1),"")</f>
        <v>A</v>
      </c>
      <c r="AI40" s="28" t="str">
        <f t="shared" si="53"/>
        <v>B</v>
      </c>
      <c r="AJ40" s="28" t="str">
        <f t="shared" si="53"/>
        <v>C</v>
      </c>
      <c r="AK40" s="28" t="str">
        <f t="shared" si="53"/>
        <v>D</v>
      </c>
      <c r="AL40" s="28" t="str">
        <f t="shared" si="53"/>
        <v>E</v>
      </c>
      <c r="AM40" s="28" t="str">
        <f t="shared" si="53"/>
        <v>F</v>
      </c>
      <c r="AN40" s="28" t="str">
        <f t="shared" si="53"/>
        <v>G</v>
      </c>
      <c r="AO40" s="28" t="str">
        <f t="shared" si="53"/>
        <v>H</v>
      </c>
      <c r="AP40" s="28" t="str">
        <f t="shared" si="53"/>
        <v>I</v>
      </c>
      <c r="AQ40" s="28" t="str">
        <f t="shared" si="53"/>
        <v>J</v>
      </c>
      <c r="AR40" s="28" t="str">
        <f t="shared" si="53"/>
        <v>K</v>
      </c>
      <c r="AS40" s="28" t="str">
        <f t="shared" si="53"/>
        <v>L</v>
      </c>
      <c r="AT40" s="28" t="str">
        <f t="shared" si="53"/>
        <v>M</v>
      </c>
      <c r="AU40" s="28" t="str">
        <f t="shared" si="53"/>
        <v>N</v>
      </c>
      <c r="AV40" s="28" t="str">
        <f t="shared" si="53"/>
        <v>O</v>
      </c>
      <c r="AW40" s="28" t="str">
        <f t="shared" si="53"/>
        <v>P</v>
      </c>
      <c r="AX40" s="28" t="str">
        <f t="shared" si="53"/>
        <v>Q</v>
      </c>
      <c r="AY40" s="28" t="str">
        <f t="shared" si="53"/>
        <v>R</v>
      </c>
      <c r="AZ40" s="28" t="str">
        <f t="shared" si="53"/>
        <v>S</v>
      </c>
      <c r="BA40" s="28" t="str">
        <f t="shared" si="53"/>
        <v>T</v>
      </c>
      <c r="BB40" s="28" t="str">
        <f t="shared" si="53"/>
        <v>U</v>
      </c>
      <c r="BC40" s="28" t="str">
        <f t="shared" si="53"/>
        <v>V</v>
      </c>
      <c r="BD40" s="28" t="str">
        <f t="shared" si="53"/>
        <v>W</v>
      </c>
      <c r="BE40" s="28" t="str">
        <f t="shared" si="53"/>
        <v>X</v>
      </c>
      <c r="BF40" s="28" t="str">
        <f t="shared" si="53"/>
        <v>Y</v>
      </c>
      <c r="BG40" s="28" t="str">
        <f t="shared" si="53"/>
        <v>Z</v>
      </c>
    </row>
    <row r="41" spans="2:59" x14ac:dyDescent="0.35">
      <c r="B41" s="22"/>
      <c r="C41" s="8"/>
      <c r="E41" t="s">
        <v>387</v>
      </c>
      <c r="F41" s="15" t="str">
        <f t="shared" ref="F41:AE41" si="54">IF(F38=1,VLOOKUP(nRotorR_Rev&amp;F40,nRotorRev,4,FALSE),"")</f>
        <v>Y</v>
      </c>
      <c r="G41" s="15" t="str">
        <f t="shared" si="54"/>
        <v>U</v>
      </c>
      <c r="H41" s="15" t="str">
        <f t="shared" si="54"/>
        <v>Q</v>
      </c>
      <c r="I41" s="15" t="str">
        <f t="shared" si="54"/>
        <v>G</v>
      </c>
      <c r="J41" s="15" t="str">
        <f t="shared" si="54"/>
        <v>E</v>
      </c>
      <c r="K41" s="15" t="str">
        <f t="shared" si="54"/>
        <v>N</v>
      </c>
      <c r="L41" s="15" t="str">
        <f t="shared" si="54"/>
        <v>H</v>
      </c>
      <c r="M41" s="15" t="str">
        <f t="shared" si="54"/>
        <v>X</v>
      </c>
      <c r="N41" s="15" t="str">
        <f t="shared" si="54"/>
        <v>M</v>
      </c>
      <c r="O41" s="15" t="str">
        <f t="shared" si="54"/>
        <v>I</v>
      </c>
      <c r="P41" s="15" t="str">
        <f t="shared" si="54"/>
        <v>V</v>
      </c>
      <c r="Q41" s="15" t="str">
        <f t="shared" si="54"/>
        <v>S</v>
      </c>
      <c r="R41" s="15" t="str">
        <f t="shared" si="54"/>
        <v>A</v>
      </c>
      <c r="S41" s="15" t="str">
        <f t="shared" si="54"/>
        <v>J</v>
      </c>
      <c r="T41" s="15" t="str">
        <f t="shared" si="54"/>
        <v>P</v>
      </c>
      <c r="U41" s="15" t="str">
        <f t="shared" si="54"/>
        <v>C</v>
      </c>
      <c r="V41" s="15" t="str">
        <f t="shared" si="54"/>
        <v>Z</v>
      </c>
      <c r="W41" s="15" t="str">
        <f t="shared" si="54"/>
        <v>W</v>
      </c>
      <c r="X41" s="15" t="str">
        <f t="shared" si="54"/>
        <v>R</v>
      </c>
      <c r="Y41" s="15" t="str">
        <f t="shared" si="54"/>
        <v>L</v>
      </c>
      <c r="Z41" s="15" t="str">
        <f t="shared" si="54"/>
        <v>F</v>
      </c>
      <c r="AA41" s="15" t="str">
        <f t="shared" si="54"/>
        <v>B</v>
      </c>
      <c r="AB41" s="15" t="str">
        <f t="shared" si="54"/>
        <v>D</v>
      </c>
      <c r="AC41" s="15" t="str">
        <f t="shared" si="54"/>
        <v>K</v>
      </c>
      <c r="AD41" s="15" t="str">
        <f t="shared" si="54"/>
        <v>O</v>
      </c>
      <c r="AE41" s="15" t="str">
        <f t="shared" si="54"/>
        <v>T</v>
      </c>
      <c r="AF41" s="10"/>
      <c r="AH41" s="28" t="str">
        <f t="shared" ref="AH41:BG41" si="55">IF(LEN(AH42)=2,RIGHT(AH42,1),"")</f>
        <v>K</v>
      </c>
      <c r="AI41" s="28" t="str">
        <f t="shared" si="55"/>
        <v>G</v>
      </c>
      <c r="AJ41" s="28" t="str">
        <f t="shared" si="55"/>
        <v>C</v>
      </c>
      <c r="AK41" s="28" t="str">
        <f t="shared" si="55"/>
        <v>S</v>
      </c>
      <c r="AL41" s="28" t="str">
        <f t="shared" si="55"/>
        <v>Q</v>
      </c>
      <c r="AM41" s="28" t="str">
        <f t="shared" si="55"/>
        <v>Z</v>
      </c>
      <c r="AN41" s="28" t="str">
        <f t="shared" si="55"/>
        <v>T</v>
      </c>
      <c r="AO41" s="28" t="str">
        <f t="shared" si="55"/>
        <v>J</v>
      </c>
      <c r="AP41" s="28" t="str">
        <f t="shared" si="55"/>
        <v>Y</v>
      </c>
      <c r="AQ41" s="28" t="str">
        <f t="shared" si="55"/>
        <v>U</v>
      </c>
      <c r="AR41" s="28" t="str">
        <f t="shared" si="55"/>
        <v>H</v>
      </c>
      <c r="AS41" s="28" t="str">
        <f t="shared" si="55"/>
        <v>E</v>
      </c>
      <c r="AT41" s="28" t="str">
        <f t="shared" si="55"/>
        <v>M</v>
      </c>
      <c r="AU41" s="28" t="str">
        <f t="shared" si="55"/>
        <v>V</v>
      </c>
      <c r="AV41" s="28" t="str">
        <f t="shared" si="55"/>
        <v>B</v>
      </c>
      <c r="AW41" s="28" t="str">
        <f t="shared" si="55"/>
        <v>O</v>
      </c>
      <c r="AX41" s="28" t="str">
        <f t="shared" si="55"/>
        <v>L</v>
      </c>
      <c r="AY41" s="28" t="str">
        <f t="shared" si="55"/>
        <v>I</v>
      </c>
      <c r="AZ41" s="28" t="str">
        <f t="shared" si="55"/>
        <v>D</v>
      </c>
      <c r="BA41" s="28" t="str">
        <f t="shared" si="55"/>
        <v>X</v>
      </c>
      <c r="BB41" s="28" t="str">
        <f t="shared" si="55"/>
        <v>R</v>
      </c>
      <c r="BC41" s="28" t="str">
        <f t="shared" si="55"/>
        <v>N</v>
      </c>
      <c r="BD41" s="28" t="str">
        <f t="shared" si="55"/>
        <v>P</v>
      </c>
      <c r="BE41" s="28" t="str">
        <f t="shared" si="55"/>
        <v>W</v>
      </c>
      <c r="BF41" s="28" t="str">
        <f t="shared" si="55"/>
        <v>A</v>
      </c>
      <c r="BG41" s="28" t="str">
        <f t="shared" si="55"/>
        <v>F</v>
      </c>
    </row>
    <row r="42" spans="2:59" ht="15" thickBot="1" x14ac:dyDescent="0.4">
      <c r="B42" s="23"/>
      <c r="C42" s="16"/>
      <c r="D42" s="17"/>
      <c r="E42" s="17" t="s">
        <v>388</v>
      </c>
      <c r="F42" s="18" t="str">
        <f t="shared" ref="F42:AE42" si="56">IF(F38=1,IF(CODE(F41)-CODE(F40)&lt;0,VLOOKUP((CODE(F41)-CODE(F40)+26)+(CODE(F37)-nCharOffset),nNum2Let,2,FALSE),VLOOKUP((CODE(F41)-CODE(F40))+(CODE(F37)-nCharOffset),nNum2Let,2,FALSE)),"")</f>
        <v>K</v>
      </c>
      <c r="G42" s="18" t="str">
        <f t="shared" si="56"/>
        <v>G</v>
      </c>
      <c r="H42" s="18" t="str">
        <f t="shared" si="56"/>
        <v>C</v>
      </c>
      <c r="I42" s="18" t="str">
        <f t="shared" si="56"/>
        <v>S</v>
      </c>
      <c r="J42" s="18" t="str">
        <f t="shared" si="56"/>
        <v>Q</v>
      </c>
      <c r="K42" s="18" t="str">
        <f t="shared" si="56"/>
        <v>Z</v>
      </c>
      <c r="L42" s="18" t="str">
        <f t="shared" si="56"/>
        <v>T</v>
      </c>
      <c r="M42" s="18" t="str">
        <f t="shared" si="56"/>
        <v>J</v>
      </c>
      <c r="N42" s="18" t="str">
        <f t="shared" si="56"/>
        <v>Y</v>
      </c>
      <c r="O42" s="18" t="str">
        <f t="shared" si="56"/>
        <v>U</v>
      </c>
      <c r="P42" s="18" t="str">
        <f t="shared" si="56"/>
        <v>H</v>
      </c>
      <c r="Q42" s="18" t="str">
        <f t="shared" si="56"/>
        <v>E</v>
      </c>
      <c r="R42" s="18" t="str">
        <f t="shared" si="56"/>
        <v>M</v>
      </c>
      <c r="S42" s="18" t="str">
        <f t="shared" si="56"/>
        <v>V</v>
      </c>
      <c r="T42" s="18" t="str">
        <f t="shared" si="56"/>
        <v>B</v>
      </c>
      <c r="U42" s="18" t="str">
        <f t="shared" si="56"/>
        <v>O</v>
      </c>
      <c r="V42" s="18" t="str">
        <f t="shared" si="56"/>
        <v>L</v>
      </c>
      <c r="W42" s="18" t="str">
        <f t="shared" si="56"/>
        <v>I</v>
      </c>
      <c r="X42" s="18" t="str">
        <f t="shared" si="56"/>
        <v>D</v>
      </c>
      <c r="Y42" s="18" t="str">
        <f t="shared" si="56"/>
        <v>X</v>
      </c>
      <c r="Z42" s="18" t="str">
        <f t="shared" si="56"/>
        <v>R</v>
      </c>
      <c r="AA42" s="18" t="str">
        <f t="shared" si="56"/>
        <v>N</v>
      </c>
      <c r="AB42" s="18" t="str">
        <f t="shared" si="56"/>
        <v>P</v>
      </c>
      <c r="AC42" s="18" t="str">
        <f t="shared" si="56"/>
        <v>W</v>
      </c>
      <c r="AD42" s="18" t="str">
        <f t="shared" si="56"/>
        <v>A</v>
      </c>
      <c r="AE42" s="18" t="str">
        <f t="shared" si="56"/>
        <v>F</v>
      </c>
      <c r="AF42" s="19" t="str">
        <f>CONCATENATE(F42,G42,H42,I42,J42,K42,L42,M42,N42,O42,P42,Q42,R42,S42,T42&amp;U42,V42,W42,X42,Y42,Z42,AA42,AB42,AC42,AD42,AE42)</f>
        <v>KGCSQZTJYUHEMVBOLIDXRNPWAF</v>
      </c>
      <c r="AH42" s="12" t="str">
        <f>F37&amp;F42</f>
        <v>AK</v>
      </c>
      <c r="AI42" s="12" t="str">
        <f t="shared" ref="AI42:BG42" si="57">G37&amp;G42</f>
        <v>BG</v>
      </c>
      <c r="AJ42" s="12" t="str">
        <f t="shared" si="57"/>
        <v>CC</v>
      </c>
      <c r="AK42" s="12" t="str">
        <f t="shared" si="57"/>
        <v>DS</v>
      </c>
      <c r="AL42" s="12" t="str">
        <f t="shared" si="57"/>
        <v>EQ</v>
      </c>
      <c r="AM42" s="12" t="str">
        <f t="shared" si="57"/>
        <v>FZ</v>
      </c>
      <c r="AN42" s="12" t="str">
        <f t="shared" si="57"/>
        <v>GT</v>
      </c>
      <c r="AO42" s="12" t="str">
        <f t="shared" si="57"/>
        <v>HJ</v>
      </c>
      <c r="AP42" s="12" t="str">
        <f t="shared" si="57"/>
        <v>IY</v>
      </c>
      <c r="AQ42" s="12" t="str">
        <f t="shared" si="57"/>
        <v>JU</v>
      </c>
      <c r="AR42" s="12" t="str">
        <f t="shared" si="57"/>
        <v>KH</v>
      </c>
      <c r="AS42" s="12" t="str">
        <f t="shared" si="57"/>
        <v>LE</v>
      </c>
      <c r="AT42" s="12" t="str">
        <f t="shared" si="57"/>
        <v>MM</v>
      </c>
      <c r="AU42" s="12" t="str">
        <f t="shared" si="57"/>
        <v>NV</v>
      </c>
      <c r="AV42" s="12" t="str">
        <f t="shared" si="57"/>
        <v>OB</v>
      </c>
      <c r="AW42" s="12" t="str">
        <f t="shared" si="57"/>
        <v>PO</v>
      </c>
      <c r="AX42" s="12" t="str">
        <f t="shared" si="57"/>
        <v>QL</v>
      </c>
      <c r="AY42" s="12" t="str">
        <f t="shared" si="57"/>
        <v>RI</v>
      </c>
      <c r="AZ42" s="12" t="str">
        <f t="shared" si="57"/>
        <v>SD</v>
      </c>
      <c r="BA42" s="12" t="str">
        <f t="shared" si="57"/>
        <v>TX</v>
      </c>
      <c r="BB42" s="12" t="str">
        <f t="shared" si="57"/>
        <v>UR</v>
      </c>
      <c r="BC42" s="12" t="str">
        <f t="shared" si="57"/>
        <v>VN</v>
      </c>
      <c r="BD42" s="12" t="str">
        <f t="shared" si="57"/>
        <v>WP</v>
      </c>
      <c r="BE42" s="12" t="str">
        <f t="shared" si="57"/>
        <v>XW</v>
      </c>
      <c r="BF42" s="12" t="str">
        <f t="shared" si="57"/>
        <v>YA</v>
      </c>
      <c r="BG42" s="12" t="str">
        <f t="shared" si="57"/>
        <v>ZF</v>
      </c>
    </row>
    <row r="43" spans="2:59" x14ac:dyDescent="0.35">
      <c r="F43" s="3" t="s">
        <v>0</v>
      </c>
      <c r="G43" s="3" t="s">
        <v>1</v>
      </c>
      <c r="H43" s="3" t="s">
        <v>2</v>
      </c>
      <c r="I43" s="3" t="s">
        <v>3</v>
      </c>
      <c r="J43" s="3" t="s">
        <v>4</v>
      </c>
      <c r="K43" s="3" t="s">
        <v>5</v>
      </c>
      <c r="L43" s="3" t="s">
        <v>6</v>
      </c>
      <c r="M43" s="3" t="s">
        <v>7</v>
      </c>
      <c r="N43" s="3" t="s">
        <v>8</v>
      </c>
      <c r="O43" s="3" t="s">
        <v>9</v>
      </c>
      <c r="P43" s="3" t="s">
        <v>10</v>
      </c>
      <c r="Q43" s="3" t="s">
        <v>11</v>
      </c>
      <c r="R43" s="3" t="s">
        <v>12</v>
      </c>
      <c r="S43" s="3" t="s">
        <v>13</v>
      </c>
      <c r="T43" s="3" t="s">
        <v>14</v>
      </c>
      <c r="U43" s="3" t="s">
        <v>15</v>
      </c>
      <c r="V43" s="3" t="s">
        <v>16</v>
      </c>
      <c r="W43" s="3" t="s">
        <v>17</v>
      </c>
      <c r="X43" s="3" t="s">
        <v>18</v>
      </c>
      <c r="Y43" s="3" t="s">
        <v>19</v>
      </c>
      <c r="Z43" s="3" t="s">
        <v>20</v>
      </c>
      <c r="AA43" s="3" t="s">
        <v>21</v>
      </c>
      <c r="AB43" s="3" t="s">
        <v>22</v>
      </c>
      <c r="AC43" s="3" t="s">
        <v>23</v>
      </c>
      <c r="AD43" s="3" t="s">
        <v>24</v>
      </c>
      <c r="AE43" s="3" t="s">
        <v>25</v>
      </c>
      <c r="AH43" s="42" t="str">
        <f>HLOOKUP(AH37,$AH40:$BG41,2,FALSE)</f>
        <v>B</v>
      </c>
      <c r="AI43" s="42" t="str">
        <f>HLOOKUP(AI37,$AH40:$BG41,2,FALSE)</f>
        <v>A</v>
      </c>
      <c r="AJ43" s="42" t="str">
        <f t="shared" ref="AJ43:BG43" si="58">HLOOKUP(AJ37,$AH40:$BG41,2,FALSE)</f>
        <v>T</v>
      </c>
      <c r="AK43" s="42" t="str">
        <f t="shared" si="58"/>
        <v>M</v>
      </c>
      <c r="AL43" s="42" t="str">
        <f t="shared" si="58"/>
        <v>W</v>
      </c>
      <c r="AM43" s="42" t="str">
        <f t="shared" si="58"/>
        <v>Y</v>
      </c>
      <c r="AN43" s="42" t="str">
        <f t="shared" si="58"/>
        <v>H</v>
      </c>
      <c r="AO43" s="42" t="str">
        <f t="shared" si="58"/>
        <v>G</v>
      </c>
      <c r="AP43" s="42" t="str">
        <f t="shared" si="58"/>
        <v>R</v>
      </c>
      <c r="AQ43" s="42" t="str">
        <f t="shared" si="58"/>
        <v>O</v>
      </c>
      <c r="AR43" s="42" t="str">
        <f t="shared" si="58"/>
        <v>P</v>
      </c>
      <c r="AS43" s="42" t="str">
        <f t="shared" si="58"/>
        <v>N</v>
      </c>
      <c r="AT43" s="42" t="str">
        <f t="shared" si="58"/>
        <v>D</v>
      </c>
      <c r="AU43" s="42" t="str">
        <f t="shared" si="58"/>
        <v>L</v>
      </c>
      <c r="AV43" s="42" t="str">
        <f t="shared" si="58"/>
        <v>J</v>
      </c>
      <c r="AW43" s="42" t="str">
        <f t="shared" si="58"/>
        <v>K</v>
      </c>
      <c r="AX43" s="42" t="str">
        <f t="shared" si="58"/>
        <v>V</v>
      </c>
      <c r="AY43" s="42" t="str">
        <f t="shared" si="58"/>
        <v>I</v>
      </c>
      <c r="AZ43" s="42" t="str">
        <f t="shared" si="58"/>
        <v>Z</v>
      </c>
      <c r="BA43" s="42" t="str">
        <f t="shared" si="58"/>
        <v>C</v>
      </c>
      <c r="BB43" s="42" t="str">
        <f t="shared" si="58"/>
        <v>X</v>
      </c>
      <c r="BC43" s="42" t="str">
        <f t="shared" si="58"/>
        <v>Q</v>
      </c>
      <c r="BD43" s="42" t="str">
        <f t="shared" si="58"/>
        <v>E</v>
      </c>
      <c r="BE43" s="42" t="str">
        <f t="shared" si="58"/>
        <v>U</v>
      </c>
      <c r="BF43" s="42" t="str">
        <f t="shared" si="58"/>
        <v>F</v>
      </c>
      <c r="BG43" s="42" t="str">
        <f t="shared" si="58"/>
        <v>S</v>
      </c>
    </row>
    <row r="44" spans="2:59" x14ac:dyDescent="0.35"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H44" s="95" t="s">
        <v>608</v>
      </c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U44" s="96"/>
      <c r="AV44" s="96"/>
      <c r="AW44" s="96"/>
      <c r="AX44" s="96"/>
      <c r="AY44" s="96"/>
      <c r="AZ44" s="96"/>
      <c r="BA44" s="96"/>
      <c r="BB44" s="96"/>
      <c r="BC44" s="96"/>
      <c r="BD44" s="96"/>
      <c r="BE44" s="96"/>
      <c r="BF44" s="96"/>
      <c r="BG44" s="97"/>
    </row>
  </sheetData>
  <sheetProtection sheet="1" objects="1" scenarios="1"/>
  <mergeCells count="2">
    <mergeCell ref="AH6:BG6"/>
    <mergeCell ref="AH44:BG44"/>
  </mergeCells>
  <pageMargins left="0.70866141732283472" right="0.70866141732283472" top="0.74803149606299213" bottom="0.74803149606299213" header="0.31496062992125984" footer="0.31496062992125984"/>
  <pageSetup paperSize="8" scale="6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CF79"/>
  <sheetViews>
    <sheetView showGridLines="0" showRowColHeaders="0" zoomScale="60" zoomScaleNormal="60" workbookViewId="0">
      <selection activeCell="AF37" sqref="AF37:BE37"/>
    </sheetView>
  </sheetViews>
  <sheetFormatPr defaultColWidth="4.7265625" defaultRowHeight="14.5" x14ac:dyDescent="0.35"/>
  <cols>
    <col min="1" max="1" width="16.453125" bestFit="1" customWidth="1"/>
    <col min="2" max="2" width="7.26953125" bestFit="1" customWidth="1"/>
    <col min="3" max="3" width="3.7265625" customWidth="1"/>
    <col min="4" max="4" width="6.26953125" bestFit="1" customWidth="1"/>
    <col min="5" max="84" width="3.7265625" customWidth="1"/>
  </cols>
  <sheetData>
    <row r="1" spans="1:84" x14ac:dyDescent="0.35">
      <c r="A1" s="80" t="s">
        <v>28</v>
      </c>
      <c r="B1" s="47">
        <f>nCounter</f>
        <v>3707</v>
      </c>
    </row>
    <row r="2" spans="1:84" x14ac:dyDescent="0.35">
      <c r="A2" s="80" t="s">
        <v>620</v>
      </c>
      <c r="B2" s="47" t="str">
        <f>Settings!A41&amp;Settings!B41&amp;Settings!C41</f>
        <v>ELO</v>
      </c>
    </row>
    <row r="3" spans="1:84" x14ac:dyDescent="0.35">
      <c r="A3" s="46" t="s">
        <v>612</v>
      </c>
      <c r="B3" s="38" t="s">
        <v>613</v>
      </c>
      <c r="D3" s="38" t="s">
        <v>596</v>
      </c>
      <c r="E3" s="98" t="s">
        <v>611</v>
      </c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9"/>
      <c r="AF3" s="100" t="s">
        <v>614</v>
      </c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9"/>
      <c r="BG3" s="100" t="s">
        <v>615</v>
      </c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9"/>
    </row>
    <row r="4" spans="1:84" x14ac:dyDescent="0.35">
      <c r="A4" s="32" t="s">
        <v>587</v>
      </c>
      <c r="B4" s="33" t="s">
        <v>395</v>
      </c>
      <c r="C4" s="1"/>
      <c r="D4" s="45" t="str">
        <f>TRIM(n_IL01)</f>
        <v>B</v>
      </c>
      <c r="E4" s="48" t="s">
        <v>397</v>
      </c>
      <c r="F4" s="49" t="s">
        <v>398</v>
      </c>
      <c r="G4" s="49" t="s">
        <v>399</v>
      </c>
      <c r="H4" s="49" t="s">
        <v>400</v>
      </c>
      <c r="I4" s="49" t="s">
        <v>401</v>
      </c>
      <c r="J4" s="49" t="s">
        <v>402</v>
      </c>
      <c r="K4" s="49" t="s">
        <v>403</v>
      </c>
      <c r="L4" s="49" t="s">
        <v>404</v>
      </c>
      <c r="M4" s="49" t="s">
        <v>405</v>
      </c>
      <c r="N4" s="49" t="s">
        <v>406</v>
      </c>
      <c r="O4" s="49" t="s">
        <v>407</v>
      </c>
      <c r="P4" s="49" t="s">
        <v>408</v>
      </c>
      <c r="Q4" s="49" t="s">
        <v>409</v>
      </c>
      <c r="R4" s="49" t="s">
        <v>410</v>
      </c>
      <c r="S4" s="49" t="s">
        <v>411</v>
      </c>
      <c r="T4" s="49" t="s">
        <v>412</v>
      </c>
      <c r="U4" s="49" t="s">
        <v>413</v>
      </c>
      <c r="V4" s="49" t="s">
        <v>414</v>
      </c>
      <c r="W4" s="49" t="s">
        <v>415</v>
      </c>
      <c r="X4" s="49" t="s">
        <v>416</v>
      </c>
      <c r="Y4" s="49" t="s">
        <v>417</v>
      </c>
      <c r="Z4" s="49" t="s">
        <v>418</v>
      </c>
      <c r="AA4" s="49" t="s">
        <v>419</v>
      </c>
      <c r="AB4" s="49" t="s">
        <v>420</v>
      </c>
      <c r="AC4" s="49" t="s">
        <v>421</v>
      </c>
      <c r="AD4" s="50" t="s">
        <v>422</v>
      </c>
      <c r="AF4" s="54" t="str">
        <f t="shared" ref="AF4:AF21" si="0">E4&amp;$D4</f>
        <v>aB</v>
      </c>
      <c r="AG4" s="55" t="str">
        <f t="shared" ref="AG4:BE5" si="1">F4&amp;$D4</f>
        <v>bB</v>
      </c>
      <c r="AH4" s="60" t="str">
        <f t="shared" si="1"/>
        <v>cB</v>
      </c>
      <c r="AI4" s="55" t="str">
        <f t="shared" si="1"/>
        <v>dB</v>
      </c>
      <c r="AJ4" s="55" t="str">
        <f t="shared" si="1"/>
        <v>eB</v>
      </c>
      <c r="AK4" s="55" t="str">
        <f t="shared" si="1"/>
        <v>fB</v>
      </c>
      <c r="AL4" s="55" t="str">
        <f t="shared" si="1"/>
        <v>gB</v>
      </c>
      <c r="AM4" s="55" t="str">
        <f t="shared" si="1"/>
        <v>hB</v>
      </c>
      <c r="AN4" s="55" t="str">
        <f t="shared" si="1"/>
        <v>iB</v>
      </c>
      <c r="AO4" s="55" t="str">
        <f t="shared" si="1"/>
        <v>jB</v>
      </c>
      <c r="AP4" s="55" t="str">
        <f t="shared" si="1"/>
        <v>kB</v>
      </c>
      <c r="AQ4" s="55" t="str">
        <f t="shared" si="1"/>
        <v>lB</v>
      </c>
      <c r="AR4" s="55" t="str">
        <f t="shared" si="1"/>
        <v>mB</v>
      </c>
      <c r="AS4" s="55" t="str">
        <f t="shared" si="1"/>
        <v>nB</v>
      </c>
      <c r="AT4" s="55" t="str">
        <f t="shared" si="1"/>
        <v>oB</v>
      </c>
      <c r="AU4" s="55" t="str">
        <f t="shared" si="1"/>
        <v>pB</v>
      </c>
      <c r="AV4" s="55" t="str">
        <f t="shared" si="1"/>
        <v>qB</v>
      </c>
      <c r="AW4" s="55" t="str">
        <f t="shared" si="1"/>
        <v>rB</v>
      </c>
      <c r="AX4" s="55" t="str">
        <f t="shared" si="1"/>
        <v>sB</v>
      </c>
      <c r="AY4" s="55" t="str">
        <f t="shared" si="1"/>
        <v>tB</v>
      </c>
      <c r="AZ4" s="55" t="str">
        <f t="shared" si="1"/>
        <v>uB</v>
      </c>
      <c r="BA4" s="55" t="str">
        <f t="shared" si="1"/>
        <v>vB</v>
      </c>
      <c r="BB4" s="55" t="str">
        <f t="shared" si="1"/>
        <v>wB</v>
      </c>
      <c r="BC4" s="55" t="str">
        <f t="shared" si="1"/>
        <v>xB</v>
      </c>
      <c r="BD4" s="55" t="str">
        <f t="shared" si="1"/>
        <v>yB</v>
      </c>
      <c r="BE4" s="94" t="str">
        <f t="shared" si="1"/>
        <v>zB</v>
      </c>
      <c r="BG4" s="62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56"/>
    </row>
    <row r="5" spans="1:84" x14ac:dyDescent="0.35">
      <c r="A5" s="34" t="s">
        <v>587</v>
      </c>
      <c r="B5" s="33" t="s">
        <v>396</v>
      </c>
      <c r="C5" s="1"/>
      <c r="D5" s="40" t="str">
        <f>TRIM(n_OL01)</f>
        <v>E</v>
      </c>
      <c r="E5" s="51" t="str">
        <f>LOWER(Enigma01!AH43)</f>
        <v>y</v>
      </c>
      <c r="F5" s="52" t="str">
        <f>LOWER(Enigma01!AI43)</f>
        <v>d</v>
      </c>
      <c r="G5" s="52" t="str">
        <f>LOWER(Enigma01!AJ43)</f>
        <v>m</v>
      </c>
      <c r="H5" s="52" t="str">
        <f>LOWER(Enigma01!AK43)</f>
        <v>b</v>
      </c>
      <c r="I5" s="52" t="str">
        <f>LOWER(Enigma01!AL43)</f>
        <v>n</v>
      </c>
      <c r="J5" s="52" t="str">
        <f>LOWER(Enigma01!AM43)</f>
        <v>v</v>
      </c>
      <c r="K5" s="52" t="str">
        <f>LOWER(Enigma01!AN43)</f>
        <v>q</v>
      </c>
      <c r="L5" s="52" t="str">
        <f>LOWER(Enigma01!AO43)</f>
        <v>o</v>
      </c>
      <c r="M5" s="52" t="str">
        <f>LOWER(Enigma01!AP43)</f>
        <v>r</v>
      </c>
      <c r="N5" s="52" t="str">
        <f>LOWER(Enigma01!AQ43)</f>
        <v>t</v>
      </c>
      <c r="O5" s="52" t="str">
        <f>LOWER(Enigma01!AR43)</f>
        <v>x</v>
      </c>
      <c r="P5" s="52" t="str">
        <f>LOWER(Enigma01!AS43)</f>
        <v>z</v>
      </c>
      <c r="Q5" s="52" t="str">
        <f>LOWER(Enigma01!AT43)</f>
        <v>c</v>
      </c>
      <c r="R5" s="52" t="str">
        <f>LOWER(Enigma01!AU43)</f>
        <v>e</v>
      </c>
      <c r="S5" s="52" t="str">
        <f>LOWER(Enigma01!AV43)</f>
        <v>h</v>
      </c>
      <c r="T5" s="52" t="str">
        <f>LOWER(Enigma01!AW43)</f>
        <v>s</v>
      </c>
      <c r="U5" s="52" t="str">
        <f>LOWER(Enigma01!AX43)</f>
        <v>g</v>
      </c>
      <c r="V5" s="52" t="str">
        <f>LOWER(Enigma01!AY43)</f>
        <v>i</v>
      </c>
      <c r="W5" s="52" t="str">
        <f>LOWER(Enigma01!AZ43)</f>
        <v>p</v>
      </c>
      <c r="X5" s="52" t="str">
        <f>LOWER(Enigma01!BA43)</f>
        <v>j</v>
      </c>
      <c r="Y5" s="52" t="str">
        <f>LOWER(Enigma01!BB43)</f>
        <v>w</v>
      </c>
      <c r="Z5" s="52" t="str">
        <f>LOWER(Enigma01!BC43)</f>
        <v>f</v>
      </c>
      <c r="AA5" s="52" t="str">
        <f>LOWER(Enigma01!BD43)</f>
        <v>u</v>
      </c>
      <c r="AB5" s="52" t="str">
        <f>LOWER(Enigma01!BE43)</f>
        <v>k</v>
      </c>
      <c r="AC5" s="52" t="str">
        <f>LOWER(Enigma01!BF43)</f>
        <v>a</v>
      </c>
      <c r="AD5" s="53" t="str">
        <f>LOWER(Enigma01!BG43)</f>
        <v>l</v>
      </c>
      <c r="AF5" s="57" t="str">
        <f t="shared" si="0"/>
        <v>yE</v>
      </c>
      <c r="AG5" s="58" t="str">
        <f t="shared" si="1"/>
        <v>dE</v>
      </c>
      <c r="AH5" s="61" t="str">
        <f t="shared" si="1"/>
        <v>mE</v>
      </c>
      <c r="AI5" s="58" t="str">
        <f t="shared" si="1"/>
        <v>bE</v>
      </c>
      <c r="AJ5" s="58" t="str">
        <f t="shared" si="1"/>
        <v>nE</v>
      </c>
      <c r="AK5" s="58" t="str">
        <f t="shared" si="1"/>
        <v>vE</v>
      </c>
      <c r="AL5" s="58" t="str">
        <f t="shared" si="1"/>
        <v>qE</v>
      </c>
      <c r="AM5" s="58" t="str">
        <f t="shared" si="1"/>
        <v>oE</v>
      </c>
      <c r="AN5" s="58" t="str">
        <f t="shared" si="1"/>
        <v>rE</v>
      </c>
      <c r="AO5" s="58" t="str">
        <f t="shared" si="1"/>
        <v>tE</v>
      </c>
      <c r="AP5" s="58" t="str">
        <f t="shared" si="1"/>
        <v>xE</v>
      </c>
      <c r="AQ5" s="58" t="str">
        <f t="shared" si="1"/>
        <v>zE</v>
      </c>
      <c r="AR5" s="58" t="str">
        <f t="shared" si="1"/>
        <v>cE</v>
      </c>
      <c r="AS5" s="58" t="str">
        <f t="shared" si="1"/>
        <v>eE</v>
      </c>
      <c r="AT5" s="58" t="str">
        <f t="shared" si="1"/>
        <v>hE</v>
      </c>
      <c r="AU5" s="58" t="str">
        <f t="shared" si="1"/>
        <v>sE</v>
      </c>
      <c r="AV5" s="58" t="str">
        <f t="shared" si="1"/>
        <v>gE</v>
      </c>
      <c r="AW5" s="58" t="str">
        <f t="shared" si="1"/>
        <v>iE</v>
      </c>
      <c r="AX5" s="58" t="str">
        <f t="shared" si="1"/>
        <v>pE</v>
      </c>
      <c r="AY5" s="58" t="str">
        <f t="shared" si="1"/>
        <v>jE</v>
      </c>
      <c r="AZ5" s="58" t="str">
        <f t="shared" si="1"/>
        <v>wE</v>
      </c>
      <c r="BA5" s="58" t="str">
        <f t="shared" si="1"/>
        <v>fE</v>
      </c>
      <c r="BB5" s="58" t="str">
        <f t="shared" si="1"/>
        <v>uE</v>
      </c>
      <c r="BC5" s="58" t="str">
        <f t="shared" si="1"/>
        <v>kE</v>
      </c>
      <c r="BD5" s="58" t="str">
        <f t="shared" si="1"/>
        <v>aE</v>
      </c>
      <c r="BE5" s="93" t="str">
        <f t="shared" si="1"/>
        <v>lE</v>
      </c>
      <c r="BG5" s="63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59"/>
    </row>
    <row r="6" spans="1:84" x14ac:dyDescent="0.35">
      <c r="A6" s="32" t="s">
        <v>588</v>
      </c>
      <c r="B6" s="33" t="s">
        <v>395</v>
      </c>
      <c r="C6" s="1"/>
      <c r="D6" s="39" t="str">
        <f>TRIM(n_IL02)</f>
        <v>E</v>
      </c>
      <c r="E6" s="48" t="s">
        <v>397</v>
      </c>
      <c r="F6" s="49" t="s">
        <v>398</v>
      </c>
      <c r="G6" s="49" t="s">
        <v>399</v>
      </c>
      <c r="H6" s="49" t="s">
        <v>400</v>
      </c>
      <c r="I6" s="49" t="s">
        <v>401</v>
      </c>
      <c r="J6" s="49" t="s">
        <v>402</v>
      </c>
      <c r="K6" s="49" t="s">
        <v>403</v>
      </c>
      <c r="L6" s="49" t="s">
        <v>404</v>
      </c>
      <c r="M6" s="49" t="s">
        <v>405</v>
      </c>
      <c r="N6" s="49" t="s">
        <v>406</v>
      </c>
      <c r="O6" s="49" t="s">
        <v>407</v>
      </c>
      <c r="P6" s="49" t="s">
        <v>408</v>
      </c>
      <c r="Q6" s="49" t="s">
        <v>409</v>
      </c>
      <c r="R6" s="49" t="s">
        <v>410</v>
      </c>
      <c r="S6" s="49" t="s">
        <v>411</v>
      </c>
      <c r="T6" s="49" t="s">
        <v>412</v>
      </c>
      <c r="U6" s="49" t="s">
        <v>413</v>
      </c>
      <c r="V6" s="49" t="s">
        <v>414</v>
      </c>
      <c r="W6" s="49" t="s">
        <v>415</v>
      </c>
      <c r="X6" s="49" t="s">
        <v>416</v>
      </c>
      <c r="Y6" s="49" t="s">
        <v>417</v>
      </c>
      <c r="Z6" s="49" t="s">
        <v>418</v>
      </c>
      <c r="AA6" s="49" t="s">
        <v>419</v>
      </c>
      <c r="AB6" s="49" t="s">
        <v>420</v>
      </c>
      <c r="AC6" s="49" t="s">
        <v>421</v>
      </c>
      <c r="AD6" s="50" t="s">
        <v>422</v>
      </c>
      <c r="AF6" s="54" t="str">
        <f t="shared" si="0"/>
        <v>aE</v>
      </c>
      <c r="AG6" s="55" t="str">
        <f t="shared" ref="AG6:AG9" si="2">F6&amp;$D6</f>
        <v>bE</v>
      </c>
      <c r="AH6" s="55" t="str">
        <f t="shared" ref="AH6:AH9" si="3">G6&amp;$D6</f>
        <v>cE</v>
      </c>
      <c r="AI6" s="55" t="str">
        <f t="shared" ref="AI6:AI9" si="4">H6&amp;$D6</f>
        <v>dE</v>
      </c>
      <c r="AJ6" s="55" t="str">
        <f t="shared" ref="AJ6:AJ9" si="5">I6&amp;$D6</f>
        <v>eE</v>
      </c>
      <c r="AK6" s="55" t="str">
        <f t="shared" ref="AK6:AK9" si="6">J6&amp;$D6</f>
        <v>fE</v>
      </c>
      <c r="AL6" s="55" t="str">
        <f t="shared" ref="AL6:AL9" si="7">K6&amp;$D6</f>
        <v>gE</v>
      </c>
      <c r="AM6" s="55" t="str">
        <f t="shared" ref="AM6:AM9" si="8">L6&amp;$D6</f>
        <v>hE</v>
      </c>
      <c r="AN6" s="55" t="str">
        <f t="shared" ref="AN6:AN9" si="9">M6&amp;$D6</f>
        <v>iE</v>
      </c>
      <c r="AO6" s="55" t="str">
        <f t="shared" ref="AO6:AO9" si="10">N6&amp;$D6</f>
        <v>jE</v>
      </c>
      <c r="AP6" s="55" t="str">
        <f t="shared" ref="AP6:AP9" si="11">O6&amp;$D6</f>
        <v>kE</v>
      </c>
      <c r="AQ6" s="55" t="str">
        <f t="shared" ref="AQ6:AQ9" si="12">P6&amp;$D6</f>
        <v>lE</v>
      </c>
      <c r="AR6" s="60" t="str">
        <f t="shared" ref="AR6:AR9" si="13">Q6&amp;$D6</f>
        <v>mE</v>
      </c>
      <c r="AS6" s="55" t="str">
        <f t="shared" ref="AS6:AS9" si="14">R6&amp;$D6</f>
        <v>nE</v>
      </c>
      <c r="AT6" s="55" t="str">
        <f t="shared" ref="AT6:AT9" si="15">S6&amp;$D6</f>
        <v>oE</v>
      </c>
      <c r="AU6" s="55" t="str">
        <f t="shared" ref="AU6:AU9" si="16">T6&amp;$D6</f>
        <v>pE</v>
      </c>
      <c r="AV6" s="55" t="str">
        <f t="shared" ref="AV6:AV9" si="17">U6&amp;$D6</f>
        <v>qE</v>
      </c>
      <c r="AW6" s="55" t="str">
        <f t="shared" ref="AW6:AW9" si="18">V6&amp;$D6</f>
        <v>rE</v>
      </c>
      <c r="AX6" s="55" t="str">
        <f t="shared" ref="AX6:AX9" si="19">W6&amp;$D6</f>
        <v>sE</v>
      </c>
      <c r="AY6" s="55" t="str">
        <f t="shared" ref="AY6:AY9" si="20">X6&amp;$D6</f>
        <v>tE</v>
      </c>
      <c r="AZ6" s="55" t="str">
        <f t="shared" ref="AZ6:AZ9" si="21">Y6&amp;$D6</f>
        <v>uE</v>
      </c>
      <c r="BA6" s="55" t="str">
        <f t="shared" ref="BA6:BA9" si="22">Z6&amp;$D6</f>
        <v>vE</v>
      </c>
      <c r="BB6" s="55" t="str">
        <f t="shared" ref="BB6:BB9" si="23">AA6&amp;$D6</f>
        <v>wE</v>
      </c>
      <c r="BC6" s="55" t="str">
        <f t="shared" ref="BC6:BC9" si="24">AB6&amp;$D6</f>
        <v>xE</v>
      </c>
      <c r="BD6" s="55" t="str">
        <f t="shared" ref="BD6:BD9" si="25">AC6&amp;$D6</f>
        <v>yE</v>
      </c>
      <c r="BE6" s="94" t="str">
        <f t="shared" ref="BE6:BE9" si="26">AD6&amp;$D6</f>
        <v>zE</v>
      </c>
      <c r="BG6" s="62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56"/>
    </row>
    <row r="7" spans="1:84" x14ac:dyDescent="0.35">
      <c r="A7" s="34" t="s">
        <v>588</v>
      </c>
      <c r="B7" s="33" t="s">
        <v>396</v>
      </c>
      <c r="C7" s="1"/>
      <c r="D7" s="40" t="str">
        <f>TRIM(n_OL02)</f>
        <v>D</v>
      </c>
      <c r="E7" s="51" t="str">
        <f>LOWER(Enigma02!AH43)</f>
        <v>y</v>
      </c>
      <c r="F7" s="52" t="str">
        <f>LOWER(Enigma02!AI43)</f>
        <v>u</v>
      </c>
      <c r="G7" s="52" t="str">
        <f>LOWER(Enigma02!AJ43)</f>
        <v>l</v>
      </c>
      <c r="H7" s="52" t="str">
        <f>LOWER(Enigma02!AK43)</f>
        <v>t</v>
      </c>
      <c r="I7" s="52" t="str">
        <f>LOWER(Enigma02!AL43)</f>
        <v>f</v>
      </c>
      <c r="J7" s="52" t="str">
        <f>LOWER(Enigma02!AM43)</f>
        <v>e</v>
      </c>
      <c r="K7" s="52" t="str">
        <f>LOWER(Enigma02!AN43)</f>
        <v>s</v>
      </c>
      <c r="L7" s="52" t="str">
        <f>LOWER(Enigma02!AO43)</f>
        <v>x</v>
      </c>
      <c r="M7" s="52" t="str">
        <f>LOWER(Enigma02!AP43)</f>
        <v>j</v>
      </c>
      <c r="N7" s="52" t="str">
        <f>LOWER(Enigma02!AQ43)</f>
        <v>i</v>
      </c>
      <c r="O7" s="52" t="str">
        <f>LOWER(Enigma02!AR43)</f>
        <v>q</v>
      </c>
      <c r="P7" s="52" t="str">
        <f>LOWER(Enigma02!AS43)</f>
        <v>c</v>
      </c>
      <c r="Q7" s="52" t="str">
        <f>LOWER(Enigma02!AT43)</f>
        <v>r</v>
      </c>
      <c r="R7" s="52" t="str">
        <f>LOWER(Enigma02!AU43)</f>
        <v>v</v>
      </c>
      <c r="S7" s="52" t="str">
        <f>LOWER(Enigma02!AV43)</f>
        <v>w</v>
      </c>
      <c r="T7" s="52" t="str">
        <f>LOWER(Enigma02!AW43)</f>
        <v>z</v>
      </c>
      <c r="U7" s="52" t="str">
        <f>LOWER(Enigma02!AX43)</f>
        <v>k</v>
      </c>
      <c r="V7" s="52" t="str">
        <f>LOWER(Enigma02!AY43)</f>
        <v>m</v>
      </c>
      <c r="W7" s="52" t="str">
        <f>LOWER(Enigma02!AZ43)</f>
        <v>g</v>
      </c>
      <c r="X7" s="52" t="str">
        <f>LOWER(Enigma02!BA43)</f>
        <v>d</v>
      </c>
      <c r="Y7" s="52" t="str">
        <f>LOWER(Enigma02!BB43)</f>
        <v>b</v>
      </c>
      <c r="Z7" s="52" t="str">
        <f>LOWER(Enigma02!BC43)</f>
        <v>n</v>
      </c>
      <c r="AA7" s="52" t="str">
        <f>LOWER(Enigma02!BD43)</f>
        <v>o</v>
      </c>
      <c r="AB7" s="52" t="str">
        <f>LOWER(Enigma02!BE43)</f>
        <v>h</v>
      </c>
      <c r="AC7" s="52" t="str">
        <f>LOWER(Enigma02!BF43)</f>
        <v>a</v>
      </c>
      <c r="AD7" s="53" t="str">
        <f>LOWER(Enigma02!BG43)</f>
        <v>p</v>
      </c>
      <c r="AF7" s="57" t="str">
        <f t="shared" si="0"/>
        <v>yD</v>
      </c>
      <c r="AG7" s="58" t="str">
        <f t="shared" si="2"/>
        <v>uD</v>
      </c>
      <c r="AH7" s="58" t="str">
        <f t="shared" si="3"/>
        <v>lD</v>
      </c>
      <c r="AI7" s="58" t="str">
        <f t="shared" si="4"/>
        <v>tD</v>
      </c>
      <c r="AJ7" s="58" t="str">
        <f t="shared" si="5"/>
        <v>fD</v>
      </c>
      <c r="AK7" s="58" t="str">
        <f t="shared" si="6"/>
        <v>eD</v>
      </c>
      <c r="AL7" s="58" t="str">
        <f t="shared" si="7"/>
        <v>sD</v>
      </c>
      <c r="AM7" s="58" t="str">
        <f t="shared" si="8"/>
        <v>xD</v>
      </c>
      <c r="AN7" s="58" t="str">
        <f t="shared" si="9"/>
        <v>jD</v>
      </c>
      <c r="AO7" s="58" t="str">
        <f t="shared" si="10"/>
        <v>iD</v>
      </c>
      <c r="AP7" s="58" t="str">
        <f t="shared" si="11"/>
        <v>qD</v>
      </c>
      <c r="AQ7" s="58" t="str">
        <f t="shared" si="12"/>
        <v>cD</v>
      </c>
      <c r="AR7" s="61" t="str">
        <f t="shared" si="13"/>
        <v>rD</v>
      </c>
      <c r="AS7" s="58" t="str">
        <f t="shared" si="14"/>
        <v>vD</v>
      </c>
      <c r="AT7" s="58" t="str">
        <f t="shared" si="15"/>
        <v>wD</v>
      </c>
      <c r="AU7" s="58" t="str">
        <f t="shared" si="16"/>
        <v>zD</v>
      </c>
      <c r="AV7" s="58" t="str">
        <f t="shared" si="17"/>
        <v>kD</v>
      </c>
      <c r="AW7" s="58" t="str">
        <f t="shared" si="18"/>
        <v>mD</v>
      </c>
      <c r="AX7" s="58" t="str">
        <f t="shared" si="19"/>
        <v>gD</v>
      </c>
      <c r="AY7" s="58" t="str">
        <f t="shared" si="20"/>
        <v>dD</v>
      </c>
      <c r="AZ7" s="58" t="str">
        <f t="shared" si="21"/>
        <v>bD</v>
      </c>
      <c r="BA7" s="58" t="str">
        <f t="shared" si="22"/>
        <v>nD</v>
      </c>
      <c r="BB7" s="58" t="str">
        <f t="shared" si="23"/>
        <v>oD</v>
      </c>
      <c r="BC7" s="58" t="str">
        <f t="shared" si="24"/>
        <v>hD</v>
      </c>
      <c r="BD7" s="58" t="str">
        <f t="shared" si="25"/>
        <v>aD</v>
      </c>
      <c r="BE7" s="93" t="str">
        <f t="shared" si="26"/>
        <v>pD</v>
      </c>
      <c r="BG7" s="63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59"/>
    </row>
    <row r="8" spans="1:84" x14ac:dyDescent="0.35">
      <c r="A8" s="32" t="s">
        <v>589</v>
      </c>
      <c r="B8" s="33" t="s">
        <v>395</v>
      </c>
      <c r="C8" s="1"/>
      <c r="D8" s="39" t="str">
        <f>TRIM(n_IL03)</f>
        <v>A</v>
      </c>
      <c r="E8" s="48" t="s">
        <v>397</v>
      </c>
      <c r="F8" s="49" t="s">
        <v>398</v>
      </c>
      <c r="G8" s="49" t="s">
        <v>399</v>
      </c>
      <c r="H8" s="49" t="s">
        <v>400</v>
      </c>
      <c r="I8" s="49" t="s">
        <v>401</v>
      </c>
      <c r="J8" s="49" t="s">
        <v>402</v>
      </c>
      <c r="K8" s="49" t="s">
        <v>403</v>
      </c>
      <c r="L8" s="49" t="s">
        <v>404</v>
      </c>
      <c r="M8" s="49" t="s">
        <v>405</v>
      </c>
      <c r="N8" s="49" t="s">
        <v>406</v>
      </c>
      <c r="O8" s="49" t="s">
        <v>407</v>
      </c>
      <c r="P8" s="49" t="s">
        <v>408</v>
      </c>
      <c r="Q8" s="49" t="s">
        <v>409</v>
      </c>
      <c r="R8" s="49" t="s">
        <v>410</v>
      </c>
      <c r="S8" s="49" t="s">
        <v>411</v>
      </c>
      <c r="T8" s="49" t="s">
        <v>412</v>
      </c>
      <c r="U8" s="49" t="s">
        <v>413</v>
      </c>
      <c r="V8" s="49" t="s">
        <v>414</v>
      </c>
      <c r="W8" s="49" t="s">
        <v>415</v>
      </c>
      <c r="X8" s="49" t="s">
        <v>416</v>
      </c>
      <c r="Y8" s="49" t="s">
        <v>417</v>
      </c>
      <c r="Z8" s="49" t="s">
        <v>418</v>
      </c>
      <c r="AA8" s="49" t="s">
        <v>419</v>
      </c>
      <c r="AB8" s="49" t="s">
        <v>420</v>
      </c>
      <c r="AC8" s="49" t="s">
        <v>421</v>
      </c>
      <c r="AD8" s="50" t="s">
        <v>422</v>
      </c>
      <c r="AF8" s="54" t="str">
        <f t="shared" si="0"/>
        <v>aA</v>
      </c>
      <c r="AG8" s="55" t="str">
        <f t="shared" si="2"/>
        <v>bA</v>
      </c>
      <c r="AH8" s="55" t="str">
        <f t="shared" si="3"/>
        <v>cA</v>
      </c>
      <c r="AI8" s="55" t="str">
        <f t="shared" si="4"/>
        <v>dA</v>
      </c>
      <c r="AJ8" s="55" t="str">
        <f t="shared" si="5"/>
        <v>eA</v>
      </c>
      <c r="AK8" s="55" t="str">
        <f t="shared" si="6"/>
        <v>fA</v>
      </c>
      <c r="AL8" s="55" t="str">
        <f t="shared" si="7"/>
        <v>gA</v>
      </c>
      <c r="AM8" s="55" t="str">
        <f t="shared" si="8"/>
        <v>hA</v>
      </c>
      <c r="AN8" s="55" t="str">
        <f t="shared" si="9"/>
        <v>iA</v>
      </c>
      <c r="AO8" s="55" t="str">
        <f t="shared" si="10"/>
        <v>jA</v>
      </c>
      <c r="AP8" s="55" t="str">
        <f t="shared" si="11"/>
        <v>kA</v>
      </c>
      <c r="AQ8" s="55" t="str">
        <f t="shared" si="12"/>
        <v>lA</v>
      </c>
      <c r="AR8" s="55" t="str">
        <f t="shared" si="13"/>
        <v>mA</v>
      </c>
      <c r="AS8" s="55" t="str">
        <f t="shared" si="14"/>
        <v>nA</v>
      </c>
      <c r="AT8" s="55" t="str">
        <f t="shared" si="15"/>
        <v>oA</v>
      </c>
      <c r="AU8" s="60" t="str">
        <f t="shared" si="16"/>
        <v>pA</v>
      </c>
      <c r="AV8" s="55" t="str">
        <f t="shared" si="17"/>
        <v>qA</v>
      </c>
      <c r="AW8" s="55" t="str">
        <f t="shared" si="18"/>
        <v>rA</v>
      </c>
      <c r="AX8" s="55" t="str">
        <f t="shared" si="19"/>
        <v>sA</v>
      </c>
      <c r="AY8" s="55" t="str">
        <f t="shared" si="20"/>
        <v>tA</v>
      </c>
      <c r="AZ8" s="55" t="str">
        <f t="shared" si="21"/>
        <v>uA</v>
      </c>
      <c r="BA8" s="55" t="str">
        <f t="shared" si="22"/>
        <v>vA</v>
      </c>
      <c r="BB8" s="55" t="str">
        <f t="shared" si="23"/>
        <v>wA</v>
      </c>
      <c r="BC8" s="55" t="str">
        <f t="shared" si="24"/>
        <v>xA</v>
      </c>
      <c r="BD8" s="55" t="str">
        <f t="shared" si="25"/>
        <v>yA</v>
      </c>
      <c r="BE8" s="94" t="str">
        <f t="shared" si="26"/>
        <v>zA</v>
      </c>
      <c r="BG8" s="62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56"/>
    </row>
    <row r="9" spans="1:84" x14ac:dyDescent="0.35">
      <c r="A9" s="34" t="s">
        <v>589</v>
      </c>
      <c r="B9" s="33" t="s">
        <v>396</v>
      </c>
      <c r="C9" s="1"/>
      <c r="D9" s="40" t="str">
        <f>TRIM(n_OL03)</f>
        <v>B</v>
      </c>
      <c r="E9" s="51" t="str">
        <f>LOWER(Enigma03!AH43)</f>
        <v>e</v>
      </c>
      <c r="F9" s="52" t="str">
        <f>LOWER(Enigma03!AI43)</f>
        <v>z</v>
      </c>
      <c r="G9" s="52" t="str">
        <f>LOWER(Enigma03!AJ43)</f>
        <v>p</v>
      </c>
      <c r="H9" s="52" t="str">
        <f>LOWER(Enigma03!AK43)</f>
        <v>f</v>
      </c>
      <c r="I9" s="52" t="str">
        <f>LOWER(Enigma03!AL43)</f>
        <v>a</v>
      </c>
      <c r="J9" s="52" t="str">
        <f>LOWER(Enigma03!AM43)</f>
        <v>d</v>
      </c>
      <c r="K9" s="52" t="str">
        <f>LOWER(Enigma03!AN43)</f>
        <v>i</v>
      </c>
      <c r="L9" s="52" t="str">
        <f>LOWER(Enigma03!AO43)</f>
        <v>y</v>
      </c>
      <c r="M9" s="52" t="str">
        <f>LOWER(Enigma03!AP43)</f>
        <v>g</v>
      </c>
      <c r="N9" s="52" t="str">
        <f>LOWER(Enigma03!AQ43)</f>
        <v>m</v>
      </c>
      <c r="O9" s="52" t="str">
        <f>LOWER(Enigma03!AR43)</f>
        <v>l</v>
      </c>
      <c r="P9" s="52" t="str">
        <f>LOWER(Enigma03!AS43)</f>
        <v>k</v>
      </c>
      <c r="Q9" s="52" t="str">
        <f>LOWER(Enigma03!AT43)</f>
        <v>j</v>
      </c>
      <c r="R9" s="52" t="str">
        <f>LOWER(Enigma03!AU43)</f>
        <v>s</v>
      </c>
      <c r="S9" s="52" t="str">
        <f>LOWER(Enigma03!AV43)</f>
        <v>t</v>
      </c>
      <c r="T9" s="52" t="str">
        <f>LOWER(Enigma03!AW43)</f>
        <v>c</v>
      </c>
      <c r="U9" s="52" t="str">
        <f>LOWER(Enigma03!AX43)</f>
        <v>v</v>
      </c>
      <c r="V9" s="52" t="str">
        <f>LOWER(Enigma03!AY43)</f>
        <v>w</v>
      </c>
      <c r="W9" s="52" t="str">
        <f>LOWER(Enigma03!AZ43)</f>
        <v>n</v>
      </c>
      <c r="X9" s="52" t="str">
        <f>LOWER(Enigma03!BA43)</f>
        <v>o</v>
      </c>
      <c r="Y9" s="52" t="str">
        <f>LOWER(Enigma03!BB43)</f>
        <v>x</v>
      </c>
      <c r="Z9" s="52" t="str">
        <f>LOWER(Enigma03!BC43)</f>
        <v>q</v>
      </c>
      <c r="AA9" s="52" t="str">
        <f>LOWER(Enigma03!BD43)</f>
        <v>r</v>
      </c>
      <c r="AB9" s="52" t="str">
        <f>LOWER(Enigma03!BE43)</f>
        <v>u</v>
      </c>
      <c r="AC9" s="52" t="str">
        <f>LOWER(Enigma03!BF43)</f>
        <v>h</v>
      </c>
      <c r="AD9" s="53" t="str">
        <f>LOWER(Enigma03!BG43)</f>
        <v>b</v>
      </c>
      <c r="AF9" s="57" t="str">
        <f t="shared" si="0"/>
        <v>eB</v>
      </c>
      <c r="AG9" s="58" t="str">
        <f t="shared" si="2"/>
        <v>zB</v>
      </c>
      <c r="AH9" s="58" t="str">
        <f t="shared" si="3"/>
        <v>pB</v>
      </c>
      <c r="AI9" s="58" t="str">
        <f t="shared" si="4"/>
        <v>fB</v>
      </c>
      <c r="AJ9" s="58" t="str">
        <f t="shared" si="5"/>
        <v>aB</v>
      </c>
      <c r="AK9" s="58" t="str">
        <f t="shared" si="6"/>
        <v>dB</v>
      </c>
      <c r="AL9" s="58" t="str">
        <f t="shared" si="7"/>
        <v>iB</v>
      </c>
      <c r="AM9" s="58" t="str">
        <f t="shared" si="8"/>
        <v>yB</v>
      </c>
      <c r="AN9" s="58" t="str">
        <f t="shared" si="9"/>
        <v>gB</v>
      </c>
      <c r="AO9" s="58" t="str">
        <f t="shared" si="10"/>
        <v>mB</v>
      </c>
      <c r="AP9" s="58" t="str">
        <f t="shared" si="11"/>
        <v>lB</v>
      </c>
      <c r="AQ9" s="58" t="str">
        <f t="shared" si="12"/>
        <v>kB</v>
      </c>
      <c r="AR9" s="58" t="str">
        <f t="shared" si="13"/>
        <v>jB</v>
      </c>
      <c r="AS9" s="58" t="str">
        <f t="shared" si="14"/>
        <v>sB</v>
      </c>
      <c r="AT9" s="58" t="str">
        <f t="shared" si="15"/>
        <v>tB</v>
      </c>
      <c r="AU9" s="61" t="str">
        <f t="shared" si="16"/>
        <v>cB</v>
      </c>
      <c r="AV9" s="58" t="str">
        <f t="shared" si="17"/>
        <v>vB</v>
      </c>
      <c r="AW9" s="58" t="str">
        <f t="shared" si="18"/>
        <v>wB</v>
      </c>
      <c r="AX9" s="58" t="str">
        <f t="shared" si="19"/>
        <v>nB</v>
      </c>
      <c r="AY9" s="58" t="str">
        <f t="shared" si="20"/>
        <v>oB</v>
      </c>
      <c r="AZ9" s="58" t="str">
        <f t="shared" si="21"/>
        <v>xB</v>
      </c>
      <c r="BA9" s="58" t="str">
        <f t="shared" si="22"/>
        <v>qB</v>
      </c>
      <c r="BB9" s="58" t="str">
        <f t="shared" si="23"/>
        <v>rB</v>
      </c>
      <c r="BC9" s="58" t="str">
        <f t="shared" si="24"/>
        <v>uB</v>
      </c>
      <c r="BD9" s="58" t="str">
        <f t="shared" si="25"/>
        <v>hB</v>
      </c>
      <c r="BE9" s="93" t="str">
        <f t="shared" si="26"/>
        <v>bB</v>
      </c>
      <c r="BG9" s="63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59"/>
    </row>
    <row r="10" spans="1:84" x14ac:dyDescent="0.35">
      <c r="A10" s="32" t="s">
        <v>590</v>
      </c>
      <c r="B10" s="33" t="s">
        <v>395</v>
      </c>
      <c r="C10" s="1"/>
      <c r="D10" s="39" t="str">
        <f>TRIM(n_IL04)</f>
        <v>C</v>
      </c>
      <c r="E10" s="48" t="s">
        <v>397</v>
      </c>
      <c r="F10" s="49" t="s">
        <v>398</v>
      </c>
      <c r="G10" s="49" t="s">
        <v>399</v>
      </c>
      <c r="H10" s="49" t="s">
        <v>400</v>
      </c>
      <c r="I10" s="49" t="s">
        <v>401</v>
      </c>
      <c r="J10" s="49" t="s">
        <v>402</v>
      </c>
      <c r="K10" s="49" t="s">
        <v>403</v>
      </c>
      <c r="L10" s="49" t="s">
        <v>404</v>
      </c>
      <c r="M10" s="49" t="s">
        <v>405</v>
      </c>
      <c r="N10" s="49" t="s">
        <v>406</v>
      </c>
      <c r="O10" s="49" t="s">
        <v>407</v>
      </c>
      <c r="P10" s="49" t="s">
        <v>408</v>
      </c>
      <c r="Q10" s="49" t="s">
        <v>409</v>
      </c>
      <c r="R10" s="49" t="s">
        <v>410</v>
      </c>
      <c r="S10" s="49" t="s">
        <v>411</v>
      </c>
      <c r="T10" s="49" t="s">
        <v>412</v>
      </c>
      <c r="U10" s="49" t="s">
        <v>413</v>
      </c>
      <c r="V10" s="49" t="s">
        <v>414</v>
      </c>
      <c r="W10" s="49" t="s">
        <v>415</v>
      </c>
      <c r="X10" s="49" t="s">
        <v>416</v>
      </c>
      <c r="Y10" s="49" t="s">
        <v>417</v>
      </c>
      <c r="Z10" s="49" t="s">
        <v>418</v>
      </c>
      <c r="AA10" s="49" t="s">
        <v>419</v>
      </c>
      <c r="AB10" s="49" t="s">
        <v>420</v>
      </c>
      <c r="AC10" s="49" t="s">
        <v>421</v>
      </c>
      <c r="AD10" s="50" t="s">
        <v>422</v>
      </c>
      <c r="AF10" s="54" t="str">
        <f t="shared" si="0"/>
        <v>aC</v>
      </c>
      <c r="AG10" s="60" t="str">
        <f t="shared" ref="AG10:AG17" si="27">F10&amp;$D10</f>
        <v>bC</v>
      </c>
      <c r="AH10" s="60" t="str">
        <f t="shared" ref="AH10:AH17" si="28">G10&amp;$D10</f>
        <v>cC</v>
      </c>
      <c r="AI10" s="55" t="str">
        <f t="shared" ref="AI10:AI17" si="29">H10&amp;$D10</f>
        <v>dC</v>
      </c>
      <c r="AJ10" s="55" t="str">
        <f t="shared" ref="AJ10:AJ17" si="30">I10&amp;$D10</f>
        <v>eC</v>
      </c>
      <c r="AK10" s="60" t="str">
        <f t="shared" ref="AK10:AK17" si="31">J10&amp;$D10</f>
        <v>fC</v>
      </c>
      <c r="AL10" s="60" t="str">
        <f t="shared" ref="AL10:AL17" si="32">K10&amp;$D10</f>
        <v>gC</v>
      </c>
      <c r="AM10" s="55" t="str">
        <f t="shared" ref="AM10:AM17" si="33">L10&amp;$D10</f>
        <v>hC</v>
      </c>
      <c r="AN10" s="60" t="str">
        <f t="shared" ref="AN10:AN17" si="34">M10&amp;$D10</f>
        <v>iC</v>
      </c>
      <c r="AO10" s="60" t="str">
        <f t="shared" ref="AO10:AO17" si="35">N10&amp;$D10</f>
        <v>jC</v>
      </c>
      <c r="AP10" s="60" t="str">
        <f t="shared" ref="AP10:AP17" si="36">O10&amp;$D10</f>
        <v>kC</v>
      </c>
      <c r="AQ10" s="55" t="str">
        <f t="shared" ref="AQ10:AQ17" si="37">P10&amp;$D10</f>
        <v>lC</v>
      </c>
      <c r="AR10" s="60" t="str">
        <f t="shared" ref="AR10:AR17" si="38">Q10&amp;$D10</f>
        <v>mC</v>
      </c>
      <c r="AS10" s="55" t="str">
        <f t="shared" ref="AS10:AS17" si="39">R10&amp;$D10</f>
        <v>nC</v>
      </c>
      <c r="AT10" s="60" t="str">
        <f t="shared" ref="AT10:AT17" si="40">S10&amp;$D10</f>
        <v>oC</v>
      </c>
      <c r="AU10" s="55" t="str">
        <f t="shared" ref="AU10:AU17" si="41">T10&amp;$D10</f>
        <v>pC</v>
      </c>
      <c r="AV10" s="60" t="str">
        <f t="shared" ref="AV10:AV17" si="42">U10&amp;$D10</f>
        <v>qC</v>
      </c>
      <c r="AW10" s="60" t="str">
        <f t="shared" ref="AW10:AW17" si="43">V10&amp;$D10</f>
        <v>rC</v>
      </c>
      <c r="AX10" s="60" t="str">
        <f t="shared" ref="AX10:AX17" si="44">W10&amp;$D10</f>
        <v>sC</v>
      </c>
      <c r="AY10" s="55" t="str">
        <f t="shared" ref="AY10:AY17" si="45">X10&amp;$D10</f>
        <v>tC</v>
      </c>
      <c r="AZ10" s="55" t="str">
        <f t="shared" ref="AZ10:AZ17" si="46">Y10&amp;$D10</f>
        <v>uC</v>
      </c>
      <c r="BA10" s="60" t="str">
        <f t="shared" ref="BA10:BA17" si="47">Z10&amp;$D10</f>
        <v>vC</v>
      </c>
      <c r="BB10" s="60" t="str">
        <f t="shared" ref="BB10:BB17" si="48">AA10&amp;$D10</f>
        <v>wC</v>
      </c>
      <c r="BC10" s="60" t="str">
        <f t="shared" ref="BC10:BC17" si="49">AB10&amp;$D10</f>
        <v>xC</v>
      </c>
      <c r="BD10" s="60" t="str">
        <f t="shared" ref="BD10:BD17" si="50">AC10&amp;$D10</f>
        <v>yC</v>
      </c>
      <c r="BE10" s="56" t="str">
        <f t="shared" ref="BE10:BE17" si="51">AD10&amp;$D10</f>
        <v>zC</v>
      </c>
      <c r="BG10" s="62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56"/>
    </row>
    <row r="11" spans="1:84" x14ac:dyDescent="0.35">
      <c r="A11" s="34" t="s">
        <v>590</v>
      </c>
      <c r="B11" s="33" t="s">
        <v>396</v>
      </c>
      <c r="C11" s="1"/>
      <c r="D11" s="40" t="str">
        <f>TRIM(n_OL04)</f>
        <v>G</v>
      </c>
      <c r="E11" s="51" t="str">
        <f>LOWER(Enigma04!AH43)</f>
        <v>t</v>
      </c>
      <c r="F11" s="52" t="str">
        <f>LOWER(Enigma04!AI43)</f>
        <v>n</v>
      </c>
      <c r="G11" s="52" t="str">
        <f>LOWER(Enigma04!AJ43)</f>
        <v>k</v>
      </c>
      <c r="H11" s="52" t="str">
        <f>LOWER(Enigma04!AK43)</f>
        <v>p</v>
      </c>
      <c r="I11" s="52" t="str">
        <f>LOWER(Enigma04!AL43)</f>
        <v>u</v>
      </c>
      <c r="J11" s="52" t="str">
        <f>LOWER(Enigma04!AM43)</f>
        <v>q</v>
      </c>
      <c r="K11" s="52" t="str">
        <f>LOWER(Enigma04!AN43)</f>
        <v>m</v>
      </c>
      <c r="L11" s="52" t="str">
        <f>LOWER(Enigma04!AO43)</f>
        <v>l</v>
      </c>
      <c r="M11" s="52" t="str">
        <f>LOWER(Enigma04!AP43)</f>
        <v>o</v>
      </c>
      <c r="N11" s="52" t="str">
        <f>LOWER(Enigma04!AQ43)</f>
        <v>w</v>
      </c>
      <c r="O11" s="52" t="str">
        <f>LOWER(Enigma04!AR43)</f>
        <v>c</v>
      </c>
      <c r="P11" s="52" t="str">
        <f>LOWER(Enigma04!AS43)</f>
        <v>h</v>
      </c>
      <c r="Q11" s="52" t="str">
        <f>LOWER(Enigma04!AT43)</f>
        <v>g</v>
      </c>
      <c r="R11" s="52" t="str">
        <f>LOWER(Enigma04!AU43)</f>
        <v>b</v>
      </c>
      <c r="S11" s="52" t="str">
        <f>LOWER(Enigma04!AV43)</f>
        <v>i</v>
      </c>
      <c r="T11" s="52" t="str">
        <f>LOWER(Enigma04!AW43)</f>
        <v>d</v>
      </c>
      <c r="U11" s="52" t="str">
        <f>LOWER(Enigma04!AX43)</f>
        <v>f</v>
      </c>
      <c r="V11" s="52" t="str">
        <f>LOWER(Enigma04!AY43)</f>
        <v>s</v>
      </c>
      <c r="W11" s="52" t="str">
        <f>LOWER(Enigma04!AZ43)</f>
        <v>r</v>
      </c>
      <c r="X11" s="52" t="str">
        <f>LOWER(Enigma04!BA43)</f>
        <v>a</v>
      </c>
      <c r="Y11" s="52" t="str">
        <f>LOWER(Enigma04!BB43)</f>
        <v>e</v>
      </c>
      <c r="Z11" s="52" t="str">
        <f>LOWER(Enigma04!BC43)</f>
        <v>x</v>
      </c>
      <c r="AA11" s="52" t="str">
        <f>LOWER(Enigma04!BD43)</f>
        <v>j</v>
      </c>
      <c r="AB11" s="52" t="str">
        <f>LOWER(Enigma04!BE43)</f>
        <v>v</v>
      </c>
      <c r="AC11" s="52" t="str">
        <f>LOWER(Enigma04!BF43)</f>
        <v>z</v>
      </c>
      <c r="AD11" s="53" t="str">
        <f>LOWER(Enigma04!BG43)</f>
        <v>y</v>
      </c>
      <c r="AF11" s="57" t="str">
        <f t="shared" si="0"/>
        <v>tG</v>
      </c>
      <c r="AG11" s="61" t="str">
        <f t="shared" si="27"/>
        <v>nG</v>
      </c>
      <c r="AH11" s="61" t="str">
        <f t="shared" si="28"/>
        <v>kG</v>
      </c>
      <c r="AI11" s="58" t="str">
        <f t="shared" si="29"/>
        <v>pG</v>
      </c>
      <c r="AJ11" s="58" t="str">
        <f t="shared" si="30"/>
        <v>uG</v>
      </c>
      <c r="AK11" s="61" t="str">
        <f t="shared" si="31"/>
        <v>qG</v>
      </c>
      <c r="AL11" s="61" t="str">
        <f t="shared" si="32"/>
        <v>mG</v>
      </c>
      <c r="AM11" s="58" t="str">
        <f t="shared" si="33"/>
        <v>lG</v>
      </c>
      <c r="AN11" s="61" t="str">
        <f t="shared" si="34"/>
        <v>oG</v>
      </c>
      <c r="AO11" s="61" t="str">
        <f t="shared" si="35"/>
        <v>wG</v>
      </c>
      <c r="AP11" s="61" t="str">
        <f t="shared" si="36"/>
        <v>cG</v>
      </c>
      <c r="AQ11" s="58" t="str">
        <f t="shared" si="37"/>
        <v>hG</v>
      </c>
      <c r="AR11" s="61" t="str">
        <f t="shared" si="38"/>
        <v>gG</v>
      </c>
      <c r="AS11" s="58" t="str">
        <f t="shared" si="39"/>
        <v>bG</v>
      </c>
      <c r="AT11" s="61" t="str">
        <f t="shared" si="40"/>
        <v>iG</v>
      </c>
      <c r="AU11" s="58" t="str">
        <f t="shared" si="41"/>
        <v>dG</v>
      </c>
      <c r="AV11" s="61" t="str">
        <f t="shared" si="42"/>
        <v>fG</v>
      </c>
      <c r="AW11" s="61" t="str">
        <f t="shared" si="43"/>
        <v>sG</v>
      </c>
      <c r="AX11" s="61" t="str">
        <f t="shared" si="44"/>
        <v>rG</v>
      </c>
      <c r="AY11" s="58" t="str">
        <f t="shared" si="45"/>
        <v>aG</v>
      </c>
      <c r="AZ11" s="58" t="str">
        <f t="shared" si="46"/>
        <v>eG</v>
      </c>
      <c r="BA11" s="61" t="str">
        <f t="shared" si="47"/>
        <v>xG</v>
      </c>
      <c r="BB11" s="61" t="str">
        <f t="shared" si="48"/>
        <v>jG</v>
      </c>
      <c r="BC11" s="61" t="str">
        <f t="shared" si="49"/>
        <v>vG</v>
      </c>
      <c r="BD11" s="61" t="str">
        <f t="shared" si="50"/>
        <v>zG</v>
      </c>
      <c r="BE11" s="59" t="str">
        <f t="shared" si="51"/>
        <v>yG</v>
      </c>
      <c r="BG11" s="63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59"/>
    </row>
    <row r="12" spans="1:84" x14ac:dyDescent="0.35">
      <c r="A12" s="32" t="s">
        <v>591</v>
      </c>
      <c r="B12" s="33" t="s">
        <v>395</v>
      </c>
      <c r="C12" s="1"/>
      <c r="D12" s="39" t="str">
        <f>TRIM(n_IL05)</f>
        <v>H</v>
      </c>
      <c r="E12" s="48" t="s">
        <v>397</v>
      </c>
      <c r="F12" s="49" t="s">
        <v>398</v>
      </c>
      <c r="G12" s="49" t="s">
        <v>399</v>
      </c>
      <c r="H12" s="49" t="s">
        <v>400</v>
      </c>
      <c r="I12" s="49" t="s">
        <v>401</v>
      </c>
      <c r="J12" s="49" t="s">
        <v>402</v>
      </c>
      <c r="K12" s="49" t="s">
        <v>403</v>
      </c>
      <c r="L12" s="49" t="s">
        <v>404</v>
      </c>
      <c r="M12" s="49" t="s">
        <v>405</v>
      </c>
      <c r="N12" s="49" t="s">
        <v>406</v>
      </c>
      <c r="O12" s="49" t="s">
        <v>407</v>
      </c>
      <c r="P12" s="49" t="s">
        <v>408</v>
      </c>
      <c r="Q12" s="49" t="s">
        <v>409</v>
      </c>
      <c r="R12" s="49" t="s">
        <v>410</v>
      </c>
      <c r="S12" s="49" t="s">
        <v>411</v>
      </c>
      <c r="T12" s="49" t="s">
        <v>412</v>
      </c>
      <c r="U12" s="49" t="s">
        <v>413</v>
      </c>
      <c r="V12" s="49" t="s">
        <v>414</v>
      </c>
      <c r="W12" s="49" t="s">
        <v>415</v>
      </c>
      <c r="X12" s="49" t="s">
        <v>416</v>
      </c>
      <c r="Y12" s="49" t="s">
        <v>417</v>
      </c>
      <c r="Z12" s="49" t="s">
        <v>418</v>
      </c>
      <c r="AA12" s="49" t="s">
        <v>419</v>
      </c>
      <c r="AB12" s="49" t="s">
        <v>420</v>
      </c>
      <c r="AC12" s="49" t="s">
        <v>421</v>
      </c>
      <c r="AD12" s="50" t="s">
        <v>422</v>
      </c>
      <c r="AF12" s="54" t="str">
        <f t="shared" si="0"/>
        <v>aH</v>
      </c>
      <c r="AG12" s="55" t="str">
        <f t="shared" si="27"/>
        <v>bH</v>
      </c>
      <c r="AH12" s="55" t="str">
        <f t="shared" si="28"/>
        <v>cH</v>
      </c>
      <c r="AI12" s="55" t="str">
        <f t="shared" si="29"/>
        <v>dH</v>
      </c>
      <c r="AJ12" s="55" t="str">
        <f t="shared" si="30"/>
        <v>eH</v>
      </c>
      <c r="AK12" s="55" t="str">
        <f t="shared" si="31"/>
        <v>fH</v>
      </c>
      <c r="AL12" s="55" t="str">
        <f t="shared" si="32"/>
        <v>gH</v>
      </c>
      <c r="AM12" s="60" t="str">
        <f t="shared" si="33"/>
        <v>hH</v>
      </c>
      <c r="AN12" s="55" t="str">
        <f t="shared" si="34"/>
        <v>iH</v>
      </c>
      <c r="AO12" s="55" t="str">
        <f t="shared" si="35"/>
        <v>jH</v>
      </c>
      <c r="AP12" s="55" t="str">
        <f t="shared" si="36"/>
        <v>kH</v>
      </c>
      <c r="AQ12" s="55" t="str">
        <f t="shared" si="37"/>
        <v>lH</v>
      </c>
      <c r="AR12" s="55" t="str">
        <f t="shared" si="38"/>
        <v>mH</v>
      </c>
      <c r="AS12" s="55" t="str">
        <f t="shared" si="39"/>
        <v>nH</v>
      </c>
      <c r="AT12" s="55" t="str">
        <f t="shared" si="40"/>
        <v>oH</v>
      </c>
      <c r="AU12" s="55" t="str">
        <f t="shared" si="41"/>
        <v>pH</v>
      </c>
      <c r="AV12" s="55" t="str">
        <f t="shared" si="42"/>
        <v>qH</v>
      </c>
      <c r="AW12" s="55" t="str">
        <f t="shared" si="43"/>
        <v>rH</v>
      </c>
      <c r="AX12" s="55" t="str">
        <f t="shared" si="44"/>
        <v>sH</v>
      </c>
      <c r="AY12" s="55" t="str">
        <f t="shared" si="45"/>
        <v>tH</v>
      </c>
      <c r="AZ12" s="55" t="str">
        <f t="shared" si="46"/>
        <v>uH</v>
      </c>
      <c r="BA12" s="55" t="str">
        <f t="shared" si="47"/>
        <v>vH</v>
      </c>
      <c r="BB12" s="55" t="str">
        <f t="shared" si="48"/>
        <v>wH</v>
      </c>
      <c r="BC12" s="55" t="str">
        <f t="shared" si="49"/>
        <v>xH</v>
      </c>
      <c r="BD12" s="55" t="str">
        <f t="shared" si="50"/>
        <v>yH</v>
      </c>
      <c r="BE12" s="94" t="str">
        <f t="shared" si="51"/>
        <v>zH</v>
      </c>
      <c r="BG12" s="62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56"/>
    </row>
    <row r="13" spans="1:84" x14ac:dyDescent="0.35">
      <c r="A13" s="34" t="s">
        <v>591</v>
      </c>
      <c r="B13" s="33" t="s">
        <v>396</v>
      </c>
      <c r="C13" s="1"/>
      <c r="D13" s="40" t="str">
        <f>TRIM(n_OL05)</f>
        <v>E</v>
      </c>
      <c r="E13" s="51" t="str">
        <f>LOWER(Enigma05!AH43)</f>
        <v>k</v>
      </c>
      <c r="F13" s="52" t="str">
        <f>LOWER(Enigma05!AI43)</f>
        <v>u</v>
      </c>
      <c r="G13" s="52" t="str">
        <f>LOWER(Enigma05!AJ43)</f>
        <v>t</v>
      </c>
      <c r="H13" s="52" t="str">
        <f>LOWER(Enigma05!AK43)</f>
        <v>r</v>
      </c>
      <c r="I13" s="52" t="str">
        <f>LOWER(Enigma05!AL43)</f>
        <v>z</v>
      </c>
      <c r="J13" s="52" t="str">
        <f>LOWER(Enigma05!AM43)</f>
        <v>i</v>
      </c>
      <c r="K13" s="52" t="str">
        <f>LOWER(Enigma05!AN43)</f>
        <v>x</v>
      </c>
      <c r="L13" s="52" t="str">
        <f>LOWER(Enigma05!AO43)</f>
        <v>m</v>
      </c>
      <c r="M13" s="52" t="str">
        <f>LOWER(Enigma05!AP43)</f>
        <v>f</v>
      </c>
      <c r="N13" s="52" t="str">
        <f>LOWER(Enigma05!AQ43)</f>
        <v>o</v>
      </c>
      <c r="O13" s="52" t="str">
        <f>LOWER(Enigma05!AR43)</f>
        <v>a</v>
      </c>
      <c r="P13" s="52" t="str">
        <f>LOWER(Enigma05!AS43)</f>
        <v>q</v>
      </c>
      <c r="Q13" s="52" t="str">
        <f>LOWER(Enigma05!AT43)</f>
        <v>h</v>
      </c>
      <c r="R13" s="52" t="str">
        <f>LOWER(Enigma05!AU43)</f>
        <v>s</v>
      </c>
      <c r="S13" s="52" t="str">
        <f>LOWER(Enigma05!AV43)</f>
        <v>j</v>
      </c>
      <c r="T13" s="52" t="str">
        <f>LOWER(Enigma05!AW43)</f>
        <v>y</v>
      </c>
      <c r="U13" s="52" t="str">
        <f>LOWER(Enigma05!AX43)</f>
        <v>l</v>
      </c>
      <c r="V13" s="52" t="str">
        <f>LOWER(Enigma05!AY43)</f>
        <v>d</v>
      </c>
      <c r="W13" s="52" t="str">
        <f>LOWER(Enigma05!AZ43)</f>
        <v>n</v>
      </c>
      <c r="X13" s="52" t="str">
        <f>LOWER(Enigma05!BA43)</f>
        <v>c</v>
      </c>
      <c r="Y13" s="52" t="str">
        <f>LOWER(Enigma05!BB43)</f>
        <v>b</v>
      </c>
      <c r="Z13" s="52" t="str">
        <f>LOWER(Enigma05!BC43)</f>
        <v>w</v>
      </c>
      <c r="AA13" s="52" t="str">
        <f>LOWER(Enigma05!BD43)</f>
        <v>v</v>
      </c>
      <c r="AB13" s="52" t="str">
        <f>LOWER(Enigma05!BE43)</f>
        <v>g</v>
      </c>
      <c r="AC13" s="52" t="str">
        <f>LOWER(Enigma05!BF43)</f>
        <v>p</v>
      </c>
      <c r="AD13" s="53" t="str">
        <f>LOWER(Enigma05!BG43)</f>
        <v>e</v>
      </c>
      <c r="AF13" s="57" t="str">
        <f t="shared" si="0"/>
        <v>kE</v>
      </c>
      <c r="AG13" s="58" t="str">
        <f t="shared" si="27"/>
        <v>uE</v>
      </c>
      <c r="AH13" s="58" t="str">
        <f t="shared" si="28"/>
        <v>tE</v>
      </c>
      <c r="AI13" s="58" t="str">
        <f t="shared" si="29"/>
        <v>rE</v>
      </c>
      <c r="AJ13" s="58" t="str">
        <f t="shared" si="30"/>
        <v>zE</v>
      </c>
      <c r="AK13" s="58" t="str">
        <f t="shared" si="31"/>
        <v>iE</v>
      </c>
      <c r="AL13" s="58" t="str">
        <f t="shared" si="32"/>
        <v>xE</v>
      </c>
      <c r="AM13" s="61" t="str">
        <f t="shared" si="33"/>
        <v>mE</v>
      </c>
      <c r="AN13" s="58" t="str">
        <f t="shared" si="34"/>
        <v>fE</v>
      </c>
      <c r="AO13" s="58" t="str">
        <f t="shared" si="35"/>
        <v>oE</v>
      </c>
      <c r="AP13" s="58" t="str">
        <f t="shared" si="36"/>
        <v>aE</v>
      </c>
      <c r="AQ13" s="58" t="str">
        <f t="shared" si="37"/>
        <v>qE</v>
      </c>
      <c r="AR13" s="58" t="str">
        <f t="shared" si="38"/>
        <v>hE</v>
      </c>
      <c r="AS13" s="58" t="str">
        <f t="shared" si="39"/>
        <v>sE</v>
      </c>
      <c r="AT13" s="58" t="str">
        <f t="shared" si="40"/>
        <v>jE</v>
      </c>
      <c r="AU13" s="58" t="str">
        <f t="shared" si="41"/>
        <v>yE</v>
      </c>
      <c r="AV13" s="58" t="str">
        <f t="shared" si="42"/>
        <v>lE</v>
      </c>
      <c r="AW13" s="58" t="str">
        <f t="shared" si="43"/>
        <v>dE</v>
      </c>
      <c r="AX13" s="58" t="str">
        <f t="shared" si="44"/>
        <v>nE</v>
      </c>
      <c r="AY13" s="58" t="str">
        <f t="shared" si="45"/>
        <v>cE</v>
      </c>
      <c r="AZ13" s="58" t="str">
        <f t="shared" si="46"/>
        <v>bE</v>
      </c>
      <c r="BA13" s="58" t="str">
        <f t="shared" si="47"/>
        <v>wE</v>
      </c>
      <c r="BB13" s="58" t="str">
        <f t="shared" si="48"/>
        <v>vE</v>
      </c>
      <c r="BC13" s="58" t="str">
        <f t="shared" si="49"/>
        <v>gE</v>
      </c>
      <c r="BD13" s="58" t="str">
        <f t="shared" si="50"/>
        <v>pE</v>
      </c>
      <c r="BE13" s="93" t="str">
        <f t="shared" si="51"/>
        <v>eE</v>
      </c>
      <c r="BG13" s="63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59"/>
    </row>
    <row r="14" spans="1:84" x14ac:dyDescent="0.35">
      <c r="A14" s="32" t="s">
        <v>592</v>
      </c>
      <c r="B14" s="33" t="s">
        <v>395</v>
      </c>
      <c r="C14" s="1"/>
      <c r="D14" s="39" t="str">
        <f>TRIM(n_IL06)</f>
        <v>H</v>
      </c>
      <c r="E14" s="48" t="s">
        <v>397</v>
      </c>
      <c r="F14" s="49" t="s">
        <v>398</v>
      </c>
      <c r="G14" s="49" t="s">
        <v>399</v>
      </c>
      <c r="H14" s="49" t="s">
        <v>400</v>
      </c>
      <c r="I14" s="49" t="s">
        <v>401</v>
      </c>
      <c r="J14" s="49" t="s">
        <v>402</v>
      </c>
      <c r="K14" s="49" t="s">
        <v>403</v>
      </c>
      <c r="L14" s="49" t="s">
        <v>404</v>
      </c>
      <c r="M14" s="49" t="s">
        <v>405</v>
      </c>
      <c r="N14" s="49" t="s">
        <v>406</v>
      </c>
      <c r="O14" s="49" t="s">
        <v>407</v>
      </c>
      <c r="P14" s="49" t="s">
        <v>408</v>
      </c>
      <c r="Q14" s="49" t="s">
        <v>409</v>
      </c>
      <c r="R14" s="49" t="s">
        <v>410</v>
      </c>
      <c r="S14" s="49" t="s">
        <v>411</v>
      </c>
      <c r="T14" s="49" t="s">
        <v>412</v>
      </c>
      <c r="U14" s="49" t="s">
        <v>413</v>
      </c>
      <c r="V14" s="49" t="s">
        <v>414</v>
      </c>
      <c r="W14" s="49" t="s">
        <v>415</v>
      </c>
      <c r="X14" s="49" t="s">
        <v>416</v>
      </c>
      <c r="Y14" s="49" t="s">
        <v>417</v>
      </c>
      <c r="Z14" s="49" t="s">
        <v>418</v>
      </c>
      <c r="AA14" s="49" t="s">
        <v>419</v>
      </c>
      <c r="AB14" s="49" t="s">
        <v>420</v>
      </c>
      <c r="AC14" s="49" t="s">
        <v>421</v>
      </c>
      <c r="AD14" s="50" t="s">
        <v>422</v>
      </c>
      <c r="AF14" s="54" t="str">
        <f t="shared" si="0"/>
        <v>aH</v>
      </c>
      <c r="AG14" s="55" t="str">
        <f t="shared" si="27"/>
        <v>bH</v>
      </c>
      <c r="AH14" s="55" t="str">
        <f t="shared" si="28"/>
        <v>cH</v>
      </c>
      <c r="AI14" s="55" t="str">
        <f t="shared" si="29"/>
        <v>dH</v>
      </c>
      <c r="AJ14" s="55" t="str">
        <f t="shared" si="30"/>
        <v>eH</v>
      </c>
      <c r="AK14" s="55" t="str">
        <f t="shared" si="31"/>
        <v>fH</v>
      </c>
      <c r="AL14" s="55" t="str">
        <f t="shared" si="32"/>
        <v>gH</v>
      </c>
      <c r="AM14" s="60" t="str">
        <f t="shared" si="33"/>
        <v>hH</v>
      </c>
      <c r="AN14" s="55" t="str">
        <f t="shared" si="34"/>
        <v>iH</v>
      </c>
      <c r="AO14" s="55" t="str">
        <f t="shared" si="35"/>
        <v>jH</v>
      </c>
      <c r="AP14" s="55" t="str">
        <f t="shared" si="36"/>
        <v>kH</v>
      </c>
      <c r="AQ14" s="55" t="str">
        <f t="shared" si="37"/>
        <v>lH</v>
      </c>
      <c r="AR14" s="55" t="str">
        <f t="shared" si="38"/>
        <v>mH</v>
      </c>
      <c r="AS14" s="55" t="str">
        <f t="shared" si="39"/>
        <v>nH</v>
      </c>
      <c r="AT14" s="55" t="str">
        <f t="shared" si="40"/>
        <v>oH</v>
      </c>
      <c r="AU14" s="55" t="str">
        <f t="shared" si="41"/>
        <v>pH</v>
      </c>
      <c r="AV14" s="55" t="str">
        <f t="shared" si="42"/>
        <v>qH</v>
      </c>
      <c r="AW14" s="55" t="str">
        <f t="shared" si="43"/>
        <v>rH</v>
      </c>
      <c r="AX14" s="55" t="str">
        <f t="shared" si="44"/>
        <v>sH</v>
      </c>
      <c r="AY14" s="55" t="str">
        <f t="shared" si="45"/>
        <v>tH</v>
      </c>
      <c r="AZ14" s="55" t="str">
        <f t="shared" si="46"/>
        <v>uH</v>
      </c>
      <c r="BA14" s="55" t="str">
        <f t="shared" si="47"/>
        <v>vH</v>
      </c>
      <c r="BB14" s="55" t="str">
        <f t="shared" si="48"/>
        <v>wH</v>
      </c>
      <c r="BC14" s="55" t="str">
        <f t="shared" si="49"/>
        <v>xH</v>
      </c>
      <c r="BD14" s="55" t="str">
        <f t="shared" si="50"/>
        <v>yH</v>
      </c>
      <c r="BE14" s="94" t="str">
        <f t="shared" si="51"/>
        <v>zH</v>
      </c>
      <c r="BG14" s="62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56"/>
    </row>
    <row r="15" spans="1:84" x14ac:dyDescent="0.35">
      <c r="A15" s="34" t="s">
        <v>592</v>
      </c>
      <c r="B15" s="33" t="s">
        <v>396</v>
      </c>
      <c r="C15" s="1"/>
      <c r="D15" s="40" t="str">
        <f>TRIM(n_OL06)</f>
        <v>A</v>
      </c>
      <c r="E15" s="51" t="str">
        <f>LOWER(Enigma06!AH43)</f>
        <v>j</v>
      </c>
      <c r="F15" s="52" t="str">
        <f>LOWER(Enigma06!AI43)</f>
        <v>r</v>
      </c>
      <c r="G15" s="52" t="str">
        <f>LOWER(Enigma06!AJ43)</f>
        <v>m</v>
      </c>
      <c r="H15" s="52" t="str">
        <f>LOWER(Enigma06!AK43)</f>
        <v>f</v>
      </c>
      <c r="I15" s="52" t="str">
        <f>LOWER(Enigma06!AL43)</f>
        <v>q</v>
      </c>
      <c r="J15" s="52" t="str">
        <f>LOWER(Enigma06!AM43)</f>
        <v>d</v>
      </c>
      <c r="K15" s="52" t="str">
        <f>LOWER(Enigma06!AN43)</f>
        <v>s</v>
      </c>
      <c r="L15" s="52" t="str">
        <f>LOWER(Enigma06!AO43)</f>
        <v>p</v>
      </c>
      <c r="M15" s="52" t="str">
        <f>LOWER(Enigma06!AP43)</f>
        <v>z</v>
      </c>
      <c r="N15" s="52" t="str">
        <f>LOWER(Enigma06!AQ43)</f>
        <v>a</v>
      </c>
      <c r="O15" s="52" t="str">
        <f>LOWER(Enigma06!AR43)</f>
        <v>l</v>
      </c>
      <c r="P15" s="52" t="str">
        <f>LOWER(Enigma06!AS43)</f>
        <v>k</v>
      </c>
      <c r="Q15" s="52" t="str">
        <f>LOWER(Enigma06!AT43)</f>
        <v>c</v>
      </c>
      <c r="R15" s="52" t="str">
        <f>LOWER(Enigma06!AU43)</f>
        <v>w</v>
      </c>
      <c r="S15" s="52" t="str">
        <f>LOWER(Enigma06!AV43)</f>
        <v>y</v>
      </c>
      <c r="T15" s="52" t="str">
        <f>LOWER(Enigma06!AW43)</f>
        <v>h</v>
      </c>
      <c r="U15" s="52" t="str">
        <f>LOWER(Enigma06!AX43)</f>
        <v>e</v>
      </c>
      <c r="V15" s="52" t="str">
        <f>LOWER(Enigma06!AY43)</f>
        <v>b</v>
      </c>
      <c r="W15" s="52" t="str">
        <f>LOWER(Enigma06!AZ43)</f>
        <v>g</v>
      </c>
      <c r="X15" s="52" t="str">
        <f>LOWER(Enigma06!BA43)</f>
        <v>v</v>
      </c>
      <c r="Y15" s="52" t="str">
        <f>LOWER(Enigma06!BB43)</f>
        <v>x</v>
      </c>
      <c r="Z15" s="52" t="str">
        <f>LOWER(Enigma06!BC43)</f>
        <v>t</v>
      </c>
      <c r="AA15" s="52" t="str">
        <f>LOWER(Enigma06!BD43)</f>
        <v>n</v>
      </c>
      <c r="AB15" s="52" t="str">
        <f>LOWER(Enigma06!BE43)</f>
        <v>u</v>
      </c>
      <c r="AC15" s="52" t="str">
        <f>LOWER(Enigma06!BF43)</f>
        <v>o</v>
      </c>
      <c r="AD15" s="53" t="str">
        <f>LOWER(Enigma06!BG43)</f>
        <v>i</v>
      </c>
      <c r="AF15" s="57" t="str">
        <f t="shared" si="0"/>
        <v>jA</v>
      </c>
      <c r="AG15" s="58" t="str">
        <f t="shared" si="27"/>
        <v>rA</v>
      </c>
      <c r="AH15" s="58" t="str">
        <f t="shared" si="28"/>
        <v>mA</v>
      </c>
      <c r="AI15" s="58" t="str">
        <f t="shared" si="29"/>
        <v>fA</v>
      </c>
      <c r="AJ15" s="58" t="str">
        <f t="shared" si="30"/>
        <v>qA</v>
      </c>
      <c r="AK15" s="58" t="str">
        <f t="shared" si="31"/>
        <v>dA</v>
      </c>
      <c r="AL15" s="58" t="str">
        <f t="shared" si="32"/>
        <v>sA</v>
      </c>
      <c r="AM15" s="61" t="str">
        <f t="shared" si="33"/>
        <v>pA</v>
      </c>
      <c r="AN15" s="58" t="str">
        <f t="shared" si="34"/>
        <v>zA</v>
      </c>
      <c r="AO15" s="58" t="str">
        <f t="shared" si="35"/>
        <v>aA</v>
      </c>
      <c r="AP15" s="58" t="str">
        <f t="shared" si="36"/>
        <v>lA</v>
      </c>
      <c r="AQ15" s="58" t="str">
        <f t="shared" si="37"/>
        <v>kA</v>
      </c>
      <c r="AR15" s="58" t="str">
        <f t="shared" si="38"/>
        <v>cA</v>
      </c>
      <c r="AS15" s="58" t="str">
        <f t="shared" si="39"/>
        <v>wA</v>
      </c>
      <c r="AT15" s="58" t="str">
        <f t="shared" si="40"/>
        <v>yA</v>
      </c>
      <c r="AU15" s="58" t="str">
        <f t="shared" si="41"/>
        <v>hA</v>
      </c>
      <c r="AV15" s="58" t="str">
        <f t="shared" si="42"/>
        <v>eA</v>
      </c>
      <c r="AW15" s="58" t="str">
        <f t="shared" si="43"/>
        <v>bA</v>
      </c>
      <c r="AX15" s="58" t="str">
        <f t="shared" si="44"/>
        <v>gA</v>
      </c>
      <c r="AY15" s="58" t="str">
        <f t="shared" si="45"/>
        <v>vA</v>
      </c>
      <c r="AZ15" s="58" t="str">
        <f t="shared" si="46"/>
        <v>xA</v>
      </c>
      <c r="BA15" s="58" t="str">
        <f t="shared" si="47"/>
        <v>tA</v>
      </c>
      <c r="BB15" s="58" t="str">
        <f t="shared" si="48"/>
        <v>nA</v>
      </c>
      <c r="BC15" s="58" t="str">
        <f t="shared" si="49"/>
        <v>uA</v>
      </c>
      <c r="BD15" s="58" t="str">
        <f t="shared" si="50"/>
        <v>oA</v>
      </c>
      <c r="BE15" s="93" t="str">
        <f t="shared" si="51"/>
        <v>iA</v>
      </c>
      <c r="BG15" s="63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1"/>
      <c r="CB15" s="61"/>
      <c r="CC15" s="61"/>
      <c r="CD15" s="61"/>
      <c r="CE15" s="61"/>
      <c r="CF15" s="59"/>
    </row>
    <row r="16" spans="1:84" x14ac:dyDescent="0.35">
      <c r="A16" s="32" t="s">
        <v>593</v>
      </c>
      <c r="B16" s="33" t="s">
        <v>395</v>
      </c>
      <c r="C16" s="1"/>
      <c r="D16" s="39" t="str">
        <f>TRIM(n_IL07)</f>
        <v>E</v>
      </c>
      <c r="E16" s="48" t="s">
        <v>397</v>
      </c>
      <c r="F16" s="49" t="s">
        <v>398</v>
      </c>
      <c r="G16" s="49" t="s">
        <v>399</v>
      </c>
      <c r="H16" s="49" t="s">
        <v>400</v>
      </c>
      <c r="I16" s="49" t="s">
        <v>401</v>
      </c>
      <c r="J16" s="49" t="s">
        <v>402</v>
      </c>
      <c r="K16" s="49" t="s">
        <v>403</v>
      </c>
      <c r="L16" s="49" t="s">
        <v>404</v>
      </c>
      <c r="M16" s="49" t="s">
        <v>405</v>
      </c>
      <c r="N16" s="49" t="s">
        <v>406</v>
      </c>
      <c r="O16" s="49" t="s">
        <v>407</v>
      </c>
      <c r="P16" s="49" t="s">
        <v>408</v>
      </c>
      <c r="Q16" s="49" t="s">
        <v>409</v>
      </c>
      <c r="R16" s="49" t="s">
        <v>410</v>
      </c>
      <c r="S16" s="49" t="s">
        <v>411</v>
      </c>
      <c r="T16" s="49" t="s">
        <v>412</v>
      </c>
      <c r="U16" s="49" t="s">
        <v>413</v>
      </c>
      <c r="V16" s="49" t="s">
        <v>414</v>
      </c>
      <c r="W16" s="49" t="s">
        <v>415</v>
      </c>
      <c r="X16" s="49" t="s">
        <v>416</v>
      </c>
      <c r="Y16" s="49" t="s">
        <v>417</v>
      </c>
      <c r="Z16" s="49" t="s">
        <v>418</v>
      </c>
      <c r="AA16" s="49" t="s">
        <v>419</v>
      </c>
      <c r="AB16" s="49" t="s">
        <v>420</v>
      </c>
      <c r="AC16" s="49" t="s">
        <v>421</v>
      </c>
      <c r="AD16" s="50" t="s">
        <v>422</v>
      </c>
      <c r="AF16" s="54" t="str">
        <f t="shared" si="0"/>
        <v>aE</v>
      </c>
      <c r="AG16" s="55" t="str">
        <f t="shared" si="27"/>
        <v>bE</v>
      </c>
      <c r="AH16" s="55" t="str">
        <f t="shared" si="28"/>
        <v>cE</v>
      </c>
      <c r="AI16" s="55" t="str">
        <f t="shared" si="29"/>
        <v>dE</v>
      </c>
      <c r="AJ16" s="55" t="str">
        <f t="shared" si="30"/>
        <v>eE</v>
      </c>
      <c r="AK16" s="55" t="str">
        <f t="shared" si="31"/>
        <v>fE</v>
      </c>
      <c r="AL16" s="55" t="str">
        <f t="shared" si="32"/>
        <v>gE</v>
      </c>
      <c r="AM16" s="55" t="str">
        <f t="shared" si="33"/>
        <v>hE</v>
      </c>
      <c r="AN16" s="55" t="str">
        <f t="shared" si="34"/>
        <v>iE</v>
      </c>
      <c r="AO16" s="55" t="str">
        <f t="shared" si="35"/>
        <v>jE</v>
      </c>
      <c r="AP16" s="55" t="str">
        <f t="shared" si="36"/>
        <v>kE</v>
      </c>
      <c r="AQ16" s="55" t="str">
        <f t="shared" si="37"/>
        <v>lE</v>
      </c>
      <c r="AR16" s="60" t="str">
        <f t="shared" si="38"/>
        <v>mE</v>
      </c>
      <c r="AS16" s="55" t="str">
        <f t="shared" si="39"/>
        <v>nE</v>
      </c>
      <c r="AT16" s="55" t="str">
        <f t="shared" si="40"/>
        <v>oE</v>
      </c>
      <c r="AU16" s="55" t="str">
        <f t="shared" si="41"/>
        <v>pE</v>
      </c>
      <c r="AV16" s="55" t="str">
        <f t="shared" si="42"/>
        <v>qE</v>
      </c>
      <c r="AW16" s="55" t="str">
        <f t="shared" si="43"/>
        <v>rE</v>
      </c>
      <c r="AX16" s="55" t="str">
        <f t="shared" si="44"/>
        <v>sE</v>
      </c>
      <c r="AY16" s="55" t="str">
        <f t="shared" si="45"/>
        <v>tE</v>
      </c>
      <c r="AZ16" s="55" t="str">
        <f t="shared" si="46"/>
        <v>uE</v>
      </c>
      <c r="BA16" s="55" t="str">
        <f t="shared" si="47"/>
        <v>vE</v>
      </c>
      <c r="BB16" s="55" t="str">
        <f t="shared" si="48"/>
        <v>wE</v>
      </c>
      <c r="BC16" s="55" t="str">
        <f t="shared" si="49"/>
        <v>xE</v>
      </c>
      <c r="BD16" s="55" t="str">
        <f t="shared" si="50"/>
        <v>yE</v>
      </c>
      <c r="BE16" s="94" t="str">
        <f t="shared" si="51"/>
        <v>zE</v>
      </c>
      <c r="BG16" s="62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56"/>
    </row>
    <row r="17" spans="1:84" x14ac:dyDescent="0.35">
      <c r="A17" s="34" t="s">
        <v>593</v>
      </c>
      <c r="B17" s="33" t="s">
        <v>396</v>
      </c>
      <c r="C17" s="1"/>
      <c r="D17" s="40" t="str">
        <f>TRIM(n_OL07)</f>
        <v>H</v>
      </c>
      <c r="E17" s="51" t="str">
        <f>LOWER(Enigma07!AH43)</f>
        <v>f</v>
      </c>
      <c r="F17" s="52" t="str">
        <f>LOWER(Enigma07!AI43)</f>
        <v>r</v>
      </c>
      <c r="G17" s="52" t="str">
        <f>LOWER(Enigma07!AJ43)</f>
        <v>l</v>
      </c>
      <c r="H17" s="52" t="str">
        <f>LOWER(Enigma07!AK43)</f>
        <v>e</v>
      </c>
      <c r="I17" s="52" t="str">
        <f>LOWER(Enigma07!AL43)</f>
        <v>d</v>
      </c>
      <c r="J17" s="52" t="str">
        <f>LOWER(Enigma07!AM43)</f>
        <v>a</v>
      </c>
      <c r="K17" s="52" t="str">
        <f>LOWER(Enigma07!AN43)</f>
        <v>s</v>
      </c>
      <c r="L17" s="52" t="str">
        <f>LOWER(Enigma07!AO43)</f>
        <v>m</v>
      </c>
      <c r="M17" s="52" t="str">
        <f>LOWER(Enigma07!AP43)</f>
        <v>u</v>
      </c>
      <c r="N17" s="52" t="str">
        <f>LOWER(Enigma07!AQ43)</f>
        <v>w</v>
      </c>
      <c r="O17" s="52" t="str">
        <f>LOWER(Enigma07!AR43)</f>
        <v>x</v>
      </c>
      <c r="P17" s="52" t="str">
        <f>LOWER(Enigma07!AS43)</f>
        <v>c</v>
      </c>
      <c r="Q17" s="52" t="str">
        <f>LOWER(Enigma07!AT43)</f>
        <v>h</v>
      </c>
      <c r="R17" s="52" t="str">
        <f>LOWER(Enigma07!AU43)</f>
        <v>o</v>
      </c>
      <c r="S17" s="52" t="str">
        <f>LOWER(Enigma07!AV43)</f>
        <v>n</v>
      </c>
      <c r="T17" s="52" t="str">
        <f>LOWER(Enigma07!AW43)</f>
        <v>v</v>
      </c>
      <c r="U17" s="52" t="str">
        <f>LOWER(Enigma07!AX43)</f>
        <v>y</v>
      </c>
      <c r="V17" s="52" t="str">
        <f>LOWER(Enigma07!AY43)</f>
        <v>b</v>
      </c>
      <c r="W17" s="52" t="str">
        <f>LOWER(Enigma07!AZ43)</f>
        <v>g</v>
      </c>
      <c r="X17" s="52" t="str">
        <f>LOWER(Enigma07!BA43)</f>
        <v>z</v>
      </c>
      <c r="Y17" s="52" t="str">
        <f>LOWER(Enigma07!BB43)</f>
        <v>i</v>
      </c>
      <c r="Z17" s="52" t="str">
        <f>LOWER(Enigma07!BC43)</f>
        <v>p</v>
      </c>
      <c r="AA17" s="52" t="str">
        <f>LOWER(Enigma07!BD43)</f>
        <v>j</v>
      </c>
      <c r="AB17" s="52" t="str">
        <f>LOWER(Enigma07!BE43)</f>
        <v>k</v>
      </c>
      <c r="AC17" s="52" t="str">
        <f>LOWER(Enigma07!BF43)</f>
        <v>q</v>
      </c>
      <c r="AD17" s="53" t="str">
        <f>LOWER(Enigma07!BG43)</f>
        <v>t</v>
      </c>
      <c r="AF17" s="57" t="str">
        <f t="shared" si="0"/>
        <v>fH</v>
      </c>
      <c r="AG17" s="58" t="str">
        <f t="shared" si="27"/>
        <v>rH</v>
      </c>
      <c r="AH17" s="58" t="str">
        <f t="shared" si="28"/>
        <v>lH</v>
      </c>
      <c r="AI17" s="58" t="str">
        <f t="shared" si="29"/>
        <v>eH</v>
      </c>
      <c r="AJ17" s="58" t="str">
        <f t="shared" si="30"/>
        <v>dH</v>
      </c>
      <c r="AK17" s="58" t="str">
        <f t="shared" si="31"/>
        <v>aH</v>
      </c>
      <c r="AL17" s="58" t="str">
        <f t="shared" si="32"/>
        <v>sH</v>
      </c>
      <c r="AM17" s="58" t="str">
        <f t="shared" si="33"/>
        <v>mH</v>
      </c>
      <c r="AN17" s="58" t="str">
        <f t="shared" si="34"/>
        <v>uH</v>
      </c>
      <c r="AO17" s="58" t="str">
        <f t="shared" si="35"/>
        <v>wH</v>
      </c>
      <c r="AP17" s="58" t="str">
        <f t="shared" si="36"/>
        <v>xH</v>
      </c>
      <c r="AQ17" s="58" t="str">
        <f t="shared" si="37"/>
        <v>cH</v>
      </c>
      <c r="AR17" s="61" t="str">
        <f t="shared" si="38"/>
        <v>hH</v>
      </c>
      <c r="AS17" s="58" t="str">
        <f t="shared" si="39"/>
        <v>oH</v>
      </c>
      <c r="AT17" s="58" t="str">
        <f t="shared" si="40"/>
        <v>nH</v>
      </c>
      <c r="AU17" s="58" t="str">
        <f t="shared" si="41"/>
        <v>vH</v>
      </c>
      <c r="AV17" s="58" t="str">
        <f t="shared" si="42"/>
        <v>yH</v>
      </c>
      <c r="AW17" s="58" t="str">
        <f t="shared" si="43"/>
        <v>bH</v>
      </c>
      <c r="AX17" s="58" t="str">
        <f t="shared" si="44"/>
        <v>gH</v>
      </c>
      <c r="AY17" s="58" t="str">
        <f t="shared" si="45"/>
        <v>zH</v>
      </c>
      <c r="AZ17" s="58" t="str">
        <f t="shared" si="46"/>
        <v>iH</v>
      </c>
      <c r="BA17" s="58" t="str">
        <f t="shared" si="47"/>
        <v>pH</v>
      </c>
      <c r="BB17" s="58" t="str">
        <f t="shared" si="48"/>
        <v>jH</v>
      </c>
      <c r="BC17" s="58" t="str">
        <f t="shared" si="49"/>
        <v>kH</v>
      </c>
      <c r="BD17" s="58" t="str">
        <f t="shared" si="50"/>
        <v>qH</v>
      </c>
      <c r="BE17" s="93" t="str">
        <f t="shared" si="51"/>
        <v>tH</v>
      </c>
      <c r="BG17" s="63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1"/>
      <c r="CB17" s="61"/>
      <c r="CC17" s="61"/>
      <c r="CD17" s="61"/>
      <c r="CE17" s="61"/>
      <c r="CF17" s="59"/>
    </row>
    <row r="18" spans="1:84" x14ac:dyDescent="0.35">
      <c r="A18" s="32" t="s">
        <v>594</v>
      </c>
      <c r="B18" s="33" t="s">
        <v>395</v>
      </c>
      <c r="C18" s="1"/>
      <c r="D18" s="39" t="str">
        <f>TRIM(n_IL08)</f>
        <v>A</v>
      </c>
      <c r="E18" s="48" t="s">
        <v>397</v>
      </c>
      <c r="F18" s="49" t="s">
        <v>398</v>
      </c>
      <c r="G18" s="49" t="s">
        <v>399</v>
      </c>
      <c r="H18" s="49" t="s">
        <v>400</v>
      </c>
      <c r="I18" s="49" t="s">
        <v>401</v>
      </c>
      <c r="J18" s="49" t="s">
        <v>402</v>
      </c>
      <c r="K18" s="49" t="s">
        <v>403</v>
      </c>
      <c r="L18" s="49" t="s">
        <v>404</v>
      </c>
      <c r="M18" s="49" t="s">
        <v>405</v>
      </c>
      <c r="N18" s="49" t="s">
        <v>406</v>
      </c>
      <c r="O18" s="49" t="s">
        <v>407</v>
      </c>
      <c r="P18" s="49" t="s">
        <v>408</v>
      </c>
      <c r="Q18" s="49" t="s">
        <v>409</v>
      </c>
      <c r="R18" s="49" t="s">
        <v>410</v>
      </c>
      <c r="S18" s="49" t="s">
        <v>411</v>
      </c>
      <c r="T18" s="49" t="s">
        <v>412</v>
      </c>
      <c r="U18" s="49" t="s">
        <v>413</v>
      </c>
      <c r="V18" s="49" t="s">
        <v>414</v>
      </c>
      <c r="W18" s="49" t="s">
        <v>415</v>
      </c>
      <c r="X18" s="49" t="s">
        <v>416</v>
      </c>
      <c r="Y18" s="49" t="s">
        <v>417</v>
      </c>
      <c r="Z18" s="49" t="s">
        <v>418</v>
      </c>
      <c r="AA18" s="49" t="s">
        <v>419</v>
      </c>
      <c r="AB18" s="49" t="s">
        <v>420</v>
      </c>
      <c r="AC18" s="49" t="s">
        <v>421</v>
      </c>
      <c r="AD18" s="50" t="s">
        <v>422</v>
      </c>
      <c r="AF18" s="54" t="str">
        <f t="shared" si="0"/>
        <v>aA</v>
      </c>
      <c r="AG18" s="55" t="str">
        <f t="shared" ref="AG18:AG21" si="52">F18&amp;$D18</f>
        <v>bA</v>
      </c>
      <c r="AH18" s="55" t="str">
        <f t="shared" ref="AH18:AH21" si="53">G18&amp;$D18</f>
        <v>cA</v>
      </c>
      <c r="AI18" s="55" t="str">
        <f t="shared" ref="AI18:AI21" si="54">H18&amp;$D18</f>
        <v>dA</v>
      </c>
      <c r="AJ18" s="55" t="str">
        <f t="shared" ref="AJ18:AJ21" si="55">I18&amp;$D18</f>
        <v>eA</v>
      </c>
      <c r="AK18" s="55" t="str">
        <f t="shared" ref="AK18:AK21" si="56">J18&amp;$D18</f>
        <v>fA</v>
      </c>
      <c r="AL18" s="55" t="str">
        <f t="shared" ref="AL18:AL21" si="57">K18&amp;$D18</f>
        <v>gA</v>
      </c>
      <c r="AM18" s="55" t="str">
        <f t="shared" ref="AM18:AM21" si="58">L18&amp;$D18</f>
        <v>hA</v>
      </c>
      <c r="AN18" s="55" t="str">
        <f t="shared" ref="AN18:AN21" si="59">M18&amp;$D18</f>
        <v>iA</v>
      </c>
      <c r="AO18" s="55" t="str">
        <f t="shared" ref="AO18:AO21" si="60">N18&amp;$D18</f>
        <v>jA</v>
      </c>
      <c r="AP18" s="55" t="str">
        <f t="shared" ref="AP18:AP21" si="61">O18&amp;$D18</f>
        <v>kA</v>
      </c>
      <c r="AQ18" s="55" t="str">
        <f t="shared" ref="AQ18:AQ21" si="62">P18&amp;$D18</f>
        <v>lA</v>
      </c>
      <c r="AR18" s="55" t="str">
        <f t="shared" ref="AR18:AR21" si="63">Q18&amp;$D18</f>
        <v>mA</v>
      </c>
      <c r="AS18" s="55" t="str">
        <f t="shared" ref="AS18:AS21" si="64">R18&amp;$D18</f>
        <v>nA</v>
      </c>
      <c r="AT18" s="55" t="str">
        <f t="shared" ref="AT18:AT21" si="65">S18&amp;$D18</f>
        <v>oA</v>
      </c>
      <c r="AU18" s="60" t="str">
        <f t="shared" ref="AU18:AU21" si="66">T18&amp;$D18</f>
        <v>pA</v>
      </c>
      <c r="AV18" s="55" t="str">
        <f t="shared" ref="AV18:AV21" si="67">U18&amp;$D18</f>
        <v>qA</v>
      </c>
      <c r="AW18" s="55" t="str">
        <f t="shared" ref="AW18:AW21" si="68">V18&amp;$D18</f>
        <v>rA</v>
      </c>
      <c r="AX18" s="55" t="str">
        <f t="shared" ref="AX18:AX21" si="69">W18&amp;$D18</f>
        <v>sA</v>
      </c>
      <c r="AY18" s="55" t="str">
        <f t="shared" ref="AY18:AY21" si="70">X18&amp;$D18</f>
        <v>tA</v>
      </c>
      <c r="AZ18" s="55" t="str">
        <f t="shared" ref="AZ18:AZ21" si="71">Y18&amp;$D18</f>
        <v>uA</v>
      </c>
      <c r="BA18" s="55" t="str">
        <f t="shared" ref="BA18:BA21" si="72">Z18&amp;$D18</f>
        <v>vA</v>
      </c>
      <c r="BB18" s="55" t="str">
        <f t="shared" ref="BB18:BB21" si="73">AA18&amp;$D18</f>
        <v>wA</v>
      </c>
      <c r="BC18" s="55" t="str">
        <f t="shared" ref="BC18:BC21" si="74">AB18&amp;$D18</f>
        <v>xA</v>
      </c>
      <c r="BD18" s="55" t="str">
        <f t="shared" ref="BD18:BD21" si="75">AC18&amp;$D18</f>
        <v>yA</v>
      </c>
      <c r="BE18" s="94" t="str">
        <f t="shared" ref="BE18:BE21" si="76">AD18&amp;$D18</f>
        <v>zA</v>
      </c>
      <c r="BG18" s="62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56"/>
    </row>
    <row r="19" spans="1:84" x14ac:dyDescent="0.35">
      <c r="A19" s="34" t="s">
        <v>594</v>
      </c>
      <c r="B19" s="33" t="s">
        <v>396</v>
      </c>
      <c r="C19" s="1"/>
      <c r="D19" s="40" t="str">
        <f>TRIM(n_OL08)</f>
        <v>D</v>
      </c>
      <c r="E19" s="51" t="str">
        <f>LOWER(Enigma08!AH43)</f>
        <v>y</v>
      </c>
      <c r="F19" s="52" t="str">
        <f>LOWER(Enigma08!AI43)</f>
        <v>d</v>
      </c>
      <c r="G19" s="52" t="str">
        <f>LOWER(Enigma08!AJ43)</f>
        <v>j</v>
      </c>
      <c r="H19" s="52" t="str">
        <f>LOWER(Enigma08!AK43)</f>
        <v>b</v>
      </c>
      <c r="I19" s="52" t="str">
        <f>LOWER(Enigma08!AL43)</f>
        <v>f</v>
      </c>
      <c r="J19" s="52" t="str">
        <f>LOWER(Enigma08!AM43)</f>
        <v>e</v>
      </c>
      <c r="K19" s="52" t="str">
        <f>LOWER(Enigma08!AN43)</f>
        <v>o</v>
      </c>
      <c r="L19" s="52" t="str">
        <f>LOWER(Enigma08!AO43)</f>
        <v>l</v>
      </c>
      <c r="M19" s="52" t="str">
        <f>LOWER(Enigma08!AP43)</f>
        <v>q</v>
      </c>
      <c r="N19" s="52" t="str">
        <f>LOWER(Enigma08!AQ43)</f>
        <v>c</v>
      </c>
      <c r="O19" s="52" t="str">
        <f>LOWER(Enigma08!AR43)</f>
        <v>s</v>
      </c>
      <c r="P19" s="52" t="str">
        <f>LOWER(Enigma08!AS43)</f>
        <v>h</v>
      </c>
      <c r="Q19" s="52" t="str">
        <f>LOWER(Enigma08!AT43)</f>
        <v>v</v>
      </c>
      <c r="R19" s="52" t="str">
        <f>LOWER(Enigma08!AU43)</f>
        <v>w</v>
      </c>
      <c r="S19" s="52" t="str">
        <f>LOWER(Enigma08!AV43)</f>
        <v>g</v>
      </c>
      <c r="T19" s="52" t="str">
        <f>LOWER(Enigma08!AW43)</f>
        <v>r</v>
      </c>
      <c r="U19" s="52" t="str">
        <f>LOWER(Enigma08!AX43)</f>
        <v>i</v>
      </c>
      <c r="V19" s="52" t="str">
        <f>LOWER(Enigma08!AY43)</f>
        <v>p</v>
      </c>
      <c r="W19" s="52" t="str">
        <f>LOWER(Enigma08!AZ43)</f>
        <v>k</v>
      </c>
      <c r="X19" s="52" t="str">
        <f>LOWER(Enigma08!BA43)</f>
        <v>z</v>
      </c>
      <c r="Y19" s="52" t="str">
        <f>LOWER(Enigma08!BB43)</f>
        <v>x</v>
      </c>
      <c r="Z19" s="52" t="str">
        <f>LOWER(Enigma08!BC43)</f>
        <v>m</v>
      </c>
      <c r="AA19" s="52" t="str">
        <f>LOWER(Enigma08!BD43)</f>
        <v>n</v>
      </c>
      <c r="AB19" s="52" t="str">
        <f>LOWER(Enigma08!BE43)</f>
        <v>u</v>
      </c>
      <c r="AC19" s="52" t="str">
        <f>LOWER(Enigma08!BF43)</f>
        <v>a</v>
      </c>
      <c r="AD19" s="53" t="str">
        <f>LOWER(Enigma08!BG43)</f>
        <v>t</v>
      </c>
      <c r="AF19" s="57" t="str">
        <f t="shared" si="0"/>
        <v>yD</v>
      </c>
      <c r="AG19" s="58" t="str">
        <f t="shared" si="52"/>
        <v>dD</v>
      </c>
      <c r="AH19" s="58" t="str">
        <f t="shared" si="53"/>
        <v>jD</v>
      </c>
      <c r="AI19" s="58" t="str">
        <f t="shared" si="54"/>
        <v>bD</v>
      </c>
      <c r="AJ19" s="58" t="str">
        <f t="shared" si="55"/>
        <v>fD</v>
      </c>
      <c r="AK19" s="58" t="str">
        <f t="shared" si="56"/>
        <v>eD</v>
      </c>
      <c r="AL19" s="58" t="str">
        <f t="shared" si="57"/>
        <v>oD</v>
      </c>
      <c r="AM19" s="58" t="str">
        <f t="shared" si="58"/>
        <v>lD</v>
      </c>
      <c r="AN19" s="58" t="str">
        <f t="shared" si="59"/>
        <v>qD</v>
      </c>
      <c r="AO19" s="58" t="str">
        <f t="shared" si="60"/>
        <v>cD</v>
      </c>
      <c r="AP19" s="58" t="str">
        <f t="shared" si="61"/>
        <v>sD</v>
      </c>
      <c r="AQ19" s="58" t="str">
        <f t="shared" si="62"/>
        <v>hD</v>
      </c>
      <c r="AR19" s="58" t="str">
        <f t="shared" si="63"/>
        <v>vD</v>
      </c>
      <c r="AS19" s="58" t="str">
        <f t="shared" si="64"/>
        <v>wD</v>
      </c>
      <c r="AT19" s="58" t="str">
        <f t="shared" si="65"/>
        <v>gD</v>
      </c>
      <c r="AU19" s="61" t="str">
        <f t="shared" si="66"/>
        <v>rD</v>
      </c>
      <c r="AV19" s="58" t="str">
        <f t="shared" si="67"/>
        <v>iD</v>
      </c>
      <c r="AW19" s="58" t="str">
        <f t="shared" si="68"/>
        <v>pD</v>
      </c>
      <c r="AX19" s="58" t="str">
        <f t="shared" si="69"/>
        <v>kD</v>
      </c>
      <c r="AY19" s="58" t="str">
        <f t="shared" si="70"/>
        <v>zD</v>
      </c>
      <c r="AZ19" s="58" t="str">
        <f t="shared" si="71"/>
        <v>xD</v>
      </c>
      <c r="BA19" s="58" t="str">
        <f t="shared" si="72"/>
        <v>mD</v>
      </c>
      <c r="BB19" s="58" t="str">
        <f t="shared" si="73"/>
        <v>nD</v>
      </c>
      <c r="BC19" s="58" t="str">
        <f t="shared" si="74"/>
        <v>uD</v>
      </c>
      <c r="BD19" s="58" t="str">
        <f t="shared" si="75"/>
        <v>aD</v>
      </c>
      <c r="BE19" s="93" t="str">
        <f t="shared" si="76"/>
        <v>tD</v>
      </c>
      <c r="BG19" s="63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1"/>
      <c r="CB19" s="61"/>
      <c r="CC19" s="61"/>
      <c r="CD19" s="61"/>
      <c r="CE19" s="61"/>
      <c r="CF19" s="59"/>
    </row>
    <row r="20" spans="1:84" x14ac:dyDescent="0.35">
      <c r="A20" s="32" t="s">
        <v>595</v>
      </c>
      <c r="B20" s="33" t="s">
        <v>395</v>
      </c>
      <c r="C20" s="1"/>
      <c r="D20" s="39" t="str">
        <f>TRIM(n_IL09)</f>
        <v>D</v>
      </c>
      <c r="E20" s="48" t="s">
        <v>397</v>
      </c>
      <c r="F20" s="49" t="s">
        <v>398</v>
      </c>
      <c r="G20" s="49" t="s">
        <v>399</v>
      </c>
      <c r="H20" s="49" t="s">
        <v>400</v>
      </c>
      <c r="I20" s="49" t="s">
        <v>401</v>
      </c>
      <c r="J20" s="49" t="s">
        <v>402</v>
      </c>
      <c r="K20" s="49" t="s">
        <v>403</v>
      </c>
      <c r="L20" s="49" t="s">
        <v>404</v>
      </c>
      <c r="M20" s="49" t="s">
        <v>405</v>
      </c>
      <c r="N20" s="49" t="s">
        <v>406</v>
      </c>
      <c r="O20" s="49" t="s">
        <v>407</v>
      </c>
      <c r="P20" s="49" t="s">
        <v>408</v>
      </c>
      <c r="Q20" s="49" t="s">
        <v>409</v>
      </c>
      <c r="R20" s="49" t="s">
        <v>410</v>
      </c>
      <c r="S20" s="49" t="s">
        <v>411</v>
      </c>
      <c r="T20" s="49" t="s">
        <v>412</v>
      </c>
      <c r="U20" s="49" t="s">
        <v>413</v>
      </c>
      <c r="V20" s="49" t="s">
        <v>414</v>
      </c>
      <c r="W20" s="49" t="s">
        <v>415</v>
      </c>
      <c r="X20" s="49" t="s">
        <v>416</v>
      </c>
      <c r="Y20" s="49" t="s">
        <v>417</v>
      </c>
      <c r="Z20" s="49" t="s">
        <v>418</v>
      </c>
      <c r="AA20" s="49" t="s">
        <v>419</v>
      </c>
      <c r="AB20" s="49" t="s">
        <v>420</v>
      </c>
      <c r="AC20" s="49" t="s">
        <v>421</v>
      </c>
      <c r="AD20" s="50" t="s">
        <v>422</v>
      </c>
      <c r="AF20" s="54" t="str">
        <f t="shared" si="0"/>
        <v>aD</v>
      </c>
      <c r="AG20" s="55" t="str">
        <f t="shared" si="52"/>
        <v>bD</v>
      </c>
      <c r="AH20" s="55" t="str">
        <f t="shared" si="53"/>
        <v>cD</v>
      </c>
      <c r="AI20" s="55" t="str">
        <f t="shared" si="54"/>
        <v>dD</v>
      </c>
      <c r="AJ20" s="55" t="str">
        <f t="shared" si="55"/>
        <v>eD</v>
      </c>
      <c r="AK20" s="55" t="str">
        <f t="shared" si="56"/>
        <v>fD</v>
      </c>
      <c r="AL20" s="55" t="str">
        <f t="shared" si="57"/>
        <v>gD</v>
      </c>
      <c r="AM20" s="55" t="str">
        <f t="shared" si="58"/>
        <v>hD</v>
      </c>
      <c r="AN20" s="55" t="str">
        <f t="shared" si="59"/>
        <v>iD</v>
      </c>
      <c r="AO20" s="55" t="str">
        <f t="shared" si="60"/>
        <v>jD</v>
      </c>
      <c r="AP20" s="55" t="str">
        <f t="shared" si="61"/>
        <v>kD</v>
      </c>
      <c r="AQ20" s="55" t="str">
        <f t="shared" si="62"/>
        <v>lD</v>
      </c>
      <c r="AR20" s="55" t="str">
        <f t="shared" si="63"/>
        <v>mD</v>
      </c>
      <c r="AS20" s="55" t="str">
        <f t="shared" si="64"/>
        <v>nD</v>
      </c>
      <c r="AT20" s="55" t="str">
        <f t="shared" si="65"/>
        <v>oD</v>
      </c>
      <c r="AU20" s="55" t="str">
        <f t="shared" si="66"/>
        <v>pD</v>
      </c>
      <c r="AV20" s="55" t="str">
        <f t="shared" si="67"/>
        <v>qD</v>
      </c>
      <c r="AW20" s="60" t="str">
        <f t="shared" si="68"/>
        <v>rD</v>
      </c>
      <c r="AX20" s="55" t="str">
        <f t="shared" si="69"/>
        <v>sD</v>
      </c>
      <c r="AY20" s="55" t="str">
        <f t="shared" si="70"/>
        <v>tD</v>
      </c>
      <c r="AZ20" s="55" t="str">
        <f t="shared" si="71"/>
        <v>uD</v>
      </c>
      <c r="BA20" s="55" t="str">
        <f t="shared" si="72"/>
        <v>vD</v>
      </c>
      <c r="BB20" s="55" t="str">
        <f t="shared" si="73"/>
        <v>wD</v>
      </c>
      <c r="BC20" s="55" t="str">
        <f t="shared" si="74"/>
        <v>xD</v>
      </c>
      <c r="BD20" s="55" t="str">
        <f t="shared" si="75"/>
        <v>yD</v>
      </c>
      <c r="BE20" s="94" t="str">
        <f t="shared" si="76"/>
        <v>zD</v>
      </c>
      <c r="BG20" s="62"/>
      <c r="BH20" s="60"/>
      <c r="BI20" s="60"/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56"/>
    </row>
    <row r="21" spans="1:84" x14ac:dyDescent="0.35">
      <c r="A21" s="34" t="s">
        <v>595</v>
      </c>
      <c r="B21" s="33" t="s">
        <v>396</v>
      </c>
      <c r="C21" s="1"/>
      <c r="D21" s="40" t="str">
        <f>TRIM(n_OL09)</f>
        <v>B</v>
      </c>
      <c r="E21" s="51" t="str">
        <f>LOWER(Enigma09!AH43)</f>
        <v>n</v>
      </c>
      <c r="F21" s="52" t="str">
        <f>LOWER(Enigma09!AI43)</f>
        <v>j</v>
      </c>
      <c r="G21" s="52" t="str">
        <f>LOWER(Enigma09!AJ43)</f>
        <v>r</v>
      </c>
      <c r="H21" s="52" t="str">
        <f>LOWER(Enigma09!AK43)</f>
        <v>s</v>
      </c>
      <c r="I21" s="52" t="str">
        <f>LOWER(Enigma09!AL43)</f>
        <v>x</v>
      </c>
      <c r="J21" s="52" t="str">
        <f>LOWER(Enigma09!AM43)</f>
        <v>v</v>
      </c>
      <c r="K21" s="52" t="str">
        <f>LOWER(Enigma09!AN43)</f>
        <v>m</v>
      </c>
      <c r="L21" s="52" t="str">
        <f>LOWER(Enigma09!AO43)</f>
        <v>w</v>
      </c>
      <c r="M21" s="52" t="str">
        <f>LOWER(Enigma09!AP43)</f>
        <v>k</v>
      </c>
      <c r="N21" s="52" t="str">
        <f>LOWER(Enigma09!AQ43)</f>
        <v>b</v>
      </c>
      <c r="O21" s="52" t="str">
        <f>LOWER(Enigma09!AR43)</f>
        <v>i</v>
      </c>
      <c r="P21" s="52" t="str">
        <f>LOWER(Enigma09!AS43)</f>
        <v>q</v>
      </c>
      <c r="Q21" s="52" t="str">
        <f>LOWER(Enigma09!AT43)</f>
        <v>g</v>
      </c>
      <c r="R21" s="52" t="str">
        <f>LOWER(Enigma09!AU43)</f>
        <v>a</v>
      </c>
      <c r="S21" s="52" t="str">
        <f>LOWER(Enigma09!AV43)</f>
        <v>y</v>
      </c>
      <c r="T21" s="52" t="str">
        <f>LOWER(Enigma09!AW43)</f>
        <v>z</v>
      </c>
      <c r="U21" s="52" t="str">
        <f>LOWER(Enigma09!AX43)</f>
        <v>l</v>
      </c>
      <c r="V21" s="52" t="str">
        <f>LOWER(Enigma09!AY43)</f>
        <v>c</v>
      </c>
      <c r="W21" s="52" t="str">
        <f>LOWER(Enigma09!AZ43)</f>
        <v>d</v>
      </c>
      <c r="X21" s="52" t="str">
        <f>LOWER(Enigma09!BA43)</f>
        <v>u</v>
      </c>
      <c r="Y21" s="52" t="str">
        <f>LOWER(Enigma09!BB43)</f>
        <v>t</v>
      </c>
      <c r="Z21" s="52" t="str">
        <f>LOWER(Enigma09!BC43)</f>
        <v>f</v>
      </c>
      <c r="AA21" s="52" t="str">
        <f>LOWER(Enigma09!BD43)</f>
        <v>h</v>
      </c>
      <c r="AB21" s="52" t="str">
        <f>LOWER(Enigma09!BE43)</f>
        <v>e</v>
      </c>
      <c r="AC21" s="52" t="str">
        <f>LOWER(Enigma09!BF43)</f>
        <v>o</v>
      </c>
      <c r="AD21" s="53" t="str">
        <f>LOWER(Enigma09!BG43)</f>
        <v>p</v>
      </c>
      <c r="AF21" s="57" t="str">
        <f t="shared" si="0"/>
        <v>nB</v>
      </c>
      <c r="AG21" s="58" t="str">
        <f t="shared" si="52"/>
        <v>jB</v>
      </c>
      <c r="AH21" s="58" t="str">
        <f t="shared" si="53"/>
        <v>rB</v>
      </c>
      <c r="AI21" s="58" t="str">
        <f t="shared" si="54"/>
        <v>sB</v>
      </c>
      <c r="AJ21" s="58" t="str">
        <f t="shared" si="55"/>
        <v>xB</v>
      </c>
      <c r="AK21" s="58" t="str">
        <f t="shared" si="56"/>
        <v>vB</v>
      </c>
      <c r="AL21" s="58" t="str">
        <f t="shared" si="57"/>
        <v>mB</v>
      </c>
      <c r="AM21" s="58" t="str">
        <f t="shared" si="58"/>
        <v>wB</v>
      </c>
      <c r="AN21" s="58" t="str">
        <f t="shared" si="59"/>
        <v>kB</v>
      </c>
      <c r="AO21" s="58" t="str">
        <f t="shared" si="60"/>
        <v>bB</v>
      </c>
      <c r="AP21" s="58" t="str">
        <f t="shared" si="61"/>
        <v>iB</v>
      </c>
      <c r="AQ21" s="58" t="str">
        <f t="shared" si="62"/>
        <v>qB</v>
      </c>
      <c r="AR21" s="58" t="str">
        <f t="shared" si="63"/>
        <v>gB</v>
      </c>
      <c r="AS21" s="58" t="str">
        <f t="shared" si="64"/>
        <v>aB</v>
      </c>
      <c r="AT21" s="58" t="str">
        <f t="shared" si="65"/>
        <v>yB</v>
      </c>
      <c r="AU21" s="58" t="str">
        <f t="shared" si="66"/>
        <v>zB</v>
      </c>
      <c r="AV21" s="58" t="str">
        <f t="shared" si="67"/>
        <v>lB</v>
      </c>
      <c r="AW21" s="61" t="str">
        <f t="shared" si="68"/>
        <v>cB</v>
      </c>
      <c r="AX21" s="58" t="str">
        <f t="shared" si="69"/>
        <v>dB</v>
      </c>
      <c r="AY21" s="58" t="str">
        <f t="shared" si="70"/>
        <v>uB</v>
      </c>
      <c r="AZ21" s="58" t="str">
        <f t="shared" si="71"/>
        <v>tB</v>
      </c>
      <c r="BA21" s="58" t="str">
        <f t="shared" si="72"/>
        <v>fB</v>
      </c>
      <c r="BB21" s="58" t="str">
        <f t="shared" si="73"/>
        <v>hB</v>
      </c>
      <c r="BC21" s="58" t="str">
        <f t="shared" si="74"/>
        <v>eB</v>
      </c>
      <c r="BD21" s="58" t="str">
        <f t="shared" si="75"/>
        <v>oB</v>
      </c>
      <c r="BE21" s="93" t="str">
        <f t="shared" si="76"/>
        <v>pB</v>
      </c>
      <c r="BG21" s="63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1"/>
      <c r="CB21" s="61"/>
      <c r="CC21" s="61"/>
      <c r="CD21" s="61"/>
      <c r="CE21" s="61"/>
      <c r="CF21" s="59"/>
    </row>
    <row r="22" spans="1:84" x14ac:dyDescent="0.35">
      <c r="A22" s="32" t="s">
        <v>424</v>
      </c>
      <c r="B22" s="33" t="s">
        <v>395</v>
      </c>
      <c r="C22" s="1"/>
      <c r="D22" s="39" t="str">
        <f>TRIM(n_IL10)</f>
        <v/>
      </c>
      <c r="E22" s="48" t="s">
        <v>397</v>
      </c>
      <c r="F22" s="49" t="s">
        <v>398</v>
      </c>
      <c r="G22" s="49" t="s">
        <v>399</v>
      </c>
      <c r="H22" s="49" t="s">
        <v>400</v>
      </c>
      <c r="I22" s="49" t="s">
        <v>401</v>
      </c>
      <c r="J22" s="49" t="s">
        <v>402</v>
      </c>
      <c r="K22" s="49" t="s">
        <v>403</v>
      </c>
      <c r="L22" s="49" t="s">
        <v>404</v>
      </c>
      <c r="M22" s="49" t="s">
        <v>405</v>
      </c>
      <c r="N22" s="49" t="s">
        <v>406</v>
      </c>
      <c r="O22" s="49" t="s">
        <v>407</v>
      </c>
      <c r="P22" s="49" t="s">
        <v>408</v>
      </c>
      <c r="Q22" s="49" t="s">
        <v>409</v>
      </c>
      <c r="R22" s="49" t="s">
        <v>410</v>
      </c>
      <c r="S22" s="49" t="s">
        <v>411</v>
      </c>
      <c r="T22" s="49" t="s">
        <v>412</v>
      </c>
      <c r="U22" s="49" t="s">
        <v>413</v>
      </c>
      <c r="V22" s="49" t="s">
        <v>414</v>
      </c>
      <c r="W22" s="49" t="s">
        <v>415</v>
      </c>
      <c r="X22" s="49" t="s">
        <v>416</v>
      </c>
      <c r="Y22" s="49" t="s">
        <v>417</v>
      </c>
      <c r="Z22" s="49" t="s">
        <v>418</v>
      </c>
      <c r="AA22" s="49" t="s">
        <v>419</v>
      </c>
      <c r="AB22" s="49" t="s">
        <v>420</v>
      </c>
      <c r="AC22" s="49" t="s">
        <v>421</v>
      </c>
      <c r="AD22" s="50" t="s">
        <v>422</v>
      </c>
      <c r="AF22" s="62" t="str">
        <f>E22&amp;$D22</f>
        <v>a</v>
      </c>
      <c r="AG22" s="60" t="str">
        <f t="shared" ref="AG22:AG27" si="77">F22&amp;$D22</f>
        <v>b</v>
      </c>
      <c r="AH22" s="60" t="str">
        <f t="shared" ref="AH22:AH27" si="78">G22&amp;$D22</f>
        <v>c</v>
      </c>
      <c r="AI22" s="60" t="str">
        <f t="shared" ref="AI22:AI27" si="79">H22&amp;$D22</f>
        <v>d</v>
      </c>
      <c r="AJ22" s="60" t="str">
        <f t="shared" ref="AJ22:AJ27" si="80">I22&amp;$D22</f>
        <v>e</v>
      </c>
      <c r="AK22" s="60" t="str">
        <f t="shared" ref="AK22:AK27" si="81">J22&amp;$D22</f>
        <v>f</v>
      </c>
      <c r="AL22" s="60" t="str">
        <f t="shared" ref="AL22:AL27" si="82">K22&amp;$D22</f>
        <v>g</v>
      </c>
      <c r="AM22" s="60" t="str">
        <f t="shared" ref="AM22:AM27" si="83">L22&amp;$D22</f>
        <v>h</v>
      </c>
      <c r="AN22" s="60" t="str">
        <f t="shared" ref="AN22:AN27" si="84">M22&amp;$D22</f>
        <v>i</v>
      </c>
      <c r="AO22" s="60" t="str">
        <f t="shared" ref="AO22:AO27" si="85">N22&amp;$D22</f>
        <v>j</v>
      </c>
      <c r="AP22" s="60" t="str">
        <f t="shared" ref="AP22:AP27" si="86">O22&amp;$D22</f>
        <v>k</v>
      </c>
      <c r="AQ22" s="60" t="str">
        <f t="shared" ref="AQ22:AQ27" si="87">P22&amp;$D22</f>
        <v>l</v>
      </c>
      <c r="AR22" s="60" t="str">
        <f t="shared" ref="AR22:AR27" si="88">Q22&amp;$D22</f>
        <v>m</v>
      </c>
      <c r="AS22" s="60" t="str">
        <f t="shared" ref="AS22:AS27" si="89">R22&amp;$D22</f>
        <v>n</v>
      </c>
      <c r="AT22" s="60" t="str">
        <f t="shared" ref="AT22:AT27" si="90">S22&amp;$D22</f>
        <v>o</v>
      </c>
      <c r="AU22" s="60" t="str">
        <f t="shared" ref="AU22:AU27" si="91">T22&amp;$D22</f>
        <v>p</v>
      </c>
      <c r="AV22" s="60" t="str">
        <f t="shared" ref="AV22:AV27" si="92">U22&amp;$D22</f>
        <v>q</v>
      </c>
      <c r="AW22" s="60" t="str">
        <f t="shared" ref="AW22:AW27" si="93">V22&amp;$D22</f>
        <v>r</v>
      </c>
      <c r="AX22" s="60" t="str">
        <f t="shared" ref="AX22:AX27" si="94">W22&amp;$D22</f>
        <v>s</v>
      </c>
      <c r="AY22" s="60" t="str">
        <f t="shared" ref="AY22:AY27" si="95">X22&amp;$D22</f>
        <v>t</v>
      </c>
      <c r="AZ22" s="60" t="str">
        <f t="shared" ref="AZ22:AZ27" si="96">Y22&amp;$D22</f>
        <v>u</v>
      </c>
      <c r="BA22" s="60" t="str">
        <f t="shared" ref="BA22:BA27" si="97">Z22&amp;$D22</f>
        <v>v</v>
      </c>
      <c r="BB22" s="60" t="str">
        <f t="shared" ref="BB22:BB27" si="98">AA22&amp;$D22</f>
        <v>w</v>
      </c>
      <c r="BC22" s="60" t="str">
        <f t="shared" ref="BC22:BC27" si="99">AB22&amp;$D22</f>
        <v>x</v>
      </c>
      <c r="BD22" s="60" t="str">
        <f t="shared" ref="BD22:BD27" si="100">AC22&amp;$D22</f>
        <v>y</v>
      </c>
      <c r="BE22" s="56" t="str">
        <f t="shared" ref="BE22:BE27" si="101">AD22&amp;$D22</f>
        <v>z</v>
      </c>
      <c r="BG22" s="62"/>
      <c r="BH22" s="60"/>
      <c r="BI22" s="60"/>
      <c r="BJ22" s="60"/>
      <c r="BK22" s="60"/>
      <c r="BL22" s="60"/>
      <c r="BM22" s="60"/>
      <c r="BN22" s="60"/>
      <c r="BO22" s="60"/>
      <c r="BP22" s="60"/>
      <c r="BQ22" s="60"/>
      <c r="BR22" s="60"/>
      <c r="BS22" s="60"/>
      <c r="BT22" s="60"/>
      <c r="BU22" s="60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56"/>
    </row>
    <row r="23" spans="1:84" x14ac:dyDescent="0.35">
      <c r="A23" s="34" t="s">
        <v>424</v>
      </c>
      <c r="B23" s="33" t="s">
        <v>396</v>
      </c>
      <c r="C23" s="1"/>
      <c r="D23" s="40" t="str">
        <f>TRIM(n_OL10)</f>
        <v/>
      </c>
      <c r="E23" s="51" t="str">
        <f>LOWER(Enigma10!AH43)</f>
        <v>b</v>
      </c>
      <c r="F23" s="52" t="str">
        <f>LOWER(Enigma10!AI43)</f>
        <v>a</v>
      </c>
      <c r="G23" s="52" t="str">
        <f>LOWER(Enigma10!AJ43)</f>
        <v>t</v>
      </c>
      <c r="H23" s="52" t="str">
        <f>LOWER(Enigma10!AK43)</f>
        <v>m</v>
      </c>
      <c r="I23" s="52" t="str">
        <f>LOWER(Enigma10!AL43)</f>
        <v>w</v>
      </c>
      <c r="J23" s="52" t="str">
        <f>LOWER(Enigma10!AM43)</f>
        <v>y</v>
      </c>
      <c r="K23" s="52" t="str">
        <f>LOWER(Enigma10!AN43)</f>
        <v>h</v>
      </c>
      <c r="L23" s="52" t="str">
        <f>LOWER(Enigma10!AO43)</f>
        <v>g</v>
      </c>
      <c r="M23" s="52" t="str">
        <f>LOWER(Enigma10!AP43)</f>
        <v>r</v>
      </c>
      <c r="N23" s="52" t="str">
        <f>LOWER(Enigma10!AQ43)</f>
        <v>o</v>
      </c>
      <c r="O23" s="52" t="str">
        <f>LOWER(Enigma10!AR43)</f>
        <v>p</v>
      </c>
      <c r="P23" s="52" t="str">
        <f>LOWER(Enigma10!AS43)</f>
        <v>n</v>
      </c>
      <c r="Q23" s="52" t="str">
        <f>LOWER(Enigma10!AT43)</f>
        <v>d</v>
      </c>
      <c r="R23" s="52" t="str">
        <f>LOWER(Enigma10!AU43)</f>
        <v>l</v>
      </c>
      <c r="S23" s="52" t="str">
        <f>LOWER(Enigma10!AV43)</f>
        <v>j</v>
      </c>
      <c r="T23" s="52" t="str">
        <f>LOWER(Enigma10!AW43)</f>
        <v>k</v>
      </c>
      <c r="U23" s="52" t="str">
        <f>LOWER(Enigma10!AX43)</f>
        <v>v</v>
      </c>
      <c r="V23" s="52" t="str">
        <f>LOWER(Enigma10!AY43)</f>
        <v>i</v>
      </c>
      <c r="W23" s="52" t="str">
        <f>LOWER(Enigma10!AZ43)</f>
        <v>z</v>
      </c>
      <c r="X23" s="52" t="str">
        <f>LOWER(Enigma10!BA43)</f>
        <v>c</v>
      </c>
      <c r="Y23" s="52" t="str">
        <f>LOWER(Enigma10!BB43)</f>
        <v>x</v>
      </c>
      <c r="Z23" s="52" t="str">
        <f>LOWER(Enigma10!BC43)</f>
        <v>q</v>
      </c>
      <c r="AA23" s="52" t="str">
        <f>LOWER(Enigma10!BD43)</f>
        <v>e</v>
      </c>
      <c r="AB23" s="52" t="str">
        <f>LOWER(Enigma10!BE43)</f>
        <v>u</v>
      </c>
      <c r="AC23" s="52" t="str">
        <f>LOWER(Enigma10!BF43)</f>
        <v>f</v>
      </c>
      <c r="AD23" s="53" t="str">
        <f>LOWER(Enigma10!BG43)</f>
        <v>s</v>
      </c>
      <c r="AF23" s="63" t="str">
        <f t="shared" ref="AF23:AF25" si="102">E23&amp;$D23</f>
        <v>b</v>
      </c>
      <c r="AG23" s="61" t="str">
        <f t="shared" si="77"/>
        <v>a</v>
      </c>
      <c r="AH23" s="61" t="str">
        <f t="shared" si="78"/>
        <v>t</v>
      </c>
      <c r="AI23" s="61" t="str">
        <f t="shared" si="79"/>
        <v>m</v>
      </c>
      <c r="AJ23" s="61" t="str">
        <f t="shared" si="80"/>
        <v>w</v>
      </c>
      <c r="AK23" s="61" t="str">
        <f t="shared" si="81"/>
        <v>y</v>
      </c>
      <c r="AL23" s="61" t="str">
        <f t="shared" si="82"/>
        <v>h</v>
      </c>
      <c r="AM23" s="61" t="str">
        <f t="shared" si="83"/>
        <v>g</v>
      </c>
      <c r="AN23" s="61" t="str">
        <f t="shared" si="84"/>
        <v>r</v>
      </c>
      <c r="AO23" s="61" t="str">
        <f t="shared" si="85"/>
        <v>o</v>
      </c>
      <c r="AP23" s="61" t="str">
        <f t="shared" si="86"/>
        <v>p</v>
      </c>
      <c r="AQ23" s="61" t="str">
        <f t="shared" si="87"/>
        <v>n</v>
      </c>
      <c r="AR23" s="61" t="str">
        <f t="shared" si="88"/>
        <v>d</v>
      </c>
      <c r="AS23" s="61" t="str">
        <f t="shared" si="89"/>
        <v>l</v>
      </c>
      <c r="AT23" s="61" t="str">
        <f t="shared" si="90"/>
        <v>j</v>
      </c>
      <c r="AU23" s="61" t="str">
        <f t="shared" si="91"/>
        <v>k</v>
      </c>
      <c r="AV23" s="61" t="str">
        <f t="shared" si="92"/>
        <v>v</v>
      </c>
      <c r="AW23" s="61" t="str">
        <f t="shared" si="93"/>
        <v>i</v>
      </c>
      <c r="AX23" s="61" t="str">
        <f t="shared" si="94"/>
        <v>z</v>
      </c>
      <c r="AY23" s="61" t="str">
        <f t="shared" si="95"/>
        <v>c</v>
      </c>
      <c r="AZ23" s="61" t="str">
        <f t="shared" si="96"/>
        <v>x</v>
      </c>
      <c r="BA23" s="61" t="str">
        <f t="shared" si="97"/>
        <v>q</v>
      </c>
      <c r="BB23" s="61" t="str">
        <f t="shared" si="98"/>
        <v>e</v>
      </c>
      <c r="BC23" s="61" t="str">
        <f t="shared" si="99"/>
        <v>u</v>
      </c>
      <c r="BD23" s="61" t="str">
        <f t="shared" si="100"/>
        <v>f</v>
      </c>
      <c r="BE23" s="59" t="str">
        <f t="shared" si="101"/>
        <v>s</v>
      </c>
      <c r="BG23" s="63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1"/>
      <c r="CB23" s="61"/>
      <c r="CC23" s="61"/>
      <c r="CD23" s="61"/>
      <c r="CE23" s="61"/>
      <c r="CF23" s="59"/>
    </row>
    <row r="24" spans="1:84" x14ac:dyDescent="0.35">
      <c r="A24" s="32" t="s">
        <v>425</v>
      </c>
      <c r="B24" s="33" t="s">
        <v>395</v>
      </c>
      <c r="C24" s="1"/>
      <c r="D24" s="39" t="str">
        <f>TRIM(n_IL11)</f>
        <v/>
      </c>
      <c r="E24" s="48" t="s">
        <v>397</v>
      </c>
      <c r="F24" s="49" t="s">
        <v>398</v>
      </c>
      <c r="G24" s="49" t="s">
        <v>399</v>
      </c>
      <c r="H24" s="49" t="s">
        <v>400</v>
      </c>
      <c r="I24" s="49" t="s">
        <v>401</v>
      </c>
      <c r="J24" s="49" t="s">
        <v>402</v>
      </c>
      <c r="K24" s="49" t="s">
        <v>403</v>
      </c>
      <c r="L24" s="49" t="s">
        <v>404</v>
      </c>
      <c r="M24" s="49" t="s">
        <v>405</v>
      </c>
      <c r="N24" s="49" t="s">
        <v>406</v>
      </c>
      <c r="O24" s="49" t="s">
        <v>407</v>
      </c>
      <c r="P24" s="49" t="s">
        <v>408</v>
      </c>
      <c r="Q24" s="49" t="s">
        <v>409</v>
      </c>
      <c r="R24" s="49" t="s">
        <v>410</v>
      </c>
      <c r="S24" s="49" t="s">
        <v>411</v>
      </c>
      <c r="T24" s="49" t="s">
        <v>412</v>
      </c>
      <c r="U24" s="49" t="s">
        <v>413</v>
      </c>
      <c r="V24" s="49" t="s">
        <v>414</v>
      </c>
      <c r="W24" s="49" t="s">
        <v>415</v>
      </c>
      <c r="X24" s="49" t="s">
        <v>416</v>
      </c>
      <c r="Y24" s="49" t="s">
        <v>417</v>
      </c>
      <c r="Z24" s="49" t="s">
        <v>418</v>
      </c>
      <c r="AA24" s="49" t="s">
        <v>419</v>
      </c>
      <c r="AB24" s="49" t="s">
        <v>420</v>
      </c>
      <c r="AC24" s="49" t="s">
        <v>421</v>
      </c>
      <c r="AD24" s="50" t="s">
        <v>422</v>
      </c>
      <c r="AF24" s="62" t="str">
        <f t="shared" si="102"/>
        <v>a</v>
      </c>
      <c r="AG24" s="60" t="str">
        <f t="shared" si="77"/>
        <v>b</v>
      </c>
      <c r="AH24" s="60" t="str">
        <f t="shared" si="78"/>
        <v>c</v>
      </c>
      <c r="AI24" s="60" t="str">
        <f t="shared" si="79"/>
        <v>d</v>
      </c>
      <c r="AJ24" s="60" t="str">
        <f t="shared" si="80"/>
        <v>e</v>
      </c>
      <c r="AK24" s="60" t="str">
        <f t="shared" si="81"/>
        <v>f</v>
      </c>
      <c r="AL24" s="60" t="str">
        <f t="shared" si="82"/>
        <v>g</v>
      </c>
      <c r="AM24" s="60" t="str">
        <f t="shared" si="83"/>
        <v>h</v>
      </c>
      <c r="AN24" s="60" t="str">
        <f t="shared" si="84"/>
        <v>i</v>
      </c>
      <c r="AO24" s="60" t="str">
        <f t="shared" si="85"/>
        <v>j</v>
      </c>
      <c r="AP24" s="60" t="str">
        <f t="shared" si="86"/>
        <v>k</v>
      </c>
      <c r="AQ24" s="60" t="str">
        <f t="shared" si="87"/>
        <v>l</v>
      </c>
      <c r="AR24" s="60" t="str">
        <f t="shared" si="88"/>
        <v>m</v>
      </c>
      <c r="AS24" s="60" t="str">
        <f t="shared" si="89"/>
        <v>n</v>
      </c>
      <c r="AT24" s="60" t="str">
        <f t="shared" si="90"/>
        <v>o</v>
      </c>
      <c r="AU24" s="60" t="str">
        <f t="shared" si="91"/>
        <v>p</v>
      </c>
      <c r="AV24" s="60" t="str">
        <f t="shared" si="92"/>
        <v>q</v>
      </c>
      <c r="AW24" s="60" t="str">
        <f t="shared" si="93"/>
        <v>r</v>
      </c>
      <c r="AX24" s="60" t="str">
        <f t="shared" si="94"/>
        <v>s</v>
      </c>
      <c r="AY24" s="60" t="str">
        <f t="shared" si="95"/>
        <v>t</v>
      </c>
      <c r="AZ24" s="60" t="str">
        <f t="shared" si="96"/>
        <v>u</v>
      </c>
      <c r="BA24" s="60" t="str">
        <f t="shared" si="97"/>
        <v>v</v>
      </c>
      <c r="BB24" s="60" t="str">
        <f t="shared" si="98"/>
        <v>w</v>
      </c>
      <c r="BC24" s="60" t="str">
        <f t="shared" si="99"/>
        <v>x</v>
      </c>
      <c r="BD24" s="60" t="str">
        <f t="shared" si="100"/>
        <v>y</v>
      </c>
      <c r="BE24" s="56" t="str">
        <f t="shared" si="101"/>
        <v>z</v>
      </c>
      <c r="BG24" s="62"/>
      <c r="BH24" s="60"/>
      <c r="BI24" s="60"/>
      <c r="BJ24" s="60"/>
      <c r="BK24" s="60"/>
      <c r="BL24" s="60"/>
      <c r="BM24" s="60"/>
      <c r="BN24" s="60"/>
      <c r="BO24" s="60"/>
      <c r="BP24" s="60"/>
      <c r="BQ24" s="60"/>
      <c r="BR24" s="60"/>
      <c r="BS24" s="60"/>
      <c r="BT24" s="60"/>
      <c r="BU24" s="60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56"/>
    </row>
    <row r="25" spans="1:84" x14ac:dyDescent="0.35">
      <c r="A25" s="34" t="s">
        <v>425</v>
      </c>
      <c r="B25" s="33" t="s">
        <v>396</v>
      </c>
      <c r="C25" s="1"/>
      <c r="D25" s="40" t="str">
        <f>TRIM(n_OL11)</f>
        <v/>
      </c>
      <c r="E25" s="51" t="str">
        <f>LOWER(Enigma11!AH43)</f>
        <v>b</v>
      </c>
      <c r="F25" s="52" t="str">
        <f>LOWER(Enigma11!AI43)</f>
        <v>a</v>
      </c>
      <c r="G25" s="52" t="str">
        <f>LOWER(Enigma11!AJ43)</f>
        <v>t</v>
      </c>
      <c r="H25" s="52" t="str">
        <f>LOWER(Enigma11!AK43)</f>
        <v>m</v>
      </c>
      <c r="I25" s="52" t="str">
        <f>LOWER(Enigma11!AL43)</f>
        <v>w</v>
      </c>
      <c r="J25" s="52" t="str">
        <f>LOWER(Enigma11!AM43)</f>
        <v>y</v>
      </c>
      <c r="K25" s="52" t="str">
        <f>LOWER(Enigma11!AN43)</f>
        <v>h</v>
      </c>
      <c r="L25" s="52" t="str">
        <f>LOWER(Enigma11!AO43)</f>
        <v>g</v>
      </c>
      <c r="M25" s="52" t="str">
        <f>LOWER(Enigma11!AP43)</f>
        <v>r</v>
      </c>
      <c r="N25" s="52" t="str">
        <f>LOWER(Enigma11!AQ43)</f>
        <v>o</v>
      </c>
      <c r="O25" s="52" t="str">
        <f>LOWER(Enigma11!AR43)</f>
        <v>p</v>
      </c>
      <c r="P25" s="52" t="str">
        <f>LOWER(Enigma11!AS43)</f>
        <v>n</v>
      </c>
      <c r="Q25" s="52" t="str">
        <f>LOWER(Enigma11!AT43)</f>
        <v>d</v>
      </c>
      <c r="R25" s="52" t="str">
        <f>LOWER(Enigma11!AU43)</f>
        <v>l</v>
      </c>
      <c r="S25" s="52" t="str">
        <f>LOWER(Enigma11!AV43)</f>
        <v>j</v>
      </c>
      <c r="T25" s="52" t="str">
        <f>LOWER(Enigma11!AW43)</f>
        <v>k</v>
      </c>
      <c r="U25" s="52" t="str">
        <f>LOWER(Enigma11!AX43)</f>
        <v>v</v>
      </c>
      <c r="V25" s="52" t="str">
        <f>LOWER(Enigma11!AY43)</f>
        <v>i</v>
      </c>
      <c r="W25" s="52" t="str">
        <f>LOWER(Enigma11!AZ43)</f>
        <v>z</v>
      </c>
      <c r="X25" s="52" t="str">
        <f>LOWER(Enigma11!BA43)</f>
        <v>c</v>
      </c>
      <c r="Y25" s="52" t="str">
        <f>LOWER(Enigma11!BB43)</f>
        <v>x</v>
      </c>
      <c r="Z25" s="52" t="str">
        <f>LOWER(Enigma11!BC43)</f>
        <v>q</v>
      </c>
      <c r="AA25" s="52" t="str">
        <f>LOWER(Enigma11!BD43)</f>
        <v>e</v>
      </c>
      <c r="AB25" s="52" t="str">
        <f>LOWER(Enigma11!BE43)</f>
        <v>u</v>
      </c>
      <c r="AC25" s="52" t="str">
        <f>LOWER(Enigma11!BF43)</f>
        <v>f</v>
      </c>
      <c r="AD25" s="53" t="str">
        <f>LOWER(Enigma11!BG43)</f>
        <v>s</v>
      </c>
      <c r="AF25" s="63" t="str">
        <f t="shared" si="102"/>
        <v>b</v>
      </c>
      <c r="AG25" s="61" t="str">
        <f t="shared" si="77"/>
        <v>a</v>
      </c>
      <c r="AH25" s="61" t="str">
        <f t="shared" si="78"/>
        <v>t</v>
      </c>
      <c r="AI25" s="61" t="str">
        <f t="shared" si="79"/>
        <v>m</v>
      </c>
      <c r="AJ25" s="61" t="str">
        <f t="shared" si="80"/>
        <v>w</v>
      </c>
      <c r="AK25" s="61" t="str">
        <f t="shared" si="81"/>
        <v>y</v>
      </c>
      <c r="AL25" s="61" t="str">
        <f t="shared" si="82"/>
        <v>h</v>
      </c>
      <c r="AM25" s="61" t="str">
        <f t="shared" si="83"/>
        <v>g</v>
      </c>
      <c r="AN25" s="61" t="str">
        <f t="shared" si="84"/>
        <v>r</v>
      </c>
      <c r="AO25" s="61" t="str">
        <f t="shared" si="85"/>
        <v>o</v>
      </c>
      <c r="AP25" s="61" t="str">
        <f t="shared" si="86"/>
        <v>p</v>
      </c>
      <c r="AQ25" s="61" t="str">
        <f t="shared" si="87"/>
        <v>n</v>
      </c>
      <c r="AR25" s="61" t="str">
        <f t="shared" si="88"/>
        <v>d</v>
      </c>
      <c r="AS25" s="61" t="str">
        <f t="shared" si="89"/>
        <v>l</v>
      </c>
      <c r="AT25" s="61" t="str">
        <f t="shared" si="90"/>
        <v>j</v>
      </c>
      <c r="AU25" s="61" t="str">
        <f t="shared" si="91"/>
        <v>k</v>
      </c>
      <c r="AV25" s="61" t="str">
        <f t="shared" si="92"/>
        <v>v</v>
      </c>
      <c r="AW25" s="61" t="str">
        <f t="shared" si="93"/>
        <v>i</v>
      </c>
      <c r="AX25" s="61" t="str">
        <f t="shared" si="94"/>
        <v>z</v>
      </c>
      <c r="AY25" s="61" t="str">
        <f t="shared" si="95"/>
        <v>c</v>
      </c>
      <c r="AZ25" s="61" t="str">
        <f t="shared" si="96"/>
        <v>x</v>
      </c>
      <c r="BA25" s="61" t="str">
        <f t="shared" si="97"/>
        <v>q</v>
      </c>
      <c r="BB25" s="61" t="str">
        <f t="shared" si="98"/>
        <v>e</v>
      </c>
      <c r="BC25" s="61" t="str">
        <f t="shared" si="99"/>
        <v>u</v>
      </c>
      <c r="BD25" s="61" t="str">
        <f t="shared" si="100"/>
        <v>f</v>
      </c>
      <c r="BE25" s="59" t="str">
        <f t="shared" si="101"/>
        <v>s</v>
      </c>
      <c r="BG25" s="63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1"/>
      <c r="CB25" s="61"/>
      <c r="CC25" s="61"/>
      <c r="CD25" s="61"/>
      <c r="CE25" s="61"/>
      <c r="CF25" s="59"/>
    </row>
    <row r="26" spans="1:84" x14ac:dyDescent="0.35">
      <c r="A26" s="32" t="s">
        <v>426</v>
      </c>
      <c r="B26" s="33" t="s">
        <v>395</v>
      </c>
      <c r="C26" s="1"/>
      <c r="D26" s="39" t="str">
        <f>TRIM(n_IL12)</f>
        <v/>
      </c>
      <c r="E26" s="48" t="s">
        <v>397</v>
      </c>
      <c r="F26" s="49" t="s">
        <v>398</v>
      </c>
      <c r="G26" s="49" t="s">
        <v>399</v>
      </c>
      <c r="H26" s="49" t="s">
        <v>400</v>
      </c>
      <c r="I26" s="49" t="s">
        <v>401</v>
      </c>
      <c r="J26" s="49" t="s">
        <v>402</v>
      </c>
      <c r="K26" s="49" t="s">
        <v>403</v>
      </c>
      <c r="L26" s="49" t="s">
        <v>404</v>
      </c>
      <c r="M26" s="49" t="s">
        <v>405</v>
      </c>
      <c r="N26" s="49" t="s">
        <v>406</v>
      </c>
      <c r="O26" s="49" t="s">
        <v>407</v>
      </c>
      <c r="P26" s="49" t="s">
        <v>408</v>
      </c>
      <c r="Q26" s="49" t="s">
        <v>409</v>
      </c>
      <c r="R26" s="49" t="s">
        <v>410</v>
      </c>
      <c r="S26" s="49" t="s">
        <v>411</v>
      </c>
      <c r="T26" s="49" t="s">
        <v>412</v>
      </c>
      <c r="U26" s="49" t="s">
        <v>413</v>
      </c>
      <c r="V26" s="49" t="s">
        <v>414</v>
      </c>
      <c r="W26" s="49" t="s">
        <v>415</v>
      </c>
      <c r="X26" s="49" t="s">
        <v>416</v>
      </c>
      <c r="Y26" s="49" t="s">
        <v>417</v>
      </c>
      <c r="Z26" s="49" t="s">
        <v>418</v>
      </c>
      <c r="AA26" s="49" t="s">
        <v>419</v>
      </c>
      <c r="AB26" s="49" t="s">
        <v>420</v>
      </c>
      <c r="AC26" s="49" t="s">
        <v>421</v>
      </c>
      <c r="AD26" s="50" t="s">
        <v>422</v>
      </c>
      <c r="AF26" s="62" t="str">
        <f>E26&amp;$D26</f>
        <v>a</v>
      </c>
      <c r="AG26" s="60" t="str">
        <f t="shared" si="77"/>
        <v>b</v>
      </c>
      <c r="AH26" s="60" t="str">
        <f t="shared" si="78"/>
        <v>c</v>
      </c>
      <c r="AI26" s="60" t="str">
        <f t="shared" si="79"/>
        <v>d</v>
      </c>
      <c r="AJ26" s="60" t="str">
        <f t="shared" si="80"/>
        <v>e</v>
      </c>
      <c r="AK26" s="60" t="str">
        <f t="shared" si="81"/>
        <v>f</v>
      </c>
      <c r="AL26" s="60" t="str">
        <f t="shared" si="82"/>
        <v>g</v>
      </c>
      <c r="AM26" s="60" t="str">
        <f t="shared" si="83"/>
        <v>h</v>
      </c>
      <c r="AN26" s="60" t="str">
        <f t="shared" si="84"/>
        <v>i</v>
      </c>
      <c r="AO26" s="60" t="str">
        <f t="shared" si="85"/>
        <v>j</v>
      </c>
      <c r="AP26" s="60" t="str">
        <f t="shared" si="86"/>
        <v>k</v>
      </c>
      <c r="AQ26" s="60" t="str">
        <f t="shared" si="87"/>
        <v>l</v>
      </c>
      <c r="AR26" s="60" t="str">
        <f t="shared" si="88"/>
        <v>m</v>
      </c>
      <c r="AS26" s="60" t="str">
        <f t="shared" si="89"/>
        <v>n</v>
      </c>
      <c r="AT26" s="60" t="str">
        <f t="shared" si="90"/>
        <v>o</v>
      </c>
      <c r="AU26" s="60" t="str">
        <f t="shared" si="91"/>
        <v>p</v>
      </c>
      <c r="AV26" s="60" t="str">
        <f t="shared" si="92"/>
        <v>q</v>
      </c>
      <c r="AW26" s="60" t="str">
        <f t="shared" si="93"/>
        <v>r</v>
      </c>
      <c r="AX26" s="60" t="str">
        <f t="shared" si="94"/>
        <v>s</v>
      </c>
      <c r="AY26" s="60" t="str">
        <f t="shared" si="95"/>
        <v>t</v>
      </c>
      <c r="AZ26" s="60" t="str">
        <f t="shared" si="96"/>
        <v>u</v>
      </c>
      <c r="BA26" s="60" t="str">
        <f t="shared" si="97"/>
        <v>v</v>
      </c>
      <c r="BB26" s="60" t="str">
        <f t="shared" si="98"/>
        <v>w</v>
      </c>
      <c r="BC26" s="60" t="str">
        <f t="shared" si="99"/>
        <v>x</v>
      </c>
      <c r="BD26" s="60" t="str">
        <f t="shared" si="100"/>
        <v>y</v>
      </c>
      <c r="BE26" s="56" t="str">
        <f t="shared" si="101"/>
        <v>z</v>
      </c>
      <c r="BG26" s="62"/>
      <c r="BH26" s="60"/>
      <c r="BI26" s="60"/>
      <c r="BJ26" s="60"/>
      <c r="BK26" s="60"/>
      <c r="BL26" s="60"/>
      <c r="BM26" s="60"/>
      <c r="BN26" s="60"/>
      <c r="BO26" s="60"/>
      <c r="BP26" s="60"/>
      <c r="BQ26" s="60"/>
      <c r="BR26" s="60"/>
      <c r="BS26" s="60"/>
      <c r="BT26" s="60"/>
      <c r="BU26" s="60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56"/>
    </row>
    <row r="27" spans="1:84" x14ac:dyDescent="0.35">
      <c r="A27" s="34" t="s">
        <v>426</v>
      </c>
      <c r="B27" s="33" t="s">
        <v>396</v>
      </c>
      <c r="C27" s="1"/>
      <c r="D27" s="40" t="str">
        <f>TRIM(n_OL12)</f>
        <v/>
      </c>
      <c r="E27" s="51" t="str">
        <f>LOWER(Enigma12!AH43)</f>
        <v>b</v>
      </c>
      <c r="F27" s="52" t="str">
        <f>LOWER(Enigma12!AI43)</f>
        <v>a</v>
      </c>
      <c r="G27" s="52" t="str">
        <f>LOWER(Enigma12!AJ43)</f>
        <v>t</v>
      </c>
      <c r="H27" s="52" t="str">
        <f>LOWER(Enigma12!AK43)</f>
        <v>m</v>
      </c>
      <c r="I27" s="52" t="str">
        <f>LOWER(Enigma12!AL43)</f>
        <v>w</v>
      </c>
      <c r="J27" s="52" t="str">
        <f>LOWER(Enigma12!AM43)</f>
        <v>y</v>
      </c>
      <c r="K27" s="52" t="str">
        <f>LOWER(Enigma12!AN43)</f>
        <v>h</v>
      </c>
      <c r="L27" s="52" t="str">
        <f>LOWER(Enigma12!AO43)</f>
        <v>g</v>
      </c>
      <c r="M27" s="52" t="str">
        <f>LOWER(Enigma12!AP43)</f>
        <v>r</v>
      </c>
      <c r="N27" s="52" t="str">
        <f>LOWER(Enigma12!AQ43)</f>
        <v>o</v>
      </c>
      <c r="O27" s="52" t="str">
        <f>LOWER(Enigma12!AR43)</f>
        <v>p</v>
      </c>
      <c r="P27" s="52" t="str">
        <f>LOWER(Enigma12!AS43)</f>
        <v>n</v>
      </c>
      <c r="Q27" s="52" t="str">
        <f>LOWER(Enigma12!AT43)</f>
        <v>d</v>
      </c>
      <c r="R27" s="52" t="str">
        <f>LOWER(Enigma12!AU43)</f>
        <v>l</v>
      </c>
      <c r="S27" s="52" t="str">
        <f>LOWER(Enigma12!AV43)</f>
        <v>j</v>
      </c>
      <c r="T27" s="52" t="str">
        <f>LOWER(Enigma12!AW43)</f>
        <v>k</v>
      </c>
      <c r="U27" s="52" t="str">
        <f>LOWER(Enigma12!AX43)</f>
        <v>v</v>
      </c>
      <c r="V27" s="52" t="str">
        <f>LOWER(Enigma12!AY43)</f>
        <v>i</v>
      </c>
      <c r="W27" s="52" t="str">
        <f>LOWER(Enigma12!AZ43)</f>
        <v>z</v>
      </c>
      <c r="X27" s="52" t="str">
        <f>LOWER(Enigma12!BA43)</f>
        <v>c</v>
      </c>
      <c r="Y27" s="52" t="str">
        <f>LOWER(Enigma12!BB43)</f>
        <v>x</v>
      </c>
      <c r="Z27" s="52" t="str">
        <f>LOWER(Enigma12!BC43)</f>
        <v>q</v>
      </c>
      <c r="AA27" s="52" t="str">
        <f>LOWER(Enigma12!BD43)</f>
        <v>e</v>
      </c>
      <c r="AB27" s="52" t="str">
        <f>LOWER(Enigma12!BE43)</f>
        <v>u</v>
      </c>
      <c r="AC27" s="52" t="str">
        <f>LOWER(Enigma12!BF43)</f>
        <v>f</v>
      </c>
      <c r="AD27" s="53" t="str">
        <f>LOWER(Enigma12!BG43)</f>
        <v>s</v>
      </c>
      <c r="AF27" s="63" t="str">
        <f>E27&amp;$D27</f>
        <v>b</v>
      </c>
      <c r="AG27" s="61" t="str">
        <f t="shared" si="77"/>
        <v>a</v>
      </c>
      <c r="AH27" s="61" t="str">
        <f t="shared" si="78"/>
        <v>t</v>
      </c>
      <c r="AI27" s="61" t="str">
        <f t="shared" si="79"/>
        <v>m</v>
      </c>
      <c r="AJ27" s="61" t="str">
        <f t="shared" si="80"/>
        <v>w</v>
      </c>
      <c r="AK27" s="61" t="str">
        <f t="shared" si="81"/>
        <v>y</v>
      </c>
      <c r="AL27" s="61" t="str">
        <f t="shared" si="82"/>
        <v>h</v>
      </c>
      <c r="AM27" s="61" t="str">
        <f t="shared" si="83"/>
        <v>g</v>
      </c>
      <c r="AN27" s="61" t="str">
        <f t="shared" si="84"/>
        <v>r</v>
      </c>
      <c r="AO27" s="61" t="str">
        <f t="shared" si="85"/>
        <v>o</v>
      </c>
      <c r="AP27" s="61" t="str">
        <f t="shared" si="86"/>
        <v>p</v>
      </c>
      <c r="AQ27" s="61" t="str">
        <f t="shared" si="87"/>
        <v>n</v>
      </c>
      <c r="AR27" s="61" t="str">
        <f t="shared" si="88"/>
        <v>d</v>
      </c>
      <c r="AS27" s="61" t="str">
        <f t="shared" si="89"/>
        <v>l</v>
      </c>
      <c r="AT27" s="61" t="str">
        <f t="shared" si="90"/>
        <v>j</v>
      </c>
      <c r="AU27" s="61" t="str">
        <f t="shared" si="91"/>
        <v>k</v>
      </c>
      <c r="AV27" s="61" t="str">
        <f t="shared" si="92"/>
        <v>v</v>
      </c>
      <c r="AW27" s="61" t="str">
        <f t="shared" si="93"/>
        <v>i</v>
      </c>
      <c r="AX27" s="61" t="str">
        <f t="shared" si="94"/>
        <v>z</v>
      </c>
      <c r="AY27" s="61" t="str">
        <f t="shared" si="95"/>
        <v>c</v>
      </c>
      <c r="AZ27" s="61" t="str">
        <f t="shared" si="96"/>
        <v>x</v>
      </c>
      <c r="BA27" s="61" t="str">
        <f t="shared" si="97"/>
        <v>q</v>
      </c>
      <c r="BB27" s="61" t="str">
        <f t="shared" si="98"/>
        <v>e</v>
      </c>
      <c r="BC27" s="61" t="str">
        <f t="shared" si="99"/>
        <v>u</v>
      </c>
      <c r="BD27" s="61" t="str">
        <f t="shared" si="100"/>
        <v>f</v>
      </c>
      <c r="BE27" s="59" t="str">
        <f t="shared" si="101"/>
        <v>s</v>
      </c>
      <c r="BG27" s="63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1"/>
      <c r="CB27" s="61"/>
      <c r="CC27" s="61"/>
      <c r="CD27" s="61"/>
      <c r="CE27" s="61"/>
      <c r="CF27" s="59"/>
    </row>
    <row r="28" spans="1:84" x14ac:dyDescent="0.35">
      <c r="A28" s="35" t="s">
        <v>586</v>
      </c>
      <c r="B28" s="36" t="s">
        <v>395</v>
      </c>
      <c r="D28" s="73"/>
      <c r="E28" s="64" t="s">
        <v>397</v>
      </c>
      <c r="F28" s="65" t="s">
        <v>398</v>
      </c>
      <c r="G28" s="65" t="s">
        <v>399</v>
      </c>
      <c r="H28" s="65" t="s">
        <v>400</v>
      </c>
      <c r="I28" s="65" t="s">
        <v>401</v>
      </c>
      <c r="J28" s="65" t="s">
        <v>402</v>
      </c>
      <c r="K28" s="65" t="s">
        <v>403</v>
      </c>
      <c r="L28" s="65" t="s">
        <v>404</v>
      </c>
      <c r="M28" s="65" t="s">
        <v>405</v>
      </c>
      <c r="N28" s="65" t="s">
        <v>406</v>
      </c>
      <c r="O28" s="65" t="s">
        <v>407</v>
      </c>
      <c r="P28" s="65" t="s">
        <v>408</v>
      </c>
      <c r="Q28" s="65" t="s">
        <v>409</v>
      </c>
      <c r="R28" s="65" t="s">
        <v>410</v>
      </c>
      <c r="S28" s="65" t="s">
        <v>411</v>
      </c>
      <c r="T28" s="65" t="s">
        <v>412</v>
      </c>
      <c r="U28" s="65" t="s">
        <v>413</v>
      </c>
      <c r="V28" s="65" t="s">
        <v>414</v>
      </c>
      <c r="W28" s="65" t="s">
        <v>415</v>
      </c>
      <c r="X28" s="65" t="s">
        <v>416</v>
      </c>
      <c r="Y28" s="65" t="s">
        <v>417</v>
      </c>
      <c r="Z28" s="65" t="s">
        <v>418</v>
      </c>
      <c r="AA28" s="65" t="s">
        <v>419</v>
      </c>
      <c r="AB28" s="65" t="s">
        <v>420</v>
      </c>
      <c r="AC28" s="65" t="s">
        <v>421</v>
      </c>
      <c r="AD28" s="66" t="s">
        <v>422</v>
      </c>
      <c r="AF28" s="54" t="str">
        <f>LOWER(E29)&amp;UPPER(E28)</f>
        <v>aA</v>
      </c>
      <c r="AG28" s="55" t="str">
        <f>LOWER(F29)&amp;UPPER(F28)</f>
        <v>aB</v>
      </c>
      <c r="AH28" s="55" t="str">
        <f>LOWER(G29)&amp;UPPER(G28)</f>
        <v>aC</v>
      </c>
      <c r="AI28" s="55" t="str">
        <f t="shared" ref="AI28:BE28" si="103">LOWER(H29)&amp;UPPER(H28)</f>
        <v>aD</v>
      </c>
      <c r="AJ28" s="55" t="str">
        <f t="shared" si="103"/>
        <v>aE</v>
      </c>
      <c r="AK28" s="55" t="str">
        <f t="shared" si="103"/>
        <v>aF</v>
      </c>
      <c r="AL28" s="55" t="str">
        <f t="shared" si="103"/>
        <v>aG</v>
      </c>
      <c r="AM28" s="55" t="str">
        <f t="shared" si="103"/>
        <v>aH</v>
      </c>
      <c r="AN28" s="55" t="str">
        <f t="shared" si="103"/>
        <v>aI</v>
      </c>
      <c r="AO28" s="55" t="str">
        <f t="shared" si="103"/>
        <v>aJ</v>
      </c>
      <c r="AP28" s="55" t="str">
        <f t="shared" si="103"/>
        <v>aK</v>
      </c>
      <c r="AQ28" s="55" t="str">
        <f t="shared" si="103"/>
        <v>aL</v>
      </c>
      <c r="AR28" s="55" t="str">
        <f t="shared" si="103"/>
        <v>aM</v>
      </c>
      <c r="AS28" s="55" t="str">
        <f t="shared" si="103"/>
        <v>aN</v>
      </c>
      <c r="AT28" s="55" t="str">
        <f t="shared" si="103"/>
        <v>aO</v>
      </c>
      <c r="AU28" s="71" t="str">
        <f t="shared" si="103"/>
        <v>aP</v>
      </c>
      <c r="AV28" s="55" t="str">
        <f t="shared" si="103"/>
        <v>aQ</v>
      </c>
      <c r="AW28" s="55" t="str">
        <f t="shared" si="103"/>
        <v>aR</v>
      </c>
      <c r="AX28" s="55" t="str">
        <f t="shared" si="103"/>
        <v>aS</v>
      </c>
      <c r="AY28" s="55" t="str">
        <f t="shared" si="103"/>
        <v>aT</v>
      </c>
      <c r="AZ28" s="55" t="str">
        <f t="shared" si="103"/>
        <v>aU</v>
      </c>
      <c r="BA28" s="55" t="str">
        <f t="shared" si="103"/>
        <v>aV</v>
      </c>
      <c r="BB28" s="55" t="str">
        <f t="shared" si="103"/>
        <v>aW</v>
      </c>
      <c r="BC28" s="55" t="str">
        <f t="shared" si="103"/>
        <v>aX</v>
      </c>
      <c r="BD28" s="55" t="str">
        <f t="shared" si="103"/>
        <v>aY</v>
      </c>
      <c r="BE28" s="94" t="str">
        <f t="shared" si="103"/>
        <v>aZ</v>
      </c>
      <c r="BG28" s="70"/>
      <c r="BH28" s="71"/>
      <c r="BI28" s="71"/>
      <c r="BJ28" s="71"/>
      <c r="BK28" s="71"/>
      <c r="BL28" s="71"/>
      <c r="BM28" s="71"/>
      <c r="BN28" s="71"/>
      <c r="BO28" s="71"/>
      <c r="BP28" s="71"/>
      <c r="BQ28" s="71"/>
      <c r="BR28" s="71"/>
      <c r="BS28" s="71"/>
      <c r="BT28" s="71"/>
      <c r="BU28" s="71"/>
      <c r="BV28" s="71"/>
      <c r="BW28" s="71"/>
      <c r="BX28" s="71"/>
      <c r="BY28" s="71"/>
      <c r="BZ28" s="71"/>
      <c r="CA28" s="71"/>
      <c r="CB28" s="71"/>
      <c r="CC28" s="71"/>
      <c r="CD28" s="71"/>
      <c r="CE28" s="71"/>
      <c r="CF28" s="72"/>
    </row>
    <row r="29" spans="1:84" x14ac:dyDescent="0.35">
      <c r="A29" s="37" t="s">
        <v>586</v>
      </c>
      <c r="B29" s="36" t="s">
        <v>396</v>
      </c>
      <c r="D29" s="74" t="s">
        <v>0</v>
      </c>
      <c r="E29" s="67" t="str">
        <f>D29</f>
        <v>A</v>
      </c>
      <c r="F29" s="68" t="str">
        <f t="shared" ref="F29:AD29" si="104">E29</f>
        <v>A</v>
      </c>
      <c r="G29" s="68" t="str">
        <f t="shared" si="104"/>
        <v>A</v>
      </c>
      <c r="H29" s="68" t="str">
        <f t="shared" si="104"/>
        <v>A</v>
      </c>
      <c r="I29" s="68" t="str">
        <f t="shared" si="104"/>
        <v>A</v>
      </c>
      <c r="J29" s="68" t="str">
        <f t="shared" si="104"/>
        <v>A</v>
      </c>
      <c r="K29" s="68" t="str">
        <f t="shared" si="104"/>
        <v>A</v>
      </c>
      <c r="L29" s="68" t="str">
        <f t="shared" si="104"/>
        <v>A</v>
      </c>
      <c r="M29" s="68" t="str">
        <f t="shared" si="104"/>
        <v>A</v>
      </c>
      <c r="N29" s="68" t="str">
        <f t="shared" si="104"/>
        <v>A</v>
      </c>
      <c r="O29" s="68" t="str">
        <f t="shared" si="104"/>
        <v>A</v>
      </c>
      <c r="P29" s="68" t="str">
        <f t="shared" si="104"/>
        <v>A</v>
      </c>
      <c r="Q29" s="68" t="str">
        <f t="shared" si="104"/>
        <v>A</v>
      </c>
      <c r="R29" s="68" t="str">
        <f t="shared" si="104"/>
        <v>A</v>
      </c>
      <c r="S29" s="68" t="str">
        <f t="shared" si="104"/>
        <v>A</v>
      </c>
      <c r="T29" s="68" t="str">
        <f t="shared" si="104"/>
        <v>A</v>
      </c>
      <c r="U29" s="68" t="str">
        <f t="shared" si="104"/>
        <v>A</v>
      </c>
      <c r="V29" s="68" t="str">
        <f t="shared" si="104"/>
        <v>A</v>
      </c>
      <c r="W29" s="68" t="str">
        <f t="shared" si="104"/>
        <v>A</v>
      </c>
      <c r="X29" s="68" t="str">
        <f t="shared" si="104"/>
        <v>A</v>
      </c>
      <c r="Y29" s="68" t="str">
        <f t="shared" si="104"/>
        <v>A</v>
      </c>
      <c r="Z29" s="68" t="str">
        <f t="shared" si="104"/>
        <v>A</v>
      </c>
      <c r="AA29" s="68" t="str">
        <f t="shared" si="104"/>
        <v>A</v>
      </c>
      <c r="AB29" s="68" t="str">
        <f t="shared" si="104"/>
        <v>A</v>
      </c>
      <c r="AC29" s="68" t="str">
        <f t="shared" si="104"/>
        <v>A</v>
      </c>
      <c r="AD29" s="69" t="str">
        <f t="shared" si="104"/>
        <v>A</v>
      </c>
      <c r="AF29" s="57" t="str">
        <f>LOWER(E28)&amp;UPPER(E29)</f>
        <v>aA</v>
      </c>
      <c r="AG29" s="58" t="str">
        <f>LOWER(F28)&amp;UPPER(F29)</f>
        <v>bA</v>
      </c>
      <c r="AH29" s="58" t="str">
        <f>LOWER(G28)&amp;UPPER(G29)</f>
        <v>cA</v>
      </c>
      <c r="AI29" s="58" t="str">
        <f t="shared" ref="AI29:BE29" si="105">LOWER(H28)&amp;UPPER(H29)</f>
        <v>dA</v>
      </c>
      <c r="AJ29" s="58" t="str">
        <f t="shared" si="105"/>
        <v>eA</v>
      </c>
      <c r="AK29" s="58" t="str">
        <f t="shared" si="105"/>
        <v>fA</v>
      </c>
      <c r="AL29" s="58" t="str">
        <f t="shared" si="105"/>
        <v>gA</v>
      </c>
      <c r="AM29" s="58" t="str">
        <f t="shared" si="105"/>
        <v>hA</v>
      </c>
      <c r="AN29" s="58" t="str">
        <f t="shared" si="105"/>
        <v>iA</v>
      </c>
      <c r="AO29" s="58" t="str">
        <f t="shared" si="105"/>
        <v>jA</v>
      </c>
      <c r="AP29" s="58" t="str">
        <f t="shared" si="105"/>
        <v>kA</v>
      </c>
      <c r="AQ29" s="58" t="str">
        <f t="shared" si="105"/>
        <v>lA</v>
      </c>
      <c r="AR29" s="58" t="str">
        <f t="shared" si="105"/>
        <v>mA</v>
      </c>
      <c r="AS29" s="58" t="str">
        <f t="shared" si="105"/>
        <v>nA</v>
      </c>
      <c r="AT29" s="58" t="str">
        <f t="shared" si="105"/>
        <v>oA</v>
      </c>
      <c r="AU29" s="68" t="str">
        <f t="shared" si="105"/>
        <v>pA</v>
      </c>
      <c r="AV29" s="58" t="str">
        <f t="shared" si="105"/>
        <v>qA</v>
      </c>
      <c r="AW29" s="58" t="str">
        <f t="shared" si="105"/>
        <v>rA</v>
      </c>
      <c r="AX29" s="58" t="str">
        <f t="shared" si="105"/>
        <v>sA</v>
      </c>
      <c r="AY29" s="58" t="str">
        <f t="shared" si="105"/>
        <v>tA</v>
      </c>
      <c r="AZ29" s="58" t="str">
        <f t="shared" si="105"/>
        <v>uA</v>
      </c>
      <c r="BA29" s="58" t="str">
        <f t="shared" si="105"/>
        <v>vA</v>
      </c>
      <c r="BB29" s="58" t="str">
        <f t="shared" si="105"/>
        <v>wA</v>
      </c>
      <c r="BC29" s="58" t="str">
        <f t="shared" si="105"/>
        <v>xA</v>
      </c>
      <c r="BD29" s="58" t="str">
        <f t="shared" si="105"/>
        <v>yA</v>
      </c>
      <c r="BE29" s="93" t="str">
        <f t="shared" si="105"/>
        <v>zA</v>
      </c>
      <c r="BG29" s="67"/>
      <c r="BH29" s="68"/>
      <c r="BI29" s="68"/>
      <c r="BJ29" s="68"/>
      <c r="BK29" s="68"/>
      <c r="BL29" s="68"/>
      <c r="BM29" s="68"/>
      <c r="BN29" s="68"/>
      <c r="BO29" s="68"/>
      <c r="BP29" s="68"/>
      <c r="BQ29" s="68"/>
      <c r="BR29" s="68"/>
      <c r="BS29" s="68"/>
      <c r="BT29" s="68"/>
      <c r="BU29" s="68"/>
      <c r="BV29" s="68"/>
      <c r="BW29" s="68"/>
      <c r="BX29" s="68"/>
      <c r="BY29" s="68"/>
      <c r="BZ29" s="68"/>
      <c r="CA29" s="68"/>
      <c r="CB29" s="68"/>
      <c r="CC29" s="68"/>
      <c r="CD29" s="68"/>
      <c r="CE29" s="68"/>
      <c r="CF29" s="69"/>
    </row>
    <row r="30" spans="1:84" x14ac:dyDescent="0.35">
      <c r="A30" s="35" t="s">
        <v>586</v>
      </c>
      <c r="B30" s="36" t="s">
        <v>395</v>
      </c>
      <c r="D30" s="73"/>
      <c r="E30" s="64" t="s">
        <v>397</v>
      </c>
      <c r="F30" s="65" t="s">
        <v>398</v>
      </c>
      <c r="G30" s="65" t="s">
        <v>399</v>
      </c>
      <c r="H30" s="65" t="s">
        <v>400</v>
      </c>
      <c r="I30" s="65" t="s">
        <v>401</v>
      </c>
      <c r="J30" s="65" t="s">
        <v>402</v>
      </c>
      <c r="K30" s="65" t="s">
        <v>403</v>
      </c>
      <c r="L30" s="65" t="s">
        <v>404</v>
      </c>
      <c r="M30" s="65" t="s">
        <v>405</v>
      </c>
      <c r="N30" s="65" t="s">
        <v>406</v>
      </c>
      <c r="O30" s="65" t="s">
        <v>407</v>
      </c>
      <c r="P30" s="65" t="s">
        <v>408</v>
      </c>
      <c r="Q30" s="65" t="s">
        <v>409</v>
      </c>
      <c r="R30" s="65" t="s">
        <v>410</v>
      </c>
      <c r="S30" s="65" t="s">
        <v>411</v>
      </c>
      <c r="T30" s="65" t="s">
        <v>412</v>
      </c>
      <c r="U30" s="65" t="s">
        <v>413</v>
      </c>
      <c r="V30" s="65" t="s">
        <v>414</v>
      </c>
      <c r="W30" s="65" t="s">
        <v>415</v>
      </c>
      <c r="X30" s="65" t="s">
        <v>416</v>
      </c>
      <c r="Y30" s="65" t="s">
        <v>417</v>
      </c>
      <c r="Z30" s="65" t="s">
        <v>418</v>
      </c>
      <c r="AA30" s="65" t="s">
        <v>419</v>
      </c>
      <c r="AB30" s="65" t="s">
        <v>420</v>
      </c>
      <c r="AC30" s="65" t="s">
        <v>421</v>
      </c>
      <c r="AD30" s="66" t="s">
        <v>422</v>
      </c>
      <c r="AF30" s="54" t="str">
        <f>LOWER(E31)&amp;UPPER(E30)</f>
        <v>bA</v>
      </c>
      <c r="AG30" s="55" t="str">
        <f>LOWER(F31)&amp;UPPER(F30)</f>
        <v>bB</v>
      </c>
      <c r="AH30" s="71" t="str">
        <f>LOWER(G31)&amp;UPPER(G30)</f>
        <v>bC</v>
      </c>
      <c r="AI30" s="55" t="str">
        <f t="shared" ref="AI30" si="106">LOWER(H31)&amp;UPPER(H30)</f>
        <v>bD</v>
      </c>
      <c r="AJ30" s="55" t="str">
        <f t="shared" ref="AJ30" si="107">LOWER(I31)&amp;UPPER(I30)</f>
        <v>bE</v>
      </c>
      <c r="AK30" s="55" t="str">
        <f t="shared" ref="AK30" si="108">LOWER(J31)&amp;UPPER(J30)</f>
        <v>bF</v>
      </c>
      <c r="AL30" s="55" t="str">
        <f t="shared" ref="AL30" si="109">LOWER(K31)&amp;UPPER(K30)</f>
        <v>bG</v>
      </c>
      <c r="AM30" s="55" t="str">
        <f t="shared" ref="AM30" si="110">LOWER(L31)&amp;UPPER(L30)</f>
        <v>bH</v>
      </c>
      <c r="AN30" s="55" t="str">
        <f t="shared" ref="AN30" si="111">LOWER(M31)&amp;UPPER(M30)</f>
        <v>bI</v>
      </c>
      <c r="AO30" s="55" t="str">
        <f t="shared" ref="AO30" si="112">LOWER(N31)&amp;UPPER(N30)</f>
        <v>bJ</v>
      </c>
      <c r="AP30" s="55" t="str">
        <f t="shared" ref="AP30" si="113">LOWER(O31)&amp;UPPER(O30)</f>
        <v>bK</v>
      </c>
      <c r="AQ30" s="55" t="str">
        <f t="shared" ref="AQ30" si="114">LOWER(P31)&amp;UPPER(P30)</f>
        <v>bL</v>
      </c>
      <c r="AR30" s="55" t="str">
        <f t="shared" ref="AR30" si="115">LOWER(Q31)&amp;UPPER(Q30)</f>
        <v>bM</v>
      </c>
      <c r="AS30" s="55" t="str">
        <f t="shared" ref="AS30" si="116">LOWER(R31)&amp;UPPER(R30)</f>
        <v>bN</v>
      </c>
      <c r="AT30" s="55" t="str">
        <f t="shared" ref="AT30" si="117">LOWER(S31)&amp;UPPER(S30)</f>
        <v>bO</v>
      </c>
      <c r="AU30" s="55" t="str">
        <f t="shared" ref="AU30" si="118">LOWER(T31)&amp;UPPER(T30)</f>
        <v>bP</v>
      </c>
      <c r="AV30" s="55" t="str">
        <f t="shared" ref="AV30" si="119">LOWER(U31)&amp;UPPER(U30)</f>
        <v>bQ</v>
      </c>
      <c r="AW30" s="55" t="str">
        <f t="shared" ref="AW30" si="120">LOWER(V31)&amp;UPPER(V30)</f>
        <v>bR</v>
      </c>
      <c r="AX30" s="55" t="str">
        <f t="shared" ref="AX30" si="121">LOWER(W31)&amp;UPPER(W30)</f>
        <v>bS</v>
      </c>
      <c r="AY30" s="55" t="str">
        <f t="shared" ref="AY30" si="122">LOWER(X31)&amp;UPPER(X30)</f>
        <v>bT</v>
      </c>
      <c r="AZ30" s="55" t="str">
        <f t="shared" ref="AZ30" si="123">LOWER(Y31)&amp;UPPER(Y30)</f>
        <v>bU</v>
      </c>
      <c r="BA30" s="55" t="str">
        <f t="shared" ref="BA30" si="124">LOWER(Z31)&amp;UPPER(Z30)</f>
        <v>bV</v>
      </c>
      <c r="BB30" s="55" t="str">
        <f t="shared" ref="BB30" si="125">LOWER(AA31)&amp;UPPER(AA30)</f>
        <v>bW</v>
      </c>
      <c r="BC30" s="55" t="str">
        <f t="shared" ref="BC30" si="126">LOWER(AB31)&amp;UPPER(AB30)</f>
        <v>bX</v>
      </c>
      <c r="BD30" s="55" t="str">
        <f t="shared" ref="BD30" si="127">LOWER(AC31)&amp;UPPER(AC30)</f>
        <v>bY</v>
      </c>
      <c r="BE30" s="94" t="str">
        <f t="shared" ref="BE30" si="128">LOWER(AD31)&amp;UPPER(AD30)</f>
        <v>bZ</v>
      </c>
      <c r="BG30" s="70"/>
      <c r="BH30" s="71"/>
      <c r="BI30" s="71"/>
      <c r="BJ30" s="71"/>
      <c r="BK30" s="71"/>
      <c r="BL30" s="71"/>
      <c r="BM30" s="71"/>
      <c r="BN30" s="71"/>
      <c r="BO30" s="71"/>
      <c r="BP30" s="71"/>
      <c r="BQ30" s="71"/>
      <c r="BR30" s="71"/>
      <c r="BS30" s="71"/>
      <c r="BT30" s="71"/>
      <c r="BU30" s="71"/>
      <c r="BV30" s="71"/>
      <c r="BW30" s="71"/>
      <c r="BX30" s="71"/>
      <c r="BY30" s="71"/>
      <c r="BZ30" s="71"/>
      <c r="CA30" s="71"/>
      <c r="CB30" s="71"/>
      <c r="CC30" s="71"/>
      <c r="CD30" s="71"/>
      <c r="CE30" s="71"/>
      <c r="CF30" s="72"/>
    </row>
    <row r="31" spans="1:84" x14ac:dyDescent="0.35">
      <c r="A31" s="37" t="s">
        <v>586</v>
      </c>
      <c r="B31" s="36" t="s">
        <v>396</v>
      </c>
      <c r="D31" s="74" t="s">
        <v>1</v>
      </c>
      <c r="E31" s="67" t="str">
        <f>D31</f>
        <v>B</v>
      </c>
      <c r="F31" s="68" t="str">
        <f t="shared" ref="F31:AD31" si="129">E31</f>
        <v>B</v>
      </c>
      <c r="G31" s="68" t="str">
        <f t="shared" si="129"/>
        <v>B</v>
      </c>
      <c r="H31" s="68" t="str">
        <f t="shared" si="129"/>
        <v>B</v>
      </c>
      <c r="I31" s="68" t="str">
        <f t="shared" si="129"/>
        <v>B</v>
      </c>
      <c r="J31" s="68" t="str">
        <f t="shared" si="129"/>
        <v>B</v>
      </c>
      <c r="K31" s="68" t="str">
        <f t="shared" si="129"/>
        <v>B</v>
      </c>
      <c r="L31" s="68" t="str">
        <f t="shared" si="129"/>
        <v>B</v>
      </c>
      <c r="M31" s="68" t="str">
        <f t="shared" si="129"/>
        <v>B</v>
      </c>
      <c r="N31" s="68" t="str">
        <f t="shared" si="129"/>
        <v>B</v>
      </c>
      <c r="O31" s="68" t="str">
        <f t="shared" si="129"/>
        <v>B</v>
      </c>
      <c r="P31" s="68" t="str">
        <f t="shared" si="129"/>
        <v>B</v>
      </c>
      <c r="Q31" s="68" t="str">
        <f t="shared" si="129"/>
        <v>B</v>
      </c>
      <c r="R31" s="68" t="str">
        <f t="shared" si="129"/>
        <v>B</v>
      </c>
      <c r="S31" s="68" t="str">
        <f t="shared" si="129"/>
        <v>B</v>
      </c>
      <c r="T31" s="68" t="str">
        <f t="shared" si="129"/>
        <v>B</v>
      </c>
      <c r="U31" s="68" t="str">
        <f t="shared" si="129"/>
        <v>B</v>
      </c>
      <c r="V31" s="68" t="str">
        <f t="shared" si="129"/>
        <v>B</v>
      </c>
      <c r="W31" s="68" t="str">
        <f t="shared" si="129"/>
        <v>B</v>
      </c>
      <c r="X31" s="68" t="str">
        <f t="shared" si="129"/>
        <v>B</v>
      </c>
      <c r="Y31" s="68" t="str">
        <f t="shared" si="129"/>
        <v>B</v>
      </c>
      <c r="Z31" s="68" t="str">
        <f t="shared" si="129"/>
        <v>B</v>
      </c>
      <c r="AA31" s="68" t="str">
        <f t="shared" si="129"/>
        <v>B</v>
      </c>
      <c r="AB31" s="68" t="str">
        <f t="shared" si="129"/>
        <v>B</v>
      </c>
      <c r="AC31" s="68" t="str">
        <f t="shared" si="129"/>
        <v>B</v>
      </c>
      <c r="AD31" s="69" t="str">
        <f t="shared" si="129"/>
        <v>B</v>
      </c>
      <c r="AF31" s="57" t="str">
        <f>LOWER(E30)&amp;UPPER(E31)</f>
        <v>aB</v>
      </c>
      <c r="AG31" s="58" t="str">
        <f>LOWER(F30)&amp;UPPER(F31)</f>
        <v>bB</v>
      </c>
      <c r="AH31" s="68" t="str">
        <f>LOWER(G30)&amp;UPPER(G31)</f>
        <v>cB</v>
      </c>
      <c r="AI31" s="58" t="str">
        <f t="shared" ref="AI31" si="130">LOWER(H30)&amp;UPPER(H31)</f>
        <v>dB</v>
      </c>
      <c r="AJ31" s="58" t="str">
        <f t="shared" ref="AJ31" si="131">LOWER(I30)&amp;UPPER(I31)</f>
        <v>eB</v>
      </c>
      <c r="AK31" s="58" t="str">
        <f t="shared" ref="AK31" si="132">LOWER(J30)&amp;UPPER(J31)</f>
        <v>fB</v>
      </c>
      <c r="AL31" s="58" t="str">
        <f t="shared" ref="AL31" si="133">LOWER(K30)&amp;UPPER(K31)</f>
        <v>gB</v>
      </c>
      <c r="AM31" s="58" t="str">
        <f t="shared" ref="AM31" si="134">LOWER(L30)&amp;UPPER(L31)</f>
        <v>hB</v>
      </c>
      <c r="AN31" s="58" t="str">
        <f t="shared" ref="AN31" si="135">LOWER(M30)&amp;UPPER(M31)</f>
        <v>iB</v>
      </c>
      <c r="AO31" s="58" t="str">
        <f t="shared" ref="AO31" si="136">LOWER(N30)&amp;UPPER(N31)</f>
        <v>jB</v>
      </c>
      <c r="AP31" s="58" t="str">
        <f t="shared" ref="AP31" si="137">LOWER(O30)&amp;UPPER(O31)</f>
        <v>kB</v>
      </c>
      <c r="AQ31" s="58" t="str">
        <f t="shared" ref="AQ31" si="138">LOWER(P30)&amp;UPPER(P31)</f>
        <v>lB</v>
      </c>
      <c r="AR31" s="58" t="str">
        <f t="shared" ref="AR31" si="139">LOWER(Q30)&amp;UPPER(Q31)</f>
        <v>mB</v>
      </c>
      <c r="AS31" s="58" t="str">
        <f t="shared" ref="AS31" si="140">LOWER(R30)&amp;UPPER(R31)</f>
        <v>nB</v>
      </c>
      <c r="AT31" s="58" t="str">
        <f t="shared" ref="AT31" si="141">LOWER(S30)&amp;UPPER(S31)</f>
        <v>oB</v>
      </c>
      <c r="AU31" s="58" t="str">
        <f t="shared" ref="AU31" si="142">LOWER(T30)&amp;UPPER(T31)</f>
        <v>pB</v>
      </c>
      <c r="AV31" s="58" t="str">
        <f t="shared" ref="AV31" si="143">LOWER(U30)&amp;UPPER(U31)</f>
        <v>qB</v>
      </c>
      <c r="AW31" s="58" t="str">
        <f t="shared" ref="AW31" si="144">LOWER(V30)&amp;UPPER(V31)</f>
        <v>rB</v>
      </c>
      <c r="AX31" s="58" t="str">
        <f t="shared" ref="AX31" si="145">LOWER(W30)&amp;UPPER(W31)</f>
        <v>sB</v>
      </c>
      <c r="AY31" s="58" t="str">
        <f t="shared" ref="AY31" si="146">LOWER(X30)&amp;UPPER(X31)</f>
        <v>tB</v>
      </c>
      <c r="AZ31" s="58" t="str">
        <f t="shared" ref="AZ31" si="147">LOWER(Y30)&amp;UPPER(Y31)</f>
        <v>uB</v>
      </c>
      <c r="BA31" s="58" t="str">
        <f t="shared" ref="BA31" si="148">LOWER(Z30)&amp;UPPER(Z31)</f>
        <v>vB</v>
      </c>
      <c r="BB31" s="58" t="str">
        <f t="shared" ref="BB31" si="149">LOWER(AA30)&amp;UPPER(AA31)</f>
        <v>wB</v>
      </c>
      <c r="BC31" s="58" t="str">
        <f t="shared" ref="BC31" si="150">LOWER(AB30)&amp;UPPER(AB31)</f>
        <v>xB</v>
      </c>
      <c r="BD31" s="58" t="str">
        <f t="shared" ref="BD31" si="151">LOWER(AC30)&amp;UPPER(AC31)</f>
        <v>yB</v>
      </c>
      <c r="BE31" s="93" t="str">
        <f t="shared" ref="BE31" si="152">LOWER(AD30)&amp;UPPER(AD31)</f>
        <v>zB</v>
      </c>
      <c r="BG31" s="67"/>
      <c r="BH31" s="68"/>
      <c r="BI31" s="68"/>
      <c r="BJ31" s="68"/>
      <c r="BK31" s="68"/>
      <c r="BL31" s="68"/>
      <c r="BM31" s="68"/>
      <c r="BN31" s="68"/>
      <c r="BO31" s="68"/>
      <c r="BP31" s="68"/>
      <c r="BQ31" s="68"/>
      <c r="BR31" s="68"/>
      <c r="BS31" s="68"/>
      <c r="BT31" s="68"/>
      <c r="BU31" s="68"/>
      <c r="BV31" s="68"/>
      <c r="BW31" s="68"/>
      <c r="BX31" s="68"/>
      <c r="BY31" s="68"/>
      <c r="BZ31" s="68"/>
      <c r="CA31" s="68"/>
      <c r="CB31" s="68"/>
      <c r="CC31" s="68"/>
      <c r="CD31" s="68"/>
      <c r="CE31" s="68"/>
      <c r="CF31" s="69"/>
    </row>
    <row r="32" spans="1:84" x14ac:dyDescent="0.35">
      <c r="A32" s="35" t="s">
        <v>586</v>
      </c>
      <c r="B32" s="36" t="s">
        <v>395</v>
      </c>
      <c r="D32" s="73"/>
      <c r="E32" s="64" t="s">
        <v>397</v>
      </c>
      <c r="F32" s="65" t="s">
        <v>398</v>
      </c>
      <c r="G32" s="65" t="s">
        <v>399</v>
      </c>
      <c r="H32" s="65" t="s">
        <v>400</v>
      </c>
      <c r="I32" s="65" t="s">
        <v>401</v>
      </c>
      <c r="J32" s="65" t="s">
        <v>402</v>
      </c>
      <c r="K32" s="65" t="s">
        <v>403</v>
      </c>
      <c r="L32" s="65" t="s">
        <v>404</v>
      </c>
      <c r="M32" s="65" t="s">
        <v>405</v>
      </c>
      <c r="N32" s="65" t="s">
        <v>406</v>
      </c>
      <c r="O32" s="65" t="s">
        <v>407</v>
      </c>
      <c r="P32" s="65" t="s">
        <v>408</v>
      </c>
      <c r="Q32" s="65" t="s">
        <v>409</v>
      </c>
      <c r="R32" s="65" t="s">
        <v>410</v>
      </c>
      <c r="S32" s="65" t="s">
        <v>411</v>
      </c>
      <c r="T32" s="65" t="s">
        <v>412</v>
      </c>
      <c r="U32" s="65" t="s">
        <v>413</v>
      </c>
      <c r="V32" s="65" t="s">
        <v>414</v>
      </c>
      <c r="W32" s="65" t="s">
        <v>415</v>
      </c>
      <c r="X32" s="65" t="s">
        <v>416</v>
      </c>
      <c r="Y32" s="65" t="s">
        <v>417</v>
      </c>
      <c r="Z32" s="65" t="s">
        <v>418</v>
      </c>
      <c r="AA32" s="65" t="s">
        <v>419</v>
      </c>
      <c r="AB32" s="65" t="s">
        <v>420</v>
      </c>
      <c r="AC32" s="65" t="s">
        <v>421</v>
      </c>
      <c r="AD32" s="66" t="s">
        <v>422</v>
      </c>
      <c r="AF32" s="54" t="str">
        <f>LOWER(E33)&amp;UPPER(E32)</f>
        <v>cA</v>
      </c>
      <c r="AG32" s="71" t="str">
        <f>LOWER(F33)&amp;UPPER(F32)</f>
        <v>cB</v>
      </c>
      <c r="AH32" s="71" t="str">
        <f>LOWER(G33)&amp;UPPER(G32)</f>
        <v>cC</v>
      </c>
      <c r="AI32" s="55" t="str">
        <f t="shared" ref="AI32" si="153">LOWER(H33)&amp;UPPER(H32)</f>
        <v>cD</v>
      </c>
      <c r="AJ32" s="55" t="str">
        <f t="shared" ref="AJ32" si="154">LOWER(I33)&amp;UPPER(I32)</f>
        <v>cE</v>
      </c>
      <c r="AK32" s="71" t="str">
        <f t="shared" ref="AK32" si="155">LOWER(J33)&amp;UPPER(J32)</f>
        <v>cF</v>
      </c>
      <c r="AL32" s="71" t="str">
        <f t="shared" ref="AL32" si="156">LOWER(K33)&amp;UPPER(K32)</f>
        <v>cG</v>
      </c>
      <c r="AM32" s="55" t="str">
        <f t="shared" ref="AM32" si="157">LOWER(L33)&amp;UPPER(L32)</f>
        <v>cH</v>
      </c>
      <c r="AN32" s="71" t="str">
        <f t="shared" ref="AN32" si="158">LOWER(M33)&amp;UPPER(M32)</f>
        <v>cI</v>
      </c>
      <c r="AO32" s="71" t="str">
        <f t="shared" ref="AO32" si="159">LOWER(N33)&amp;UPPER(N32)</f>
        <v>cJ</v>
      </c>
      <c r="AP32" s="71" t="str">
        <f t="shared" ref="AP32" si="160">LOWER(O33)&amp;UPPER(O32)</f>
        <v>cK</v>
      </c>
      <c r="AQ32" s="55" t="str">
        <f t="shared" ref="AQ32" si="161">LOWER(P33)&amp;UPPER(P32)</f>
        <v>cL</v>
      </c>
      <c r="AR32" s="71" t="str">
        <f t="shared" ref="AR32" si="162">LOWER(Q33)&amp;UPPER(Q32)</f>
        <v>cM</v>
      </c>
      <c r="AS32" s="55" t="str">
        <f t="shared" ref="AS32" si="163">LOWER(R33)&amp;UPPER(R32)</f>
        <v>cN</v>
      </c>
      <c r="AT32" s="71" t="str">
        <f t="shared" ref="AT32" si="164">LOWER(S33)&amp;UPPER(S32)</f>
        <v>cO</v>
      </c>
      <c r="AU32" s="55" t="str">
        <f t="shared" ref="AU32" si="165">LOWER(T33)&amp;UPPER(T32)</f>
        <v>cP</v>
      </c>
      <c r="AV32" s="71" t="str">
        <f t="shared" ref="AV32" si="166">LOWER(U33)&amp;UPPER(U32)</f>
        <v>cQ</v>
      </c>
      <c r="AW32" s="71" t="str">
        <f t="shared" ref="AW32" si="167">LOWER(V33)&amp;UPPER(V32)</f>
        <v>cR</v>
      </c>
      <c r="AX32" s="71" t="str">
        <f t="shared" ref="AX32" si="168">LOWER(W33)&amp;UPPER(W32)</f>
        <v>cS</v>
      </c>
      <c r="AY32" s="55" t="str">
        <f t="shared" ref="AY32" si="169">LOWER(X33)&amp;UPPER(X32)</f>
        <v>cT</v>
      </c>
      <c r="AZ32" s="55" t="str">
        <f t="shared" ref="AZ32" si="170">LOWER(Y33)&amp;UPPER(Y32)</f>
        <v>cU</v>
      </c>
      <c r="BA32" s="71" t="str">
        <f t="shared" ref="BA32" si="171">LOWER(Z33)&amp;UPPER(Z32)</f>
        <v>cV</v>
      </c>
      <c r="BB32" s="71" t="str">
        <f t="shared" ref="BB32" si="172">LOWER(AA33)&amp;UPPER(AA32)</f>
        <v>cW</v>
      </c>
      <c r="BC32" s="71" t="str">
        <f t="shared" ref="BC32" si="173">LOWER(AB33)&amp;UPPER(AB32)</f>
        <v>cX</v>
      </c>
      <c r="BD32" s="71" t="str">
        <f t="shared" ref="BD32" si="174">LOWER(AC33)&amp;UPPER(AC32)</f>
        <v>cY</v>
      </c>
      <c r="BE32" s="72" t="str">
        <f t="shared" ref="BE32" si="175">LOWER(AD33)&amp;UPPER(AD32)</f>
        <v>cZ</v>
      </c>
      <c r="BG32" s="70"/>
      <c r="BH32" s="71"/>
      <c r="BI32" s="71"/>
      <c r="BJ32" s="71"/>
      <c r="BK32" s="71"/>
      <c r="BL32" s="71"/>
      <c r="BM32" s="71"/>
      <c r="BN32" s="71"/>
      <c r="BO32" s="71"/>
      <c r="BP32" s="71"/>
      <c r="BQ32" s="71"/>
      <c r="BR32" s="71"/>
      <c r="BS32" s="71"/>
      <c r="BT32" s="71"/>
      <c r="BU32" s="71"/>
      <c r="BV32" s="71"/>
      <c r="BW32" s="71"/>
      <c r="BX32" s="71"/>
      <c r="BY32" s="71"/>
      <c r="BZ32" s="71"/>
      <c r="CA32" s="71"/>
      <c r="CB32" s="71"/>
      <c r="CC32" s="71"/>
      <c r="CD32" s="71"/>
      <c r="CE32" s="71"/>
      <c r="CF32" s="72"/>
    </row>
    <row r="33" spans="1:84" x14ac:dyDescent="0.35">
      <c r="A33" s="37" t="s">
        <v>586</v>
      </c>
      <c r="B33" s="36" t="s">
        <v>396</v>
      </c>
      <c r="D33" s="74" t="s">
        <v>2</v>
      </c>
      <c r="E33" s="67" t="str">
        <f>D33</f>
        <v>C</v>
      </c>
      <c r="F33" s="68" t="str">
        <f t="shared" ref="F33:AD33" si="176">E33</f>
        <v>C</v>
      </c>
      <c r="G33" s="68" t="str">
        <f t="shared" si="176"/>
        <v>C</v>
      </c>
      <c r="H33" s="68" t="str">
        <f t="shared" si="176"/>
        <v>C</v>
      </c>
      <c r="I33" s="68" t="str">
        <f t="shared" si="176"/>
        <v>C</v>
      </c>
      <c r="J33" s="68" t="str">
        <f t="shared" si="176"/>
        <v>C</v>
      </c>
      <c r="K33" s="68" t="str">
        <f t="shared" si="176"/>
        <v>C</v>
      </c>
      <c r="L33" s="68" t="str">
        <f t="shared" si="176"/>
        <v>C</v>
      </c>
      <c r="M33" s="68" t="str">
        <f t="shared" si="176"/>
        <v>C</v>
      </c>
      <c r="N33" s="68" t="str">
        <f t="shared" si="176"/>
        <v>C</v>
      </c>
      <c r="O33" s="68" t="str">
        <f t="shared" si="176"/>
        <v>C</v>
      </c>
      <c r="P33" s="68" t="str">
        <f t="shared" si="176"/>
        <v>C</v>
      </c>
      <c r="Q33" s="68" t="str">
        <f t="shared" si="176"/>
        <v>C</v>
      </c>
      <c r="R33" s="68" t="str">
        <f t="shared" si="176"/>
        <v>C</v>
      </c>
      <c r="S33" s="68" t="str">
        <f t="shared" si="176"/>
        <v>C</v>
      </c>
      <c r="T33" s="68" t="str">
        <f t="shared" si="176"/>
        <v>C</v>
      </c>
      <c r="U33" s="68" t="str">
        <f t="shared" si="176"/>
        <v>C</v>
      </c>
      <c r="V33" s="68" t="str">
        <f t="shared" si="176"/>
        <v>C</v>
      </c>
      <c r="W33" s="68" t="str">
        <f t="shared" si="176"/>
        <v>C</v>
      </c>
      <c r="X33" s="68" t="str">
        <f t="shared" si="176"/>
        <v>C</v>
      </c>
      <c r="Y33" s="68" t="str">
        <f t="shared" si="176"/>
        <v>C</v>
      </c>
      <c r="Z33" s="68" t="str">
        <f t="shared" si="176"/>
        <v>C</v>
      </c>
      <c r="AA33" s="68" t="str">
        <f t="shared" si="176"/>
        <v>C</v>
      </c>
      <c r="AB33" s="68" t="str">
        <f t="shared" si="176"/>
        <v>C</v>
      </c>
      <c r="AC33" s="68" t="str">
        <f t="shared" si="176"/>
        <v>C</v>
      </c>
      <c r="AD33" s="69" t="str">
        <f t="shared" si="176"/>
        <v>C</v>
      </c>
      <c r="AF33" s="57" t="str">
        <f>LOWER(E32)&amp;UPPER(E33)</f>
        <v>aC</v>
      </c>
      <c r="AG33" s="68" t="str">
        <f>LOWER(F32)&amp;UPPER(F33)</f>
        <v>bC</v>
      </c>
      <c r="AH33" s="68" t="str">
        <f>LOWER(G32)&amp;UPPER(G33)</f>
        <v>cC</v>
      </c>
      <c r="AI33" s="58" t="str">
        <f t="shared" ref="AI33" si="177">LOWER(H32)&amp;UPPER(H33)</f>
        <v>dC</v>
      </c>
      <c r="AJ33" s="58" t="str">
        <f t="shared" ref="AJ33" si="178">LOWER(I32)&amp;UPPER(I33)</f>
        <v>eC</v>
      </c>
      <c r="AK33" s="68" t="str">
        <f t="shared" ref="AK33" si="179">LOWER(J32)&amp;UPPER(J33)</f>
        <v>fC</v>
      </c>
      <c r="AL33" s="68" t="str">
        <f t="shared" ref="AL33" si="180">LOWER(K32)&amp;UPPER(K33)</f>
        <v>gC</v>
      </c>
      <c r="AM33" s="58" t="str">
        <f t="shared" ref="AM33" si="181">LOWER(L32)&amp;UPPER(L33)</f>
        <v>hC</v>
      </c>
      <c r="AN33" s="68" t="str">
        <f t="shared" ref="AN33" si="182">LOWER(M32)&amp;UPPER(M33)</f>
        <v>iC</v>
      </c>
      <c r="AO33" s="68" t="str">
        <f t="shared" ref="AO33" si="183">LOWER(N32)&amp;UPPER(N33)</f>
        <v>jC</v>
      </c>
      <c r="AP33" s="68" t="str">
        <f t="shared" ref="AP33" si="184">LOWER(O32)&amp;UPPER(O33)</f>
        <v>kC</v>
      </c>
      <c r="AQ33" s="58" t="str">
        <f t="shared" ref="AQ33" si="185">LOWER(P32)&amp;UPPER(P33)</f>
        <v>lC</v>
      </c>
      <c r="AR33" s="68" t="str">
        <f t="shared" ref="AR33" si="186">LOWER(Q32)&amp;UPPER(Q33)</f>
        <v>mC</v>
      </c>
      <c r="AS33" s="58" t="str">
        <f t="shared" ref="AS33" si="187">LOWER(R32)&amp;UPPER(R33)</f>
        <v>nC</v>
      </c>
      <c r="AT33" s="68" t="str">
        <f t="shared" ref="AT33" si="188">LOWER(S32)&amp;UPPER(S33)</f>
        <v>oC</v>
      </c>
      <c r="AU33" s="58" t="str">
        <f t="shared" ref="AU33" si="189">LOWER(T32)&amp;UPPER(T33)</f>
        <v>pC</v>
      </c>
      <c r="AV33" s="68" t="str">
        <f t="shared" ref="AV33" si="190">LOWER(U32)&amp;UPPER(U33)</f>
        <v>qC</v>
      </c>
      <c r="AW33" s="68" t="str">
        <f t="shared" ref="AW33" si="191">LOWER(V32)&amp;UPPER(V33)</f>
        <v>rC</v>
      </c>
      <c r="AX33" s="68" t="str">
        <f t="shared" ref="AX33" si="192">LOWER(W32)&amp;UPPER(W33)</f>
        <v>sC</v>
      </c>
      <c r="AY33" s="58" t="str">
        <f t="shared" ref="AY33" si="193">LOWER(X32)&amp;UPPER(X33)</f>
        <v>tC</v>
      </c>
      <c r="AZ33" s="58" t="str">
        <f t="shared" ref="AZ33" si="194">LOWER(Y32)&amp;UPPER(Y33)</f>
        <v>uC</v>
      </c>
      <c r="BA33" s="68" t="str">
        <f t="shared" ref="BA33" si="195">LOWER(Z32)&amp;UPPER(Z33)</f>
        <v>vC</v>
      </c>
      <c r="BB33" s="68" t="str">
        <f t="shared" ref="BB33" si="196">LOWER(AA32)&amp;UPPER(AA33)</f>
        <v>wC</v>
      </c>
      <c r="BC33" s="68" t="str">
        <f t="shared" ref="BC33" si="197">LOWER(AB32)&amp;UPPER(AB33)</f>
        <v>xC</v>
      </c>
      <c r="BD33" s="68" t="str">
        <f t="shared" ref="BD33" si="198">LOWER(AC32)&amp;UPPER(AC33)</f>
        <v>yC</v>
      </c>
      <c r="BE33" s="69" t="str">
        <f t="shared" ref="BE33" si="199">LOWER(AD32)&amp;UPPER(AD33)</f>
        <v>zC</v>
      </c>
      <c r="BG33" s="67"/>
      <c r="BH33" s="68"/>
      <c r="BI33" s="68"/>
      <c r="BJ33" s="68"/>
      <c r="BK33" s="68"/>
      <c r="BL33" s="68"/>
      <c r="BM33" s="68"/>
      <c r="BN33" s="68"/>
      <c r="BO33" s="68"/>
      <c r="BP33" s="68"/>
      <c r="BQ33" s="68"/>
      <c r="BR33" s="68"/>
      <c r="BS33" s="68"/>
      <c r="BT33" s="68"/>
      <c r="BU33" s="68"/>
      <c r="BV33" s="68"/>
      <c r="BW33" s="68"/>
      <c r="BX33" s="68"/>
      <c r="BY33" s="68"/>
      <c r="BZ33" s="68"/>
      <c r="CA33" s="68"/>
      <c r="CB33" s="68"/>
      <c r="CC33" s="68"/>
      <c r="CD33" s="68"/>
      <c r="CE33" s="68"/>
      <c r="CF33" s="69"/>
    </row>
    <row r="34" spans="1:84" x14ac:dyDescent="0.35">
      <c r="A34" s="35" t="s">
        <v>586</v>
      </c>
      <c r="B34" s="36" t="s">
        <v>395</v>
      </c>
      <c r="D34" s="73"/>
      <c r="E34" s="64" t="s">
        <v>397</v>
      </c>
      <c r="F34" s="65" t="s">
        <v>398</v>
      </c>
      <c r="G34" s="65" t="s">
        <v>399</v>
      </c>
      <c r="H34" s="65" t="s">
        <v>400</v>
      </c>
      <c r="I34" s="65" t="s">
        <v>401</v>
      </c>
      <c r="J34" s="65" t="s">
        <v>402</v>
      </c>
      <c r="K34" s="65" t="s">
        <v>403</v>
      </c>
      <c r="L34" s="65" t="s">
        <v>404</v>
      </c>
      <c r="M34" s="65" t="s">
        <v>405</v>
      </c>
      <c r="N34" s="65" t="s">
        <v>406</v>
      </c>
      <c r="O34" s="65" t="s">
        <v>407</v>
      </c>
      <c r="P34" s="65" t="s">
        <v>408</v>
      </c>
      <c r="Q34" s="65" t="s">
        <v>409</v>
      </c>
      <c r="R34" s="65" t="s">
        <v>410</v>
      </c>
      <c r="S34" s="65" t="s">
        <v>411</v>
      </c>
      <c r="T34" s="65" t="s">
        <v>412</v>
      </c>
      <c r="U34" s="65" t="s">
        <v>413</v>
      </c>
      <c r="V34" s="65" t="s">
        <v>414</v>
      </c>
      <c r="W34" s="65" t="s">
        <v>415</v>
      </c>
      <c r="X34" s="65" t="s">
        <v>416</v>
      </c>
      <c r="Y34" s="65" t="s">
        <v>417</v>
      </c>
      <c r="Z34" s="65" t="s">
        <v>418</v>
      </c>
      <c r="AA34" s="65" t="s">
        <v>419</v>
      </c>
      <c r="AB34" s="65" t="s">
        <v>420</v>
      </c>
      <c r="AC34" s="65" t="s">
        <v>421</v>
      </c>
      <c r="AD34" s="66" t="s">
        <v>422</v>
      </c>
      <c r="AF34" s="54" t="str">
        <f>LOWER(E35)&amp;UPPER(E34)</f>
        <v>dA</v>
      </c>
      <c r="AG34" s="55" t="str">
        <f>LOWER(F35)&amp;UPPER(F34)</f>
        <v>dB</v>
      </c>
      <c r="AH34" s="55" t="str">
        <f>LOWER(G35)&amp;UPPER(G34)</f>
        <v>dC</v>
      </c>
      <c r="AI34" s="55" t="str">
        <f t="shared" ref="AI34" si="200">LOWER(H35)&amp;UPPER(H34)</f>
        <v>dD</v>
      </c>
      <c r="AJ34" s="55" t="str">
        <f t="shared" ref="AJ34" si="201">LOWER(I35)&amp;UPPER(I34)</f>
        <v>dE</v>
      </c>
      <c r="AK34" s="55" t="str">
        <f t="shared" ref="AK34" si="202">LOWER(J35)&amp;UPPER(J34)</f>
        <v>dF</v>
      </c>
      <c r="AL34" s="55" t="str">
        <f t="shared" ref="AL34" si="203">LOWER(K35)&amp;UPPER(K34)</f>
        <v>dG</v>
      </c>
      <c r="AM34" s="55" t="str">
        <f t="shared" ref="AM34" si="204">LOWER(L35)&amp;UPPER(L34)</f>
        <v>dH</v>
      </c>
      <c r="AN34" s="55" t="str">
        <f t="shared" ref="AN34" si="205">LOWER(M35)&amp;UPPER(M34)</f>
        <v>dI</v>
      </c>
      <c r="AO34" s="55" t="str">
        <f t="shared" ref="AO34" si="206">LOWER(N35)&amp;UPPER(N34)</f>
        <v>dJ</v>
      </c>
      <c r="AP34" s="55" t="str">
        <f t="shared" ref="AP34" si="207">LOWER(O35)&amp;UPPER(O34)</f>
        <v>dK</v>
      </c>
      <c r="AQ34" s="55" t="str">
        <f t="shared" ref="AQ34" si="208">LOWER(P35)&amp;UPPER(P34)</f>
        <v>dL</v>
      </c>
      <c r="AR34" s="55" t="str">
        <f t="shared" ref="AR34" si="209">LOWER(Q35)&amp;UPPER(Q34)</f>
        <v>dM</v>
      </c>
      <c r="AS34" s="55" t="str">
        <f t="shared" ref="AS34" si="210">LOWER(R35)&amp;UPPER(R34)</f>
        <v>dN</v>
      </c>
      <c r="AT34" s="55" t="str">
        <f t="shared" ref="AT34" si="211">LOWER(S35)&amp;UPPER(S34)</f>
        <v>dO</v>
      </c>
      <c r="AU34" s="55" t="str">
        <f t="shared" ref="AU34" si="212">LOWER(T35)&amp;UPPER(T34)</f>
        <v>dP</v>
      </c>
      <c r="AV34" s="55" t="str">
        <f t="shared" ref="AV34" si="213">LOWER(U35)&amp;UPPER(U34)</f>
        <v>dQ</v>
      </c>
      <c r="AW34" s="71" t="str">
        <f t="shared" ref="AW34" si="214">LOWER(V35)&amp;UPPER(V34)</f>
        <v>dR</v>
      </c>
      <c r="AX34" s="55" t="str">
        <f t="shared" ref="AX34" si="215">LOWER(W35)&amp;UPPER(W34)</f>
        <v>dS</v>
      </c>
      <c r="AY34" s="55" t="str">
        <f t="shared" ref="AY34" si="216">LOWER(X35)&amp;UPPER(X34)</f>
        <v>dT</v>
      </c>
      <c r="AZ34" s="55" t="str">
        <f t="shared" ref="AZ34" si="217">LOWER(Y35)&amp;UPPER(Y34)</f>
        <v>dU</v>
      </c>
      <c r="BA34" s="55" t="str">
        <f t="shared" ref="BA34" si="218">LOWER(Z35)&amp;UPPER(Z34)</f>
        <v>dV</v>
      </c>
      <c r="BB34" s="55" t="str">
        <f t="shared" ref="BB34" si="219">LOWER(AA35)&amp;UPPER(AA34)</f>
        <v>dW</v>
      </c>
      <c r="BC34" s="55" t="str">
        <f t="shared" ref="BC34" si="220">LOWER(AB35)&amp;UPPER(AB34)</f>
        <v>dX</v>
      </c>
      <c r="BD34" s="55" t="str">
        <f t="shared" ref="BD34" si="221">LOWER(AC35)&amp;UPPER(AC34)</f>
        <v>dY</v>
      </c>
      <c r="BE34" s="94" t="str">
        <f t="shared" ref="BE34" si="222">LOWER(AD35)&amp;UPPER(AD34)</f>
        <v>dZ</v>
      </c>
      <c r="BG34" s="70"/>
      <c r="BH34" s="71"/>
      <c r="BI34" s="71"/>
      <c r="BJ34" s="71"/>
      <c r="BK34" s="71"/>
      <c r="BL34" s="71"/>
      <c r="BM34" s="71"/>
      <c r="BN34" s="71"/>
      <c r="BO34" s="71"/>
      <c r="BP34" s="71"/>
      <c r="BQ34" s="71"/>
      <c r="BR34" s="71"/>
      <c r="BS34" s="71"/>
      <c r="BT34" s="71"/>
      <c r="BU34" s="71"/>
      <c r="BV34" s="71"/>
      <c r="BW34" s="71"/>
      <c r="BX34" s="71"/>
      <c r="BY34" s="71"/>
      <c r="BZ34" s="71"/>
      <c r="CA34" s="71"/>
      <c r="CB34" s="71"/>
      <c r="CC34" s="71"/>
      <c r="CD34" s="71"/>
      <c r="CE34" s="71"/>
      <c r="CF34" s="72"/>
    </row>
    <row r="35" spans="1:84" x14ac:dyDescent="0.35">
      <c r="A35" s="37" t="s">
        <v>586</v>
      </c>
      <c r="B35" s="36" t="s">
        <v>396</v>
      </c>
      <c r="D35" s="74" t="s">
        <v>3</v>
      </c>
      <c r="E35" s="67" t="str">
        <f>D35</f>
        <v>D</v>
      </c>
      <c r="F35" s="68" t="str">
        <f t="shared" ref="F35:AD35" si="223">E35</f>
        <v>D</v>
      </c>
      <c r="G35" s="68" t="str">
        <f t="shared" si="223"/>
        <v>D</v>
      </c>
      <c r="H35" s="68" t="str">
        <f t="shared" si="223"/>
        <v>D</v>
      </c>
      <c r="I35" s="68" t="str">
        <f t="shared" si="223"/>
        <v>D</v>
      </c>
      <c r="J35" s="68" t="str">
        <f t="shared" si="223"/>
        <v>D</v>
      </c>
      <c r="K35" s="68" t="str">
        <f t="shared" si="223"/>
        <v>D</v>
      </c>
      <c r="L35" s="68" t="str">
        <f t="shared" si="223"/>
        <v>D</v>
      </c>
      <c r="M35" s="68" t="str">
        <f t="shared" si="223"/>
        <v>D</v>
      </c>
      <c r="N35" s="68" t="str">
        <f t="shared" si="223"/>
        <v>D</v>
      </c>
      <c r="O35" s="68" t="str">
        <f t="shared" si="223"/>
        <v>D</v>
      </c>
      <c r="P35" s="68" t="str">
        <f t="shared" si="223"/>
        <v>D</v>
      </c>
      <c r="Q35" s="68" t="str">
        <f t="shared" si="223"/>
        <v>D</v>
      </c>
      <c r="R35" s="68" t="str">
        <f t="shared" si="223"/>
        <v>D</v>
      </c>
      <c r="S35" s="68" t="str">
        <f t="shared" si="223"/>
        <v>D</v>
      </c>
      <c r="T35" s="68" t="str">
        <f t="shared" si="223"/>
        <v>D</v>
      </c>
      <c r="U35" s="68" t="str">
        <f t="shared" si="223"/>
        <v>D</v>
      </c>
      <c r="V35" s="68" t="str">
        <f t="shared" si="223"/>
        <v>D</v>
      </c>
      <c r="W35" s="68" t="str">
        <f t="shared" si="223"/>
        <v>D</v>
      </c>
      <c r="X35" s="68" t="str">
        <f t="shared" si="223"/>
        <v>D</v>
      </c>
      <c r="Y35" s="68" t="str">
        <f t="shared" si="223"/>
        <v>D</v>
      </c>
      <c r="Z35" s="68" t="str">
        <f t="shared" si="223"/>
        <v>D</v>
      </c>
      <c r="AA35" s="68" t="str">
        <f t="shared" si="223"/>
        <v>D</v>
      </c>
      <c r="AB35" s="68" t="str">
        <f t="shared" si="223"/>
        <v>D</v>
      </c>
      <c r="AC35" s="68" t="str">
        <f t="shared" si="223"/>
        <v>D</v>
      </c>
      <c r="AD35" s="69" t="str">
        <f t="shared" si="223"/>
        <v>D</v>
      </c>
      <c r="AF35" s="57" t="str">
        <f>LOWER(E34)&amp;UPPER(E35)</f>
        <v>aD</v>
      </c>
      <c r="AG35" s="58" t="str">
        <f>LOWER(F34)&amp;UPPER(F35)</f>
        <v>bD</v>
      </c>
      <c r="AH35" s="58" t="str">
        <f>LOWER(G34)&amp;UPPER(G35)</f>
        <v>cD</v>
      </c>
      <c r="AI35" s="58" t="str">
        <f t="shared" ref="AI35" si="224">LOWER(H34)&amp;UPPER(H35)</f>
        <v>dD</v>
      </c>
      <c r="AJ35" s="58" t="str">
        <f t="shared" ref="AJ35" si="225">LOWER(I34)&amp;UPPER(I35)</f>
        <v>eD</v>
      </c>
      <c r="AK35" s="58" t="str">
        <f t="shared" ref="AK35" si="226">LOWER(J34)&amp;UPPER(J35)</f>
        <v>fD</v>
      </c>
      <c r="AL35" s="58" t="str">
        <f t="shared" ref="AL35" si="227">LOWER(K34)&amp;UPPER(K35)</f>
        <v>gD</v>
      </c>
      <c r="AM35" s="58" t="str">
        <f t="shared" ref="AM35" si="228">LOWER(L34)&amp;UPPER(L35)</f>
        <v>hD</v>
      </c>
      <c r="AN35" s="58" t="str">
        <f t="shared" ref="AN35" si="229">LOWER(M34)&amp;UPPER(M35)</f>
        <v>iD</v>
      </c>
      <c r="AO35" s="58" t="str">
        <f t="shared" ref="AO35" si="230">LOWER(N34)&amp;UPPER(N35)</f>
        <v>jD</v>
      </c>
      <c r="AP35" s="58" t="str">
        <f t="shared" ref="AP35" si="231">LOWER(O34)&amp;UPPER(O35)</f>
        <v>kD</v>
      </c>
      <c r="AQ35" s="58" t="str">
        <f t="shared" ref="AQ35" si="232">LOWER(P34)&amp;UPPER(P35)</f>
        <v>lD</v>
      </c>
      <c r="AR35" s="58" t="str">
        <f t="shared" ref="AR35" si="233">LOWER(Q34)&amp;UPPER(Q35)</f>
        <v>mD</v>
      </c>
      <c r="AS35" s="58" t="str">
        <f t="shared" ref="AS35" si="234">LOWER(R34)&amp;UPPER(R35)</f>
        <v>nD</v>
      </c>
      <c r="AT35" s="58" t="str">
        <f t="shared" ref="AT35" si="235">LOWER(S34)&amp;UPPER(S35)</f>
        <v>oD</v>
      </c>
      <c r="AU35" s="58" t="str">
        <f t="shared" ref="AU35" si="236">LOWER(T34)&amp;UPPER(T35)</f>
        <v>pD</v>
      </c>
      <c r="AV35" s="58" t="str">
        <f t="shared" ref="AV35" si="237">LOWER(U34)&amp;UPPER(U35)</f>
        <v>qD</v>
      </c>
      <c r="AW35" s="68" t="str">
        <f t="shared" ref="AW35" si="238">LOWER(V34)&amp;UPPER(V35)</f>
        <v>rD</v>
      </c>
      <c r="AX35" s="58" t="str">
        <f t="shared" ref="AX35" si="239">LOWER(W34)&amp;UPPER(W35)</f>
        <v>sD</v>
      </c>
      <c r="AY35" s="58" t="str">
        <f t="shared" ref="AY35" si="240">LOWER(X34)&amp;UPPER(X35)</f>
        <v>tD</v>
      </c>
      <c r="AZ35" s="58" t="str">
        <f t="shared" ref="AZ35" si="241">LOWER(Y34)&amp;UPPER(Y35)</f>
        <v>uD</v>
      </c>
      <c r="BA35" s="58" t="str">
        <f t="shared" ref="BA35" si="242">LOWER(Z34)&amp;UPPER(Z35)</f>
        <v>vD</v>
      </c>
      <c r="BB35" s="58" t="str">
        <f t="shared" ref="BB35" si="243">LOWER(AA34)&amp;UPPER(AA35)</f>
        <v>wD</v>
      </c>
      <c r="BC35" s="58" t="str">
        <f t="shared" ref="BC35" si="244">LOWER(AB34)&amp;UPPER(AB35)</f>
        <v>xD</v>
      </c>
      <c r="BD35" s="58" t="str">
        <f t="shared" ref="BD35" si="245">LOWER(AC34)&amp;UPPER(AC35)</f>
        <v>yD</v>
      </c>
      <c r="BE35" s="93" t="str">
        <f t="shared" ref="BE35" si="246">LOWER(AD34)&amp;UPPER(AD35)</f>
        <v>zD</v>
      </c>
      <c r="BG35" s="67"/>
      <c r="BH35" s="68"/>
      <c r="BI35" s="68"/>
      <c r="BJ35" s="68"/>
      <c r="BK35" s="68"/>
      <c r="BL35" s="68"/>
      <c r="BM35" s="68"/>
      <c r="BN35" s="68"/>
      <c r="BO35" s="68"/>
      <c r="BP35" s="68"/>
      <c r="BQ35" s="68"/>
      <c r="BR35" s="68"/>
      <c r="BS35" s="68"/>
      <c r="BT35" s="68"/>
      <c r="BU35" s="68"/>
      <c r="BV35" s="68"/>
      <c r="BW35" s="68"/>
      <c r="BX35" s="68"/>
      <c r="BY35" s="68"/>
      <c r="BZ35" s="68"/>
      <c r="CA35" s="68"/>
      <c r="CB35" s="68"/>
      <c r="CC35" s="68"/>
      <c r="CD35" s="68"/>
      <c r="CE35" s="68"/>
      <c r="CF35" s="69"/>
    </row>
    <row r="36" spans="1:84" x14ac:dyDescent="0.35">
      <c r="A36" s="35" t="s">
        <v>586</v>
      </c>
      <c r="B36" s="36" t="s">
        <v>395</v>
      </c>
      <c r="D36" s="73"/>
      <c r="E36" s="64" t="s">
        <v>397</v>
      </c>
      <c r="F36" s="65" t="s">
        <v>398</v>
      </c>
      <c r="G36" s="65" t="s">
        <v>399</v>
      </c>
      <c r="H36" s="65" t="s">
        <v>400</v>
      </c>
      <c r="I36" s="65" t="s">
        <v>401</v>
      </c>
      <c r="J36" s="65" t="s">
        <v>402</v>
      </c>
      <c r="K36" s="65" t="s">
        <v>403</v>
      </c>
      <c r="L36" s="65" t="s">
        <v>404</v>
      </c>
      <c r="M36" s="65" t="s">
        <v>405</v>
      </c>
      <c r="N36" s="65" t="s">
        <v>406</v>
      </c>
      <c r="O36" s="65" t="s">
        <v>407</v>
      </c>
      <c r="P36" s="65" t="s">
        <v>408</v>
      </c>
      <c r="Q36" s="65" t="s">
        <v>409</v>
      </c>
      <c r="R36" s="65" t="s">
        <v>410</v>
      </c>
      <c r="S36" s="65" t="s">
        <v>411</v>
      </c>
      <c r="T36" s="65" t="s">
        <v>412</v>
      </c>
      <c r="U36" s="65" t="s">
        <v>413</v>
      </c>
      <c r="V36" s="65" t="s">
        <v>414</v>
      </c>
      <c r="W36" s="65" t="s">
        <v>415</v>
      </c>
      <c r="X36" s="65" t="s">
        <v>416</v>
      </c>
      <c r="Y36" s="65" t="s">
        <v>417</v>
      </c>
      <c r="Z36" s="65" t="s">
        <v>418</v>
      </c>
      <c r="AA36" s="65" t="s">
        <v>419</v>
      </c>
      <c r="AB36" s="65" t="s">
        <v>420</v>
      </c>
      <c r="AC36" s="65" t="s">
        <v>421</v>
      </c>
      <c r="AD36" s="66" t="s">
        <v>422</v>
      </c>
      <c r="AF36" s="54" t="str">
        <f>LOWER(E37)&amp;UPPER(E36)</f>
        <v>eA</v>
      </c>
      <c r="AG36" s="55" t="str">
        <f>LOWER(F37)&amp;UPPER(F36)</f>
        <v>eB</v>
      </c>
      <c r="AH36" s="55" t="str">
        <f>LOWER(G37)&amp;UPPER(G36)</f>
        <v>eC</v>
      </c>
      <c r="AI36" s="55" t="str">
        <f t="shared" ref="AI36" si="247">LOWER(H37)&amp;UPPER(H36)</f>
        <v>eD</v>
      </c>
      <c r="AJ36" s="55" t="str">
        <f t="shared" ref="AJ36" si="248">LOWER(I37)&amp;UPPER(I36)</f>
        <v>eE</v>
      </c>
      <c r="AK36" s="55" t="str">
        <f t="shared" ref="AK36" si="249">LOWER(J37)&amp;UPPER(J36)</f>
        <v>eF</v>
      </c>
      <c r="AL36" s="55" t="str">
        <f t="shared" ref="AL36" si="250">LOWER(K37)&amp;UPPER(K36)</f>
        <v>eG</v>
      </c>
      <c r="AM36" s="55" t="str">
        <f t="shared" ref="AM36" si="251">LOWER(L37)&amp;UPPER(L36)</f>
        <v>eH</v>
      </c>
      <c r="AN36" s="55" t="str">
        <f t="shared" ref="AN36" si="252">LOWER(M37)&amp;UPPER(M36)</f>
        <v>eI</v>
      </c>
      <c r="AO36" s="55" t="str">
        <f t="shared" ref="AO36" si="253">LOWER(N37)&amp;UPPER(N36)</f>
        <v>eJ</v>
      </c>
      <c r="AP36" s="55" t="str">
        <f t="shared" ref="AP36" si="254">LOWER(O37)&amp;UPPER(O36)</f>
        <v>eK</v>
      </c>
      <c r="AQ36" s="55" t="str">
        <f t="shared" ref="AQ36" si="255">LOWER(P37)&amp;UPPER(P36)</f>
        <v>eL</v>
      </c>
      <c r="AR36" s="71" t="str">
        <f t="shared" ref="AR36" si="256">LOWER(Q37)&amp;UPPER(Q36)</f>
        <v>eM</v>
      </c>
      <c r="AS36" s="55" t="str">
        <f t="shared" ref="AS36" si="257">LOWER(R37)&amp;UPPER(R36)</f>
        <v>eN</v>
      </c>
      <c r="AT36" s="55" t="str">
        <f t="shared" ref="AT36" si="258">LOWER(S37)&amp;UPPER(S36)</f>
        <v>eO</v>
      </c>
      <c r="AU36" s="55" t="str">
        <f t="shared" ref="AU36" si="259">LOWER(T37)&amp;UPPER(T36)</f>
        <v>eP</v>
      </c>
      <c r="AV36" s="55" t="str">
        <f t="shared" ref="AV36" si="260">LOWER(U37)&amp;UPPER(U36)</f>
        <v>eQ</v>
      </c>
      <c r="AW36" s="55" t="str">
        <f t="shared" ref="AW36" si="261">LOWER(V37)&amp;UPPER(V36)</f>
        <v>eR</v>
      </c>
      <c r="AX36" s="55" t="str">
        <f t="shared" ref="AX36" si="262">LOWER(W37)&amp;UPPER(W36)</f>
        <v>eS</v>
      </c>
      <c r="AY36" s="55" t="str">
        <f t="shared" ref="AY36" si="263">LOWER(X37)&amp;UPPER(X36)</f>
        <v>eT</v>
      </c>
      <c r="AZ36" s="55" t="str">
        <f t="shared" ref="AZ36" si="264">LOWER(Y37)&amp;UPPER(Y36)</f>
        <v>eU</v>
      </c>
      <c r="BA36" s="55" t="str">
        <f t="shared" ref="BA36" si="265">LOWER(Z37)&amp;UPPER(Z36)</f>
        <v>eV</v>
      </c>
      <c r="BB36" s="55" t="str">
        <f t="shared" ref="BB36" si="266">LOWER(AA37)&amp;UPPER(AA36)</f>
        <v>eW</v>
      </c>
      <c r="BC36" s="55" t="str">
        <f t="shared" ref="BC36" si="267">LOWER(AB37)&amp;UPPER(AB36)</f>
        <v>eX</v>
      </c>
      <c r="BD36" s="55" t="str">
        <f t="shared" ref="BD36" si="268">LOWER(AC37)&amp;UPPER(AC36)</f>
        <v>eY</v>
      </c>
      <c r="BE36" s="94" t="str">
        <f t="shared" ref="BE36" si="269">LOWER(AD37)&amp;UPPER(AD36)</f>
        <v>eZ</v>
      </c>
      <c r="BG36" s="70"/>
      <c r="BH36" s="71"/>
      <c r="BI36" s="71"/>
      <c r="BJ36" s="71"/>
      <c r="BK36" s="71"/>
      <c r="BL36" s="71"/>
      <c r="BM36" s="71"/>
      <c r="BN36" s="71"/>
      <c r="BO36" s="71"/>
      <c r="BP36" s="71"/>
      <c r="BQ36" s="71"/>
      <c r="BR36" s="71"/>
      <c r="BS36" s="71"/>
      <c r="BT36" s="71"/>
      <c r="BU36" s="71"/>
      <c r="BV36" s="71"/>
      <c r="BW36" s="71"/>
      <c r="BX36" s="71"/>
      <c r="BY36" s="71"/>
      <c r="BZ36" s="71"/>
      <c r="CA36" s="71"/>
      <c r="CB36" s="71"/>
      <c r="CC36" s="71"/>
      <c r="CD36" s="71"/>
      <c r="CE36" s="71"/>
      <c r="CF36" s="72"/>
    </row>
    <row r="37" spans="1:84" x14ac:dyDescent="0.35">
      <c r="A37" s="37" t="s">
        <v>586</v>
      </c>
      <c r="B37" s="36" t="s">
        <v>396</v>
      </c>
      <c r="D37" s="74" t="s">
        <v>4</v>
      </c>
      <c r="E37" s="67" t="str">
        <f>D37</f>
        <v>E</v>
      </c>
      <c r="F37" s="68" t="str">
        <f t="shared" ref="F37:AD37" si="270">E37</f>
        <v>E</v>
      </c>
      <c r="G37" s="68" t="str">
        <f t="shared" si="270"/>
        <v>E</v>
      </c>
      <c r="H37" s="68" t="str">
        <f t="shared" si="270"/>
        <v>E</v>
      </c>
      <c r="I37" s="68" t="str">
        <f t="shared" si="270"/>
        <v>E</v>
      </c>
      <c r="J37" s="68" t="str">
        <f t="shared" si="270"/>
        <v>E</v>
      </c>
      <c r="K37" s="68" t="str">
        <f t="shared" si="270"/>
        <v>E</v>
      </c>
      <c r="L37" s="68" t="str">
        <f t="shared" si="270"/>
        <v>E</v>
      </c>
      <c r="M37" s="68" t="str">
        <f t="shared" si="270"/>
        <v>E</v>
      </c>
      <c r="N37" s="68" t="str">
        <f t="shared" si="270"/>
        <v>E</v>
      </c>
      <c r="O37" s="68" t="str">
        <f t="shared" si="270"/>
        <v>E</v>
      </c>
      <c r="P37" s="68" t="str">
        <f t="shared" si="270"/>
        <v>E</v>
      </c>
      <c r="Q37" s="68" t="str">
        <f t="shared" si="270"/>
        <v>E</v>
      </c>
      <c r="R37" s="68" t="str">
        <f t="shared" si="270"/>
        <v>E</v>
      </c>
      <c r="S37" s="68" t="str">
        <f t="shared" si="270"/>
        <v>E</v>
      </c>
      <c r="T37" s="68" t="str">
        <f t="shared" si="270"/>
        <v>E</v>
      </c>
      <c r="U37" s="68" t="str">
        <f t="shared" si="270"/>
        <v>E</v>
      </c>
      <c r="V37" s="68" t="str">
        <f t="shared" si="270"/>
        <v>E</v>
      </c>
      <c r="W37" s="68" t="str">
        <f t="shared" si="270"/>
        <v>E</v>
      </c>
      <c r="X37" s="68" t="str">
        <f t="shared" si="270"/>
        <v>E</v>
      </c>
      <c r="Y37" s="68" t="str">
        <f t="shared" si="270"/>
        <v>E</v>
      </c>
      <c r="Z37" s="68" t="str">
        <f t="shared" si="270"/>
        <v>E</v>
      </c>
      <c r="AA37" s="68" t="str">
        <f t="shared" si="270"/>
        <v>E</v>
      </c>
      <c r="AB37" s="68" t="str">
        <f t="shared" si="270"/>
        <v>E</v>
      </c>
      <c r="AC37" s="68" t="str">
        <f t="shared" si="270"/>
        <v>E</v>
      </c>
      <c r="AD37" s="69" t="str">
        <f t="shared" si="270"/>
        <v>E</v>
      </c>
      <c r="AF37" s="57" t="str">
        <f>LOWER(E36)&amp;UPPER(E37)</f>
        <v>aE</v>
      </c>
      <c r="AG37" s="58" t="str">
        <f>LOWER(F36)&amp;UPPER(F37)</f>
        <v>bE</v>
      </c>
      <c r="AH37" s="58" t="str">
        <f>LOWER(G36)&amp;UPPER(G37)</f>
        <v>cE</v>
      </c>
      <c r="AI37" s="58" t="str">
        <f t="shared" ref="AI37" si="271">LOWER(H36)&amp;UPPER(H37)</f>
        <v>dE</v>
      </c>
      <c r="AJ37" s="58" t="str">
        <f t="shared" ref="AJ37" si="272">LOWER(I36)&amp;UPPER(I37)</f>
        <v>eE</v>
      </c>
      <c r="AK37" s="58" t="str">
        <f t="shared" ref="AK37" si="273">LOWER(J36)&amp;UPPER(J37)</f>
        <v>fE</v>
      </c>
      <c r="AL37" s="58" t="str">
        <f t="shared" ref="AL37" si="274">LOWER(K36)&amp;UPPER(K37)</f>
        <v>gE</v>
      </c>
      <c r="AM37" s="58" t="str">
        <f t="shared" ref="AM37" si="275">LOWER(L36)&amp;UPPER(L37)</f>
        <v>hE</v>
      </c>
      <c r="AN37" s="58" t="str">
        <f t="shared" ref="AN37" si="276">LOWER(M36)&amp;UPPER(M37)</f>
        <v>iE</v>
      </c>
      <c r="AO37" s="58" t="str">
        <f t="shared" ref="AO37" si="277">LOWER(N36)&amp;UPPER(N37)</f>
        <v>jE</v>
      </c>
      <c r="AP37" s="58" t="str">
        <f t="shared" ref="AP37" si="278">LOWER(O36)&amp;UPPER(O37)</f>
        <v>kE</v>
      </c>
      <c r="AQ37" s="58" t="str">
        <f t="shared" ref="AQ37" si="279">LOWER(P36)&amp;UPPER(P37)</f>
        <v>lE</v>
      </c>
      <c r="AR37" s="68" t="str">
        <f t="shared" ref="AR37" si="280">LOWER(Q36)&amp;UPPER(Q37)</f>
        <v>mE</v>
      </c>
      <c r="AS37" s="58" t="str">
        <f t="shared" ref="AS37" si="281">LOWER(R36)&amp;UPPER(R37)</f>
        <v>nE</v>
      </c>
      <c r="AT37" s="58" t="str">
        <f t="shared" ref="AT37" si="282">LOWER(S36)&amp;UPPER(S37)</f>
        <v>oE</v>
      </c>
      <c r="AU37" s="58" t="str">
        <f t="shared" ref="AU37" si="283">LOWER(T36)&amp;UPPER(T37)</f>
        <v>pE</v>
      </c>
      <c r="AV37" s="58" t="str">
        <f t="shared" ref="AV37" si="284">LOWER(U36)&amp;UPPER(U37)</f>
        <v>qE</v>
      </c>
      <c r="AW37" s="58" t="str">
        <f t="shared" ref="AW37" si="285">LOWER(V36)&amp;UPPER(V37)</f>
        <v>rE</v>
      </c>
      <c r="AX37" s="58" t="str">
        <f t="shared" ref="AX37" si="286">LOWER(W36)&amp;UPPER(W37)</f>
        <v>sE</v>
      </c>
      <c r="AY37" s="58" t="str">
        <f t="shared" ref="AY37" si="287">LOWER(X36)&amp;UPPER(X37)</f>
        <v>tE</v>
      </c>
      <c r="AZ37" s="58" t="str">
        <f t="shared" ref="AZ37" si="288">LOWER(Y36)&amp;UPPER(Y37)</f>
        <v>uE</v>
      </c>
      <c r="BA37" s="58" t="str">
        <f t="shared" ref="BA37" si="289">LOWER(Z36)&amp;UPPER(Z37)</f>
        <v>vE</v>
      </c>
      <c r="BB37" s="58" t="str">
        <f t="shared" ref="BB37" si="290">LOWER(AA36)&amp;UPPER(AA37)</f>
        <v>wE</v>
      </c>
      <c r="BC37" s="58" t="str">
        <f t="shared" ref="BC37" si="291">LOWER(AB36)&amp;UPPER(AB37)</f>
        <v>xE</v>
      </c>
      <c r="BD37" s="58" t="str">
        <f t="shared" ref="BD37" si="292">LOWER(AC36)&amp;UPPER(AC37)</f>
        <v>yE</v>
      </c>
      <c r="BE37" s="93" t="str">
        <f t="shared" ref="BE37" si="293">LOWER(AD36)&amp;UPPER(AD37)</f>
        <v>zE</v>
      </c>
      <c r="BG37" s="67"/>
      <c r="BH37" s="68"/>
      <c r="BI37" s="68"/>
      <c r="BJ37" s="68"/>
      <c r="BK37" s="68"/>
      <c r="BL37" s="68"/>
      <c r="BM37" s="68"/>
      <c r="BN37" s="68"/>
      <c r="BO37" s="68"/>
      <c r="BP37" s="68"/>
      <c r="BQ37" s="68"/>
      <c r="BR37" s="68"/>
      <c r="BS37" s="68"/>
      <c r="BT37" s="68"/>
      <c r="BU37" s="68"/>
      <c r="BV37" s="68"/>
      <c r="BW37" s="68"/>
      <c r="BX37" s="68"/>
      <c r="BY37" s="68"/>
      <c r="BZ37" s="68"/>
      <c r="CA37" s="68"/>
      <c r="CB37" s="68"/>
      <c r="CC37" s="68"/>
      <c r="CD37" s="68"/>
      <c r="CE37" s="68"/>
      <c r="CF37" s="69"/>
    </row>
    <row r="38" spans="1:84" x14ac:dyDescent="0.35">
      <c r="A38" s="35" t="s">
        <v>586</v>
      </c>
      <c r="B38" s="36" t="s">
        <v>395</v>
      </c>
      <c r="D38" s="73"/>
      <c r="E38" s="64" t="s">
        <v>397</v>
      </c>
      <c r="F38" s="65" t="s">
        <v>398</v>
      </c>
      <c r="G38" s="65" t="s">
        <v>399</v>
      </c>
      <c r="H38" s="65" t="s">
        <v>400</v>
      </c>
      <c r="I38" s="65" t="s">
        <v>401</v>
      </c>
      <c r="J38" s="65" t="s">
        <v>402</v>
      </c>
      <c r="K38" s="65" t="s">
        <v>403</v>
      </c>
      <c r="L38" s="65" t="s">
        <v>404</v>
      </c>
      <c r="M38" s="65" t="s">
        <v>405</v>
      </c>
      <c r="N38" s="65" t="s">
        <v>406</v>
      </c>
      <c r="O38" s="65" t="s">
        <v>407</v>
      </c>
      <c r="P38" s="65" t="s">
        <v>408</v>
      </c>
      <c r="Q38" s="65" t="s">
        <v>409</v>
      </c>
      <c r="R38" s="65" t="s">
        <v>410</v>
      </c>
      <c r="S38" s="65" t="s">
        <v>411</v>
      </c>
      <c r="T38" s="65" t="s">
        <v>412</v>
      </c>
      <c r="U38" s="65" t="s">
        <v>413</v>
      </c>
      <c r="V38" s="65" t="s">
        <v>414</v>
      </c>
      <c r="W38" s="65" t="s">
        <v>415</v>
      </c>
      <c r="X38" s="65" t="s">
        <v>416</v>
      </c>
      <c r="Y38" s="65" t="s">
        <v>417</v>
      </c>
      <c r="Z38" s="65" t="s">
        <v>418</v>
      </c>
      <c r="AA38" s="65" t="s">
        <v>419</v>
      </c>
      <c r="AB38" s="65" t="s">
        <v>420</v>
      </c>
      <c r="AC38" s="65" t="s">
        <v>421</v>
      </c>
      <c r="AD38" s="66" t="s">
        <v>422</v>
      </c>
      <c r="AF38" s="54" t="str">
        <f>LOWER(E39)&amp;UPPER(E38)</f>
        <v>fA</v>
      </c>
      <c r="AG38" s="55" t="str">
        <f>LOWER(F39)&amp;UPPER(F38)</f>
        <v>fB</v>
      </c>
      <c r="AH38" s="71" t="str">
        <f>LOWER(G39)&amp;UPPER(G38)</f>
        <v>fC</v>
      </c>
      <c r="AI38" s="55" t="str">
        <f t="shared" ref="AI38" si="294">LOWER(H39)&amp;UPPER(H38)</f>
        <v>fD</v>
      </c>
      <c r="AJ38" s="55" t="str">
        <f t="shared" ref="AJ38" si="295">LOWER(I39)&amp;UPPER(I38)</f>
        <v>fE</v>
      </c>
      <c r="AK38" s="71" t="str">
        <f t="shared" ref="AK38" si="296">LOWER(J39)&amp;UPPER(J38)</f>
        <v>fF</v>
      </c>
      <c r="AL38" s="71" t="str">
        <f t="shared" ref="AL38" si="297">LOWER(K39)&amp;UPPER(K38)</f>
        <v>fG</v>
      </c>
      <c r="AM38" s="55" t="str">
        <f t="shared" ref="AM38" si="298">LOWER(L39)&amp;UPPER(L38)</f>
        <v>fH</v>
      </c>
      <c r="AN38" s="71" t="str">
        <f t="shared" ref="AN38" si="299">LOWER(M39)&amp;UPPER(M38)</f>
        <v>fI</v>
      </c>
      <c r="AO38" s="71" t="str">
        <f t="shared" ref="AO38" si="300">LOWER(N39)&amp;UPPER(N38)</f>
        <v>fJ</v>
      </c>
      <c r="AP38" s="71" t="str">
        <f t="shared" ref="AP38" si="301">LOWER(O39)&amp;UPPER(O38)</f>
        <v>fK</v>
      </c>
      <c r="AQ38" s="71" t="str">
        <f t="shared" ref="AQ38" si="302">LOWER(P39)&amp;UPPER(P38)</f>
        <v>fL</v>
      </c>
      <c r="AR38" s="71" t="str">
        <f t="shared" ref="AR38" si="303">LOWER(Q39)&amp;UPPER(Q38)</f>
        <v>fM</v>
      </c>
      <c r="AS38" s="71" t="str">
        <f t="shared" ref="AS38" si="304">LOWER(R39)&amp;UPPER(R38)</f>
        <v>fN</v>
      </c>
      <c r="AT38" s="71" t="str">
        <f t="shared" ref="AT38" si="305">LOWER(S39)&amp;UPPER(S38)</f>
        <v>fO</v>
      </c>
      <c r="AU38" s="71" t="str">
        <f t="shared" ref="AU38" si="306">LOWER(T39)&amp;UPPER(T38)</f>
        <v>fP</v>
      </c>
      <c r="AV38" s="71" t="str">
        <f t="shared" ref="AV38" si="307">LOWER(U39)&amp;UPPER(U38)</f>
        <v>fQ</v>
      </c>
      <c r="AW38" s="71" t="str">
        <f t="shared" ref="AW38" si="308">LOWER(V39)&amp;UPPER(V38)</f>
        <v>fR</v>
      </c>
      <c r="AX38" s="71" t="str">
        <f t="shared" ref="AX38" si="309">LOWER(W39)&amp;UPPER(W38)</f>
        <v>fS</v>
      </c>
      <c r="AY38" s="71" t="str">
        <f t="shared" ref="AY38" si="310">LOWER(X39)&amp;UPPER(X38)</f>
        <v>fT</v>
      </c>
      <c r="AZ38" s="71" t="str">
        <f t="shared" ref="AZ38" si="311">LOWER(Y39)&amp;UPPER(Y38)</f>
        <v>fU</v>
      </c>
      <c r="BA38" s="71" t="str">
        <f t="shared" ref="BA38" si="312">LOWER(Z39)&amp;UPPER(Z38)</f>
        <v>fV</v>
      </c>
      <c r="BB38" s="71" t="str">
        <f t="shared" ref="BB38" si="313">LOWER(AA39)&amp;UPPER(AA38)</f>
        <v>fW</v>
      </c>
      <c r="BC38" s="71" t="str">
        <f t="shared" ref="BC38" si="314">LOWER(AB39)&amp;UPPER(AB38)</f>
        <v>fX</v>
      </c>
      <c r="BD38" s="71" t="str">
        <f t="shared" ref="BD38" si="315">LOWER(AC39)&amp;UPPER(AC38)</f>
        <v>fY</v>
      </c>
      <c r="BE38" s="72" t="str">
        <f t="shared" ref="BE38" si="316">LOWER(AD39)&amp;UPPER(AD38)</f>
        <v>fZ</v>
      </c>
      <c r="BG38" s="70"/>
      <c r="BH38" s="71"/>
      <c r="BI38" s="71"/>
      <c r="BJ38" s="71"/>
      <c r="BK38" s="71"/>
      <c r="BL38" s="71"/>
      <c r="BM38" s="71"/>
      <c r="BN38" s="71"/>
      <c r="BO38" s="71"/>
      <c r="BP38" s="71"/>
      <c r="BQ38" s="71"/>
      <c r="BR38" s="71"/>
      <c r="BS38" s="71"/>
      <c r="BT38" s="71"/>
      <c r="BU38" s="71"/>
      <c r="BV38" s="71"/>
      <c r="BW38" s="71"/>
      <c r="BX38" s="71"/>
      <c r="BY38" s="71"/>
      <c r="BZ38" s="71"/>
      <c r="CA38" s="71"/>
      <c r="CB38" s="71"/>
      <c r="CC38" s="71"/>
      <c r="CD38" s="71"/>
      <c r="CE38" s="71"/>
      <c r="CF38" s="72"/>
    </row>
    <row r="39" spans="1:84" x14ac:dyDescent="0.35">
      <c r="A39" s="37" t="s">
        <v>586</v>
      </c>
      <c r="B39" s="36" t="s">
        <v>396</v>
      </c>
      <c r="D39" s="74" t="s">
        <v>5</v>
      </c>
      <c r="E39" s="67" t="str">
        <f>D39</f>
        <v>F</v>
      </c>
      <c r="F39" s="68" t="str">
        <f t="shared" ref="F39:AD39" si="317">E39</f>
        <v>F</v>
      </c>
      <c r="G39" s="68" t="str">
        <f t="shared" si="317"/>
        <v>F</v>
      </c>
      <c r="H39" s="68" t="str">
        <f t="shared" si="317"/>
        <v>F</v>
      </c>
      <c r="I39" s="68" t="str">
        <f t="shared" si="317"/>
        <v>F</v>
      </c>
      <c r="J39" s="68" t="str">
        <f t="shared" si="317"/>
        <v>F</v>
      </c>
      <c r="K39" s="68" t="str">
        <f t="shared" si="317"/>
        <v>F</v>
      </c>
      <c r="L39" s="68" t="str">
        <f t="shared" si="317"/>
        <v>F</v>
      </c>
      <c r="M39" s="68" t="str">
        <f t="shared" si="317"/>
        <v>F</v>
      </c>
      <c r="N39" s="68" t="str">
        <f t="shared" si="317"/>
        <v>F</v>
      </c>
      <c r="O39" s="68" t="str">
        <f t="shared" si="317"/>
        <v>F</v>
      </c>
      <c r="P39" s="68" t="str">
        <f t="shared" si="317"/>
        <v>F</v>
      </c>
      <c r="Q39" s="68" t="str">
        <f t="shared" si="317"/>
        <v>F</v>
      </c>
      <c r="R39" s="68" t="str">
        <f t="shared" si="317"/>
        <v>F</v>
      </c>
      <c r="S39" s="68" t="str">
        <f t="shared" si="317"/>
        <v>F</v>
      </c>
      <c r="T39" s="68" t="str">
        <f t="shared" si="317"/>
        <v>F</v>
      </c>
      <c r="U39" s="68" t="str">
        <f t="shared" si="317"/>
        <v>F</v>
      </c>
      <c r="V39" s="68" t="str">
        <f t="shared" si="317"/>
        <v>F</v>
      </c>
      <c r="W39" s="68" t="str">
        <f t="shared" si="317"/>
        <v>F</v>
      </c>
      <c r="X39" s="68" t="str">
        <f t="shared" si="317"/>
        <v>F</v>
      </c>
      <c r="Y39" s="68" t="str">
        <f t="shared" si="317"/>
        <v>F</v>
      </c>
      <c r="Z39" s="68" t="str">
        <f t="shared" si="317"/>
        <v>F</v>
      </c>
      <c r="AA39" s="68" t="str">
        <f t="shared" si="317"/>
        <v>F</v>
      </c>
      <c r="AB39" s="68" t="str">
        <f t="shared" si="317"/>
        <v>F</v>
      </c>
      <c r="AC39" s="68" t="str">
        <f t="shared" si="317"/>
        <v>F</v>
      </c>
      <c r="AD39" s="69" t="str">
        <f t="shared" si="317"/>
        <v>F</v>
      </c>
      <c r="AF39" s="57" t="str">
        <f>LOWER(E38)&amp;UPPER(E39)</f>
        <v>aF</v>
      </c>
      <c r="AG39" s="58" t="str">
        <f>LOWER(F38)&amp;UPPER(F39)</f>
        <v>bF</v>
      </c>
      <c r="AH39" s="68" t="str">
        <f>LOWER(G38)&amp;UPPER(G39)</f>
        <v>cF</v>
      </c>
      <c r="AI39" s="58" t="str">
        <f t="shared" ref="AI39" si="318">LOWER(H38)&amp;UPPER(H39)</f>
        <v>dF</v>
      </c>
      <c r="AJ39" s="58" t="str">
        <f t="shared" ref="AJ39" si="319">LOWER(I38)&amp;UPPER(I39)</f>
        <v>eF</v>
      </c>
      <c r="AK39" s="68" t="str">
        <f t="shared" ref="AK39" si="320">LOWER(J38)&amp;UPPER(J39)</f>
        <v>fF</v>
      </c>
      <c r="AL39" s="68" t="str">
        <f t="shared" ref="AL39" si="321">LOWER(K38)&amp;UPPER(K39)</f>
        <v>gF</v>
      </c>
      <c r="AM39" s="58" t="str">
        <f t="shared" ref="AM39" si="322">LOWER(L38)&amp;UPPER(L39)</f>
        <v>hF</v>
      </c>
      <c r="AN39" s="68" t="str">
        <f t="shared" ref="AN39" si="323">LOWER(M38)&amp;UPPER(M39)</f>
        <v>iF</v>
      </c>
      <c r="AO39" s="68" t="str">
        <f t="shared" ref="AO39" si="324">LOWER(N38)&amp;UPPER(N39)</f>
        <v>jF</v>
      </c>
      <c r="AP39" s="68" t="str">
        <f t="shared" ref="AP39" si="325">LOWER(O38)&amp;UPPER(O39)</f>
        <v>kF</v>
      </c>
      <c r="AQ39" s="68" t="str">
        <f t="shared" ref="AQ39" si="326">LOWER(P38)&amp;UPPER(P39)</f>
        <v>lF</v>
      </c>
      <c r="AR39" s="68" t="str">
        <f t="shared" ref="AR39" si="327">LOWER(Q38)&amp;UPPER(Q39)</f>
        <v>mF</v>
      </c>
      <c r="AS39" s="68" t="str">
        <f t="shared" ref="AS39" si="328">LOWER(R38)&amp;UPPER(R39)</f>
        <v>nF</v>
      </c>
      <c r="AT39" s="68" t="str">
        <f t="shared" ref="AT39" si="329">LOWER(S38)&amp;UPPER(S39)</f>
        <v>oF</v>
      </c>
      <c r="AU39" s="68" t="str">
        <f t="shared" ref="AU39" si="330">LOWER(T38)&amp;UPPER(T39)</f>
        <v>pF</v>
      </c>
      <c r="AV39" s="68" t="str">
        <f t="shared" ref="AV39" si="331">LOWER(U38)&amp;UPPER(U39)</f>
        <v>qF</v>
      </c>
      <c r="AW39" s="68" t="str">
        <f t="shared" ref="AW39" si="332">LOWER(V38)&amp;UPPER(V39)</f>
        <v>rF</v>
      </c>
      <c r="AX39" s="68" t="str">
        <f t="shared" ref="AX39" si="333">LOWER(W38)&amp;UPPER(W39)</f>
        <v>sF</v>
      </c>
      <c r="AY39" s="68" t="str">
        <f t="shared" ref="AY39" si="334">LOWER(X38)&amp;UPPER(X39)</f>
        <v>tF</v>
      </c>
      <c r="AZ39" s="68" t="str">
        <f t="shared" ref="AZ39" si="335">LOWER(Y38)&amp;UPPER(Y39)</f>
        <v>uF</v>
      </c>
      <c r="BA39" s="68" t="str">
        <f t="shared" ref="BA39" si="336">LOWER(Z38)&amp;UPPER(Z39)</f>
        <v>vF</v>
      </c>
      <c r="BB39" s="68" t="str">
        <f t="shared" ref="BB39" si="337">LOWER(AA38)&amp;UPPER(AA39)</f>
        <v>wF</v>
      </c>
      <c r="BC39" s="68" t="str">
        <f t="shared" ref="BC39" si="338">LOWER(AB38)&amp;UPPER(AB39)</f>
        <v>xF</v>
      </c>
      <c r="BD39" s="68" t="str">
        <f t="shared" ref="BD39" si="339">LOWER(AC38)&amp;UPPER(AC39)</f>
        <v>yF</v>
      </c>
      <c r="BE39" s="69" t="str">
        <f t="shared" ref="BE39" si="340">LOWER(AD38)&amp;UPPER(AD39)</f>
        <v>zF</v>
      </c>
      <c r="BG39" s="67"/>
      <c r="BH39" s="68"/>
      <c r="BI39" s="68"/>
      <c r="BJ39" s="68"/>
      <c r="BK39" s="68"/>
      <c r="BL39" s="68"/>
      <c r="BM39" s="68"/>
      <c r="BN39" s="68"/>
      <c r="BO39" s="68"/>
      <c r="BP39" s="68"/>
      <c r="BQ39" s="68"/>
      <c r="BR39" s="68"/>
      <c r="BS39" s="68"/>
      <c r="BT39" s="68"/>
      <c r="BU39" s="68"/>
      <c r="BV39" s="68"/>
      <c r="BW39" s="68"/>
      <c r="BX39" s="68"/>
      <c r="BY39" s="68"/>
      <c r="BZ39" s="68"/>
      <c r="CA39" s="68"/>
      <c r="CB39" s="68"/>
      <c r="CC39" s="68"/>
      <c r="CD39" s="68"/>
      <c r="CE39" s="68"/>
      <c r="CF39" s="69"/>
    </row>
    <row r="40" spans="1:84" x14ac:dyDescent="0.35">
      <c r="A40" s="35" t="s">
        <v>586</v>
      </c>
      <c r="B40" s="36" t="s">
        <v>395</v>
      </c>
      <c r="D40" s="73"/>
      <c r="E40" s="64" t="s">
        <v>397</v>
      </c>
      <c r="F40" s="65" t="s">
        <v>398</v>
      </c>
      <c r="G40" s="65" t="s">
        <v>399</v>
      </c>
      <c r="H40" s="65" t="s">
        <v>400</v>
      </c>
      <c r="I40" s="65" t="s">
        <v>401</v>
      </c>
      <c r="J40" s="65" t="s">
        <v>402</v>
      </c>
      <c r="K40" s="65" t="s">
        <v>403</v>
      </c>
      <c r="L40" s="65" t="s">
        <v>404</v>
      </c>
      <c r="M40" s="65" t="s">
        <v>405</v>
      </c>
      <c r="N40" s="65" t="s">
        <v>406</v>
      </c>
      <c r="O40" s="65" t="s">
        <v>407</v>
      </c>
      <c r="P40" s="65" t="s">
        <v>408</v>
      </c>
      <c r="Q40" s="65" t="s">
        <v>409</v>
      </c>
      <c r="R40" s="65" t="s">
        <v>410</v>
      </c>
      <c r="S40" s="65" t="s">
        <v>411</v>
      </c>
      <c r="T40" s="65" t="s">
        <v>412</v>
      </c>
      <c r="U40" s="65" t="s">
        <v>413</v>
      </c>
      <c r="V40" s="65" t="s">
        <v>414</v>
      </c>
      <c r="W40" s="65" t="s">
        <v>415</v>
      </c>
      <c r="X40" s="65" t="s">
        <v>416</v>
      </c>
      <c r="Y40" s="65" t="s">
        <v>417</v>
      </c>
      <c r="Z40" s="65" t="s">
        <v>418</v>
      </c>
      <c r="AA40" s="65" t="s">
        <v>419</v>
      </c>
      <c r="AB40" s="65" t="s">
        <v>420</v>
      </c>
      <c r="AC40" s="65" t="s">
        <v>421</v>
      </c>
      <c r="AD40" s="66" t="s">
        <v>422</v>
      </c>
      <c r="AF40" s="54" t="str">
        <f>LOWER(E41)&amp;UPPER(E40)</f>
        <v>gA</v>
      </c>
      <c r="AG40" s="55" t="str">
        <f>LOWER(F41)&amp;UPPER(F40)</f>
        <v>gB</v>
      </c>
      <c r="AH40" s="71" t="str">
        <f>LOWER(G41)&amp;UPPER(G40)</f>
        <v>gC</v>
      </c>
      <c r="AI40" s="55" t="str">
        <f t="shared" ref="AI40" si="341">LOWER(H41)&amp;UPPER(H40)</f>
        <v>gD</v>
      </c>
      <c r="AJ40" s="55" t="str">
        <f t="shared" ref="AJ40" si="342">LOWER(I41)&amp;UPPER(I40)</f>
        <v>gE</v>
      </c>
      <c r="AK40" s="71" t="str">
        <f t="shared" ref="AK40" si="343">LOWER(J41)&amp;UPPER(J40)</f>
        <v>gF</v>
      </c>
      <c r="AL40" s="71" t="str">
        <f t="shared" ref="AL40" si="344">LOWER(K41)&amp;UPPER(K40)</f>
        <v>gG</v>
      </c>
      <c r="AM40" s="55" t="str">
        <f t="shared" ref="AM40" si="345">LOWER(L41)&amp;UPPER(L40)</f>
        <v>gH</v>
      </c>
      <c r="AN40" s="71" t="str">
        <f t="shared" ref="AN40" si="346">LOWER(M41)&amp;UPPER(M40)</f>
        <v>gI</v>
      </c>
      <c r="AO40" s="71" t="str">
        <f t="shared" ref="AO40" si="347">LOWER(N41)&amp;UPPER(N40)</f>
        <v>gJ</v>
      </c>
      <c r="AP40" s="71" t="str">
        <f t="shared" ref="AP40" si="348">LOWER(O41)&amp;UPPER(O40)</f>
        <v>gK</v>
      </c>
      <c r="AQ40" s="55" t="str">
        <f t="shared" ref="AQ40" si="349">LOWER(P41)&amp;UPPER(P40)</f>
        <v>gL</v>
      </c>
      <c r="AR40" s="71" t="str">
        <f t="shared" ref="AR40" si="350">LOWER(Q41)&amp;UPPER(Q40)</f>
        <v>gM</v>
      </c>
      <c r="AS40" s="71" t="str">
        <f t="shared" ref="AS40" si="351">LOWER(R41)&amp;UPPER(R40)</f>
        <v>gN</v>
      </c>
      <c r="AT40" s="71" t="str">
        <f t="shared" ref="AT40" si="352">LOWER(S41)&amp;UPPER(S40)</f>
        <v>gO</v>
      </c>
      <c r="AU40" s="55" t="str">
        <f t="shared" ref="AU40" si="353">LOWER(T41)&amp;UPPER(T40)</f>
        <v>gP</v>
      </c>
      <c r="AV40" s="71" t="str">
        <f t="shared" ref="AV40" si="354">LOWER(U41)&amp;UPPER(U40)</f>
        <v>gQ</v>
      </c>
      <c r="AW40" s="71" t="str">
        <f t="shared" ref="AW40" si="355">LOWER(V41)&amp;UPPER(V40)</f>
        <v>gR</v>
      </c>
      <c r="AX40" s="71" t="str">
        <f t="shared" ref="AX40" si="356">LOWER(W41)&amp;UPPER(W40)</f>
        <v>gS</v>
      </c>
      <c r="AY40" s="55" t="str">
        <f t="shared" ref="AY40" si="357">LOWER(X41)&amp;UPPER(X40)</f>
        <v>gT</v>
      </c>
      <c r="AZ40" s="55" t="str">
        <f t="shared" ref="AZ40" si="358">LOWER(Y41)&amp;UPPER(Y40)</f>
        <v>gU</v>
      </c>
      <c r="BA40" s="71" t="str">
        <f t="shared" ref="BA40" si="359">LOWER(Z41)&amp;UPPER(Z40)</f>
        <v>gV</v>
      </c>
      <c r="BB40" s="71" t="str">
        <f t="shared" ref="BB40" si="360">LOWER(AA41)&amp;UPPER(AA40)</f>
        <v>gW</v>
      </c>
      <c r="BC40" s="71" t="str">
        <f t="shared" ref="BC40" si="361">LOWER(AB41)&amp;UPPER(AB40)</f>
        <v>gX</v>
      </c>
      <c r="BD40" s="71" t="str">
        <f t="shared" ref="BD40" si="362">LOWER(AC41)&amp;UPPER(AC40)</f>
        <v>gY</v>
      </c>
      <c r="BE40" s="72" t="str">
        <f t="shared" ref="BE40" si="363">LOWER(AD41)&amp;UPPER(AD40)</f>
        <v>gZ</v>
      </c>
      <c r="BG40" s="70"/>
      <c r="BH40" s="71"/>
      <c r="BI40" s="71"/>
      <c r="BJ40" s="71"/>
      <c r="BK40" s="71"/>
      <c r="BL40" s="71"/>
      <c r="BM40" s="71"/>
      <c r="BN40" s="71"/>
      <c r="BO40" s="71"/>
      <c r="BP40" s="71"/>
      <c r="BQ40" s="71"/>
      <c r="BR40" s="71"/>
      <c r="BS40" s="71"/>
      <c r="BT40" s="71"/>
      <c r="BU40" s="71"/>
      <c r="BV40" s="71"/>
      <c r="BW40" s="71"/>
      <c r="BX40" s="71"/>
      <c r="BY40" s="71"/>
      <c r="BZ40" s="71"/>
      <c r="CA40" s="71"/>
      <c r="CB40" s="71"/>
      <c r="CC40" s="71"/>
      <c r="CD40" s="71"/>
      <c r="CE40" s="71"/>
      <c r="CF40" s="72"/>
    </row>
    <row r="41" spans="1:84" x14ac:dyDescent="0.35">
      <c r="A41" s="37" t="s">
        <v>586</v>
      </c>
      <c r="B41" s="36" t="s">
        <v>396</v>
      </c>
      <c r="D41" s="74" t="s">
        <v>6</v>
      </c>
      <c r="E41" s="67" t="str">
        <f>D41</f>
        <v>G</v>
      </c>
      <c r="F41" s="68" t="str">
        <f t="shared" ref="F41:AD41" si="364">E41</f>
        <v>G</v>
      </c>
      <c r="G41" s="68" t="str">
        <f t="shared" si="364"/>
        <v>G</v>
      </c>
      <c r="H41" s="68" t="str">
        <f t="shared" si="364"/>
        <v>G</v>
      </c>
      <c r="I41" s="68" t="str">
        <f t="shared" si="364"/>
        <v>G</v>
      </c>
      <c r="J41" s="68" t="str">
        <f t="shared" si="364"/>
        <v>G</v>
      </c>
      <c r="K41" s="68" t="str">
        <f t="shared" si="364"/>
        <v>G</v>
      </c>
      <c r="L41" s="68" t="str">
        <f t="shared" si="364"/>
        <v>G</v>
      </c>
      <c r="M41" s="68" t="str">
        <f t="shared" si="364"/>
        <v>G</v>
      </c>
      <c r="N41" s="68" t="str">
        <f t="shared" si="364"/>
        <v>G</v>
      </c>
      <c r="O41" s="68" t="str">
        <f t="shared" si="364"/>
        <v>G</v>
      </c>
      <c r="P41" s="68" t="str">
        <f t="shared" si="364"/>
        <v>G</v>
      </c>
      <c r="Q41" s="68" t="str">
        <f t="shared" si="364"/>
        <v>G</v>
      </c>
      <c r="R41" s="68" t="str">
        <f t="shared" si="364"/>
        <v>G</v>
      </c>
      <c r="S41" s="68" t="str">
        <f t="shared" si="364"/>
        <v>G</v>
      </c>
      <c r="T41" s="68" t="str">
        <f t="shared" si="364"/>
        <v>G</v>
      </c>
      <c r="U41" s="68" t="str">
        <f t="shared" si="364"/>
        <v>G</v>
      </c>
      <c r="V41" s="68" t="str">
        <f t="shared" si="364"/>
        <v>G</v>
      </c>
      <c r="W41" s="68" t="str">
        <f t="shared" si="364"/>
        <v>G</v>
      </c>
      <c r="X41" s="68" t="str">
        <f t="shared" si="364"/>
        <v>G</v>
      </c>
      <c r="Y41" s="68" t="str">
        <f t="shared" si="364"/>
        <v>G</v>
      </c>
      <c r="Z41" s="68" t="str">
        <f t="shared" si="364"/>
        <v>G</v>
      </c>
      <c r="AA41" s="68" t="str">
        <f t="shared" si="364"/>
        <v>G</v>
      </c>
      <c r="AB41" s="68" t="str">
        <f t="shared" si="364"/>
        <v>G</v>
      </c>
      <c r="AC41" s="68" t="str">
        <f t="shared" si="364"/>
        <v>G</v>
      </c>
      <c r="AD41" s="69" t="str">
        <f t="shared" si="364"/>
        <v>G</v>
      </c>
      <c r="AF41" s="57" t="str">
        <f>LOWER(E40)&amp;UPPER(E41)</f>
        <v>aG</v>
      </c>
      <c r="AG41" s="58" t="str">
        <f>LOWER(F40)&amp;UPPER(F41)</f>
        <v>bG</v>
      </c>
      <c r="AH41" s="68" t="str">
        <f>LOWER(G40)&amp;UPPER(G41)</f>
        <v>cG</v>
      </c>
      <c r="AI41" s="58" t="str">
        <f t="shared" ref="AI41" si="365">LOWER(H40)&amp;UPPER(H41)</f>
        <v>dG</v>
      </c>
      <c r="AJ41" s="58" t="str">
        <f t="shared" ref="AJ41" si="366">LOWER(I40)&amp;UPPER(I41)</f>
        <v>eG</v>
      </c>
      <c r="AK41" s="68" t="str">
        <f t="shared" ref="AK41" si="367">LOWER(J40)&amp;UPPER(J41)</f>
        <v>fG</v>
      </c>
      <c r="AL41" s="68" t="str">
        <f t="shared" ref="AL41" si="368">LOWER(K40)&amp;UPPER(K41)</f>
        <v>gG</v>
      </c>
      <c r="AM41" s="58" t="str">
        <f t="shared" ref="AM41" si="369">LOWER(L40)&amp;UPPER(L41)</f>
        <v>hG</v>
      </c>
      <c r="AN41" s="68" t="str">
        <f t="shared" ref="AN41" si="370">LOWER(M40)&amp;UPPER(M41)</f>
        <v>iG</v>
      </c>
      <c r="AO41" s="68" t="str">
        <f t="shared" ref="AO41" si="371">LOWER(N40)&amp;UPPER(N41)</f>
        <v>jG</v>
      </c>
      <c r="AP41" s="68" t="str">
        <f t="shared" ref="AP41" si="372">LOWER(O40)&amp;UPPER(O41)</f>
        <v>kG</v>
      </c>
      <c r="AQ41" s="58" t="str">
        <f t="shared" ref="AQ41" si="373">LOWER(P40)&amp;UPPER(P41)</f>
        <v>lG</v>
      </c>
      <c r="AR41" s="68" t="str">
        <f t="shared" ref="AR41" si="374">LOWER(Q40)&amp;UPPER(Q41)</f>
        <v>mG</v>
      </c>
      <c r="AS41" s="68" t="str">
        <f t="shared" ref="AS41" si="375">LOWER(R40)&amp;UPPER(R41)</f>
        <v>nG</v>
      </c>
      <c r="AT41" s="68" t="str">
        <f t="shared" ref="AT41" si="376">LOWER(S40)&amp;UPPER(S41)</f>
        <v>oG</v>
      </c>
      <c r="AU41" s="58" t="str">
        <f t="shared" ref="AU41" si="377">LOWER(T40)&amp;UPPER(T41)</f>
        <v>pG</v>
      </c>
      <c r="AV41" s="68" t="str">
        <f t="shared" ref="AV41" si="378">LOWER(U40)&amp;UPPER(U41)</f>
        <v>qG</v>
      </c>
      <c r="AW41" s="68" t="str">
        <f t="shared" ref="AW41" si="379">LOWER(V40)&amp;UPPER(V41)</f>
        <v>rG</v>
      </c>
      <c r="AX41" s="68" t="str">
        <f t="shared" ref="AX41" si="380">LOWER(W40)&amp;UPPER(W41)</f>
        <v>sG</v>
      </c>
      <c r="AY41" s="58" t="str">
        <f t="shared" ref="AY41" si="381">LOWER(X40)&amp;UPPER(X41)</f>
        <v>tG</v>
      </c>
      <c r="AZ41" s="58" t="str">
        <f t="shared" ref="AZ41" si="382">LOWER(Y40)&amp;UPPER(Y41)</f>
        <v>uG</v>
      </c>
      <c r="BA41" s="68" t="str">
        <f t="shared" ref="BA41" si="383">LOWER(Z40)&amp;UPPER(Z41)</f>
        <v>vG</v>
      </c>
      <c r="BB41" s="68" t="str">
        <f t="shared" ref="BB41" si="384">LOWER(AA40)&amp;UPPER(AA41)</f>
        <v>wG</v>
      </c>
      <c r="BC41" s="68" t="str">
        <f t="shared" ref="BC41" si="385">LOWER(AB40)&amp;UPPER(AB41)</f>
        <v>xG</v>
      </c>
      <c r="BD41" s="68" t="str">
        <f t="shared" ref="BD41" si="386">LOWER(AC40)&amp;UPPER(AC41)</f>
        <v>yG</v>
      </c>
      <c r="BE41" s="69" t="str">
        <f t="shared" ref="BE41" si="387">LOWER(AD40)&amp;UPPER(AD41)</f>
        <v>zG</v>
      </c>
      <c r="BG41" s="67"/>
      <c r="BH41" s="68"/>
      <c r="BI41" s="68"/>
      <c r="BJ41" s="68"/>
      <c r="BK41" s="68"/>
      <c r="BL41" s="68"/>
      <c r="BM41" s="68"/>
      <c r="BN41" s="68"/>
      <c r="BO41" s="68"/>
      <c r="BP41" s="68"/>
      <c r="BQ41" s="68"/>
      <c r="BR41" s="68"/>
      <c r="BS41" s="68"/>
      <c r="BT41" s="68"/>
      <c r="BU41" s="68"/>
      <c r="BV41" s="68"/>
      <c r="BW41" s="68"/>
      <c r="BX41" s="68"/>
      <c r="BY41" s="68"/>
      <c r="BZ41" s="68"/>
      <c r="CA41" s="68"/>
      <c r="CB41" s="68"/>
      <c r="CC41" s="68"/>
      <c r="CD41" s="68"/>
      <c r="CE41" s="68"/>
      <c r="CF41" s="69"/>
    </row>
    <row r="42" spans="1:84" x14ac:dyDescent="0.35">
      <c r="A42" s="35" t="s">
        <v>586</v>
      </c>
      <c r="B42" s="36" t="s">
        <v>395</v>
      </c>
      <c r="D42" s="73"/>
      <c r="E42" s="64" t="s">
        <v>397</v>
      </c>
      <c r="F42" s="65" t="s">
        <v>398</v>
      </c>
      <c r="G42" s="65" t="s">
        <v>399</v>
      </c>
      <c r="H42" s="65" t="s">
        <v>400</v>
      </c>
      <c r="I42" s="65" t="s">
        <v>401</v>
      </c>
      <c r="J42" s="65" t="s">
        <v>402</v>
      </c>
      <c r="K42" s="65" t="s">
        <v>403</v>
      </c>
      <c r="L42" s="65" t="s">
        <v>404</v>
      </c>
      <c r="M42" s="65" t="s">
        <v>405</v>
      </c>
      <c r="N42" s="65" t="s">
        <v>406</v>
      </c>
      <c r="O42" s="65" t="s">
        <v>407</v>
      </c>
      <c r="P42" s="65" t="s">
        <v>408</v>
      </c>
      <c r="Q42" s="65" t="s">
        <v>409</v>
      </c>
      <c r="R42" s="65" t="s">
        <v>410</v>
      </c>
      <c r="S42" s="65" t="s">
        <v>411</v>
      </c>
      <c r="T42" s="65" t="s">
        <v>412</v>
      </c>
      <c r="U42" s="65" t="s">
        <v>413</v>
      </c>
      <c r="V42" s="65" t="s">
        <v>414</v>
      </c>
      <c r="W42" s="65" t="s">
        <v>415</v>
      </c>
      <c r="X42" s="65" t="s">
        <v>416</v>
      </c>
      <c r="Y42" s="65" t="s">
        <v>417</v>
      </c>
      <c r="Z42" s="65" t="s">
        <v>418</v>
      </c>
      <c r="AA42" s="65" t="s">
        <v>419</v>
      </c>
      <c r="AB42" s="65" t="s">
        <v>420</v>
      </c>
      <c r="AC42" s="65" t="s">
        <v>421</v>
      </c>
      <c r="AD42" s="66" t="s">
        <v>422</v>
      </c>
      <c r="AF42" s="54" t="str">
        <f>LOWER(E43)&amp;UPPER(E42)</f>
        <v>hA</v>
      </c>
      <c r="AG42" s="55" t="str">
        <f>LOWER(F43)&amp;UPPER(F42)</f>
        <v>hB</v>
      </c>
      <c r="AH42" s="55" t="str">
        <f>LOWER(G43)&amp;UPPER(G42)</f>
        <v>hC</v>
      </c>
      <c r="AI42" s="55" t="str">
        <f t="shared" ref="AI42" si="388">LOWER(H43)&amp;UPPER(H42)</f>
        <v>hD</v>
      </c>
      <c r="AJ42" s="55" t="str">
        <f t="shared" ref="AJ42" si="389">LOWER(I43)&amp;UPPER(I42)</f>
        <v>hE</v>
      </c>
      <c r="AK42" s="55" t="str">
        <f t="shared" ref="AK42" si="390">LOWER(J43)&amp;UPPER(J42)</f>
        <v>hF</v>
      </c>
      <c r="AL42" s="55" t="str">
        <f t="shared" ref="AL42" si="391">LOWER(K43)&amp;UPPER(K42)</f>
        <v>hG</v>
      </c>
      <c r="AM42" s="71" t="str">
        <f t="shared" ref="AM42" si="392">LOWER(L43)&amp;UPPER(L42)</f>
        <v>hH</v>
      </c>
      <c r="AN42" s="55" t="str">
        <f t="shared" ref="AN42" si="393">LOWER(M43)&amp;UPPER(M42)</f>
        <v>hI</v>
      </c>
      <c r="AO42" s="55" t="str">
        <f t="shared" ref="AO42" si="394">LOWER(N43)&amp;UPPER(N42)</f>
        <v>hJ</v>
      </c>
      <c r="AP42" s="55" t="str">
        <f t="shared" ref="AP42" si="395">LOWER(O43)&amp;UPPER(O42)</f>
        <v>hK</v>
      </c>
      <c r="AQ42" s="55" t="str">
        <f t="shared" ref="AQ42" si="396">LOWER(P43)&amp;UPPER(P42)</f>
        <v>hL</v>
      </c>
      <c r="AR42" s="55" t="str">
        <f t="shared" ref="AR42" si="397">LOWER(Q43)&amp;UPPER(Q42)</f>
        <v>hM</v>
      </c>
      <c r="AS42" s="55" t="str">
        <f t="shared" ref="AS42" si="398">LOWER(R43)&amp;UPPER(R42)</f>
        <v>hN</v>
      </c>
      <c r="AT42" s="55" t="str">
        <f t="shared" ref="AT42" si="399">LOWER(S43)&amp;UPPER(S42)</f>
        <v>hO</v>
      </c>
      <c r="AU42" s="55" t="str">
        <f t="shared" ref="AU42" si="400">LOWER(T43)&amp;UPPER(T42)</f>
        <v>hP</v>
      </c>
      <c r="AV42" s="55" t="str">
        <f t="shared" ref="AV42" si="401">LOWER(U43)&amp;UPPER(U42)</f>
        <v>hQ</v>
      </c>
      <c r="AW42" s="55" t="str">
        <f t="shared" ref="AW42" si="402">LOWER(V43)&amp;UPPER(V42)</f>
        <v>hR</v>
      </c>
      <c r="AX42" s="55" t="str">
        <f t="shared" ref="AX42" si="403">LOWER(W43)&amp;UPPER(W42)</f>
        <v>hS</v>
      </c>
      <c r="AY42" s="55" t="str">
        <f t="shared" ref="AY42" si="404">LOWER(X43)&amp;UPPER(X42)</f>
        <v>hT</v>
      </c>
      <c r="AZ42" s="55" t="str">
        <f t="shared" ref="AZ42" si="405">LOWER(Y43)&amp;UPPER(Y42)</f>
        <v>hU</v>
      </c>
      <c r="BA42" s="55" t="str">
        <f t="shared" ref="BA42" si="406">LOWER(Z43)&amp;UPPER(Z42)</f>
        <v>hV</v>
      </c>
      <c r="BB42" s="55" t="str">
        <f t="shared" ref="BB42" si="407">LOWER(AA43)&amp;UPPER(AA42)</f>
        <v>hW</v>
      </c>
      <c r="BC42" s="55" t="str">
        <f t="shared" ref="BC42" si="408">LOWER(AB43)&amp;UPPER(AB42)</f>
        <v>hX</v>
      </c>
      <c r="BD42" s="55" t="str">
        <f t="shared" ref="BD42" si="409">LOWER(AC43)&amp;UPPER(AC42)</f>
        <v>hY</v>
      </c>
      <c r="BE42" s="94" t="str">
        <f t="shared" ref="BE42" si="410">LOWER(AD43)&amp;UPPER(AD42)</f>
        <v>hZ</v>
      </c>
      <c r="BG42" s="70"/>
      <c r="BH42" s="71"/>
      <c r="BI42" s="71"/>
      <c r="BJ42" s="71"/>
      <c r="BK42" s="71"/>
      <c r="BL42" s="71"/>
      <c r="BM42" s="71"/>
      <c r="BN42" s="71"/>
      <c r="BO42" s="71"/>
      <c r="BP42" s="71"/>
      <c r="BQ42" s="71"/>
      <c r="BR42" s="71"/>
      <c r="BS42" s="71"/>
      <c r="BT42" s="71"/>
      <c r="BU42" s="71"/>
      <c r="BV42" s="71"/>
      <c r="BW42" s="71"/>
      <c r="BX42" s="71"/>
      <c r="BY42" s="71"/>
      <c r="BZ42" s="71"/>
      <c r="CA42" s="71"/>
      <c r="CB42" s="71"/>
      <c r="CC42" s="71"/>
      <c r="CD42" s="71"/>
      <c r="CE42" s="71"/>
      <c r="CF42" s="72"/>
    </row>
    <row r="43" spans="1:84" x14ac:dyDescent="0.35">
      <c r="A43" s="37" t="s">
        <v>586</v>
      </c>
      <c r="B43" s="36" t="s">
        <v>396</v>
      </c>
      <c r="D43" s="74" t="s">
        <v>7</v>
      </c>
      <c r="E43" s="67" t="str">
        <f>D43</f>
        <v>H</v>
      </c>
      <c r="F43" s="68" t="str">
        <f t="shared" ref="F43:AD43" si="411">E43</f>
        <v>H</v>
      </c>
      <c r="G43" s="68" t="str">
        <f t="shared" si="411"/>
        <v>H</v>
      </c>
      <c r="H43" s="68" t="str">
        <f t="shared" si="411"/>
        <v>H</v>
      </c>
      <c r="I43" s="68" t="str">
        <f t="shared" si="411"/>
        <v>H</v>
      </c>
      <c r="J43" s="68" t="str">
        <f t="shared" si="411"/>
        <v>H</v>
      </c>
      <c r="K43" s="68" t="str">
        <f t="shared" si="411"/>
        <v>H</v>
      </c>
      <c r="L43" s="68" t="str">
        <f t="shared" si="411"/>
        <v>H</v>
      </c>
      <c r="M43" s="68" t="str">
        <f t="shared" si="411"/>
        <v>H</v>
      </c>
      <c r="N43" s="68" t="str">
        <f t="shared" si="411"/>
        <v>H</v>
      </c>
      <c r="O43" s="68" t="str">
        <f t="shared" si="411"/>
        <v>H</v>
      </c>
      <c r="P43" s="68" t="str">
        <f t="shared" si="411"/>
        <v>H</v>
      </c>
      <c r="Q43" s="68" t="str">
        <f t="shared" si="411"/>
        <v>H</v>
      </c>
      <c r="R43" s="68" t="str">
        <f t="shared" si="411"/>
        <v>H</v>
      </c>
      <c r="S43" s="68" t="str">
        <f t="shared" si="411"/>
        <v>H</v>
      </c>
      <c r="T43" s="68" t="str">
        <f t="shared" si="411"/>
        <v>H</v>
      </c>
      <c r="U43" s="68" t="str">
        <f t="shared" si="411"/>
        <v>H</v>
      </c>
      <c r="V43" s="68" t="str">
        <f t="shared" si="411"/>
        <v>H</v>
      </c>
      <c r="W43" s="68" t="str">
        <f t="shared" si="411"/>
        <v>H</v>
      </c>
      <c r="X43" s="68" t="str">
        <f t="shared" si="411"/>
        <v>H</v>
      </c>
      <c r="Y43" s="68" t="str">
        <f t="shared" si="411"/>
        <v>H</v>
      </c>
      <c r="Z43" s="68" t="str">
        <f t="shared" si="411"/>
        <v>H</v>
      </c>
      <c r="AA43" s="68" t="str">
        <f t="shared" si="411"/>
        <v>H</v>
      </c>
      <c r="AB43" s="68" t="str">
        <f t="shared" si="411"/>
        <v>H</v>
      </c>
      <c r="AC43" s="68" t="str">
        <f t="shared" si="411"/>
        <v>H</v>
      </c>
      <c r="AD43" s="69" t="str">
        <f t="shared" si="411"/>
        <v>H</v>
      </c>
      <c r="AF43" s="57" t="str">
        <f>LOWER(E42)&amp;UPPER(E43)</f>
        <v>aH</v>
      </c>
      <c r="AG43" s="58" t="str">
        <f>LOWER(F42)&amp;UPPER(F43)</f>
        <v>bH</v>
      </c>
      <c r="AH43" s="58" t="str">
        <f>LOWER(G42)&amp;UPPER(G43)</f>
        <v>cH</v>
      </c>
      <c r="AI43" s="58" t="str">
        <f t="shared" ref="AI43" si="412">LOWER(H42)&amp;UPPER(H43)</f>
        <v>dH</v>
      </c>
      <c r="AJ43" s="58" t="str">
        <f t="shared" ref="AJ43" si="413">LOWER(I42)&amp;UPPER(I43)</f>
        <v>eH</v>
      </c>
      <c r="AK43" s="58" t="str">
        <f t="shared" ref="AK43" si="414">LOWER(J42)&amp;UPPER(J43)</f>
        <v>fH</v>
      </c>
      <c r="AL43" s="58" t="str">
        <f t="shared" ref="AL43" si="415">LOWER(K42)&amp;UPPER(K43)</f>
        <v>gH</v>
      </c>
      <c r="AM43" s="68" t="str">
        <f t="shared" ref="AM43" si="416">LOWER(L42)&amp;UPPER(L43)</f>
        <v>hH</v>
      </c>
      <c r="AN43" s="58" t="str">
        <f t="shared" ref="AN43" si="417">LOWER(M42)&amp;UPPER(M43)</f>
        <v>iH</v>
      </c>
      <c r="AO43" s="58" t="str">
        <f t="shared" ref="AO43" si="418">LOWER(N42)&amp;UPPER(N43)</f>
        <v>jH</v>
      </c>
      <c r="AP43" s="58" t="str">
        <f t="shared" ref="AP43" si="419">LOWER(O42)&amp;UPPER(O43)</f>
        <v>kH</v>
      </c>
      <c r="AQ43" s="58" t="str">
        <f t="shared" ref="AQ43" si="420">LOWER(P42)&amp;UPPER(P43)</f>
        <v>lH</v>
      </c>
      <c r="AR43" s="58" t="str">
        <f t="shared" ref="AR43" si="421">LOWER(Q42)&amp;UPPER(Q43)</f>
        <v>mH</v>
      </c>
      <c r="AS43" s="58" t="str">
        <f t="shared" ref="AS43" si="422">LOWER(R42)&amp;UPPER(R43)</f>
        <v>nH</v>
      </c>
      <c r="AT43" s="58" t="str">
        <f t="shared" ref="AT43" si="423">LOWER(S42)&amp;UPPER(S43)</f>
        <v>oH</v>
      </c>
      <c r="AU43" s="58" t="str">
        <f t="shared" ref="AU43" si="424">LOWER(T42)&amp;UPPER(T43)</f>
        <v>pH</v>
      </c>
      <c r="AV43" s="58" t="str">
        <f t="shared" ref="AV43" si="425">LOWER(U42)&amp;UPPER(U43)</f>
        <v>qH</v>
      </c>
      <c r="AW43" s="58" t="str">
        <f t="shared" ref="AW43" si="426">LOWER(V42)&amp;UPPER(V43)</f>
        <v>rH</v>
      </c>
      <c r="AX43" s="58" t="str">
        <f t="shared" ref="AX43" si="427">LOWER(W42)&amp;UPPER(W43)</f>
        <v>sH</v>
      </c>
      <c r="AY43" s="58" t="str">
        <f t="shared" ref="AY43" si="428">LOWER(X42)&amp;UPPER(X43)</f>
        <v>tH</v>
      </c>
      <c r="AZ43" s="58" t="str">
        <f t="shared" ref="AZ43" si="429">LOWER(Y42)&amp;UPPER(Y43)</f>
        <v>uH</v>
      </c>
      <c r="BA43" s="58" t="str">
        <f t="shared" ref="BA43" si="430">LOWER(Z42)&amp;UPPER(Z43)</f>
        <v>vH</v>
      </c>
      <c r="BB43" s="58" t="str">
        <f t="shared" ref="BB43" si="431">LOWER(AA42)&amp;UPPER(AA43)</f>
        <v>wH</v>
      </c>
      <c r="BC43" s="58" t="str">
        <f t="shared" ref="BC43" si="432">LOWER(AB42)&amp;UPPER(AB43)</f>
        <v>xH</v>
      </c>
      <c r="BD43" s="58" t="str">
        <f t="shared" ref="BD43" si="433">LOWER(AC42)&amp;UPPER(AC43)</f>
        <v>yH</v>
      </c>
      <c r="BE43" s="93" t="str">
        <f t="shared" ref="BE43" si="434">LOWER(AD42)&amp;UPPER(AD43)</f>
        <v>zH</v>
      </c>
      <c r="BG43" s="67"/>
      <c r="BH43" s="68"/>
      <c r="BI43" s="68"/>
      <c r="BJ43" s="68"/>
      <c r="BK43" s="68"/>
      <c r="BL43" s="68"/>
      <c r="BM43" s="68"/>
      <c r="BN43" s="68"/>
      <c r="BO43" s="68"/>
      <c r="BP43" s="68"/>
      <c r="BQ43" s="68"/>
      <c r="BR43" s="68"/>
      <c r="BS43" s="68"/>
      <c r="BT43" s="68"/>
      <c r="BU43" s="68"/>
      <c r="BV43" s="68"/>
      <c r="BW43" s="68"/>
      <c r="BX43" s="68"/>
      <c r="BY43" s="68"/>
      <c r="BZ43" s="68"/>
      <c r="CA43" s="68"/>
      <c r="CB43" s="68"/>
      <c r="CC43" s="68"/>
      <c r="CD43" s="68"/>
      <c r="CE43" s="68"/>
      <c r="CF43" s="69"/>
    </row>
    <row r="44" spans="1:84" x14ac:dyDescent="0.35">
      <c r="A44" s="35" t="s">
        <v>586</v>
      </c>
      <c r="B44" s="36" t="s">
        <v>395</v>
      </c>
      <c r="D44" s="73"/>
      <c r="E44" s="64" t="s">
        <v>397</v>
      </c>
      <c r="F44" s="65" t="s">
        <v>398</v>
      </c>
      <c r="G44" s="65" t="s">
        <v>399</v>
      </c>
      <c r="H44" s="65" t="s">
        <v>400</v>
      </c>
      <c r="I44" s="65" t="s">
        <v>401</v>
      </c>
      <c r="J44" s="65" t="s">
        <v>402</v>
      </c>
      <c r="K44" s="65" t="s">
        <v>403</v>
      </c>
      <c r="L44" s="65" t="s">
        <v>404</v>
      </c>
      <c r="M44" s="65" t="s">
        <v>405</v>
      </c>
      <c r="N44" s="65" t="s">
        <v>406</v>
      </c>
      <c r="O44" s="65" t="s">
        <v>407</v>
      </c>
      <c r="P44" s="65" t="s">
        <v>408</v>
      </c>
      <c r="Q44" s="65" t="s">
        <v>409</v>
      </c>
      <c r="R44" s="65" t="s">
        <v>410</v>
      </c>
      <c r="S44" s="65" t="s">
        <v>411</v>
      </c>
      <c r="T44" s="65" t="s">
        <v>412</v>
      </c>
      <c r="U44" s="65" t="s">
        <v>413</v>
      </c>
      <c r="V44" s="65" t="s">
        <v>414</v>
      </c>
      <c r="W44" s="65" t="s">
        <v>415</v>
      </c>
      <c r="X44" s="65" t="s">
        <v>416</v>
      </c>
      <c r="Y44" s="65" t="s">
        <v>417</v>
      </c>
      <c r="Z44" s="65" t="s">
        <v>418</v>
      </c>
      <c r="AA44" s="65" t="s">
        <v>419</v>
      </c>
      <c r="AB44" s="65" t="s">
        <v>420</v>
      </c>
      <c r="AC44" s="65" t="s">
        <v>421</v>
      </c>
      <c r="AD44" s="66" t="s">
        <v>422</v>
      </c>
      <c r="AF44" s="54" t="str">
        <f>LOWER(E45)&amp;UPPER(E44)</f>
        <v>iA</v>
      </c>
      <c r="AG44" s="55" t="str">
        <f>LOWER(F45)&amp;UPPER(F44)</f>
        <v>iB</v>
      </c>
      <c r="AH44" s="71" t="str">
        <f>LOWER(G45)&amp;UPPER(G44)</f>
        <v>iC</v>
      </c>
      <c r="AI44" s="55" t="str">
        <f t="shared" ref="AI44" si="435">LOWER(H45)&amp;UPPER(H44)</f>
        <v>iD</v>
      </c>
      <c r="AJ44" s="55" t="str">
        <f t="shared" ref="AJ44" si="436">LOWER(I45)&amp;UPPER(I44)</f>
        <v>iE</v>
      </c>
      <c r="AK44" s="71" t="str">
        <f t="shared" ref="AK44" si="437">LOWER(J45)&amp;UPPER(J44)</f>
        <v>iF</v>
      </c>
      <c r="AL44" s="71" t="str">
        <f t="shared" ref="AL44" si="438">LOWER(K45)&amp;UPPER(K44)</f>
        <v>iG</v>
      </c>
      <c r="AM44" s="55" t="str">
        <f t="shared" ref="AM44" si="439">LOWER(L45)&amp;UPPER(L44)</f>
        <v>iH</v>
      </c>
      <c r="AN44" s="71" t="str">
        <f t="shared" ref="AN44" si="440">LOWER(M45)&amp;UPPER(M44)</f>
        <v>iI</v>
      </c>
      <c r="AO44" s="71" t="str">
        <f t="shared" ref="AO44" si="441">LOWER(N45)&amp;UPPER(N44)</f>
        <v>iJ</v>
      </c>
      <c r="AP44" s="71" t="str">
        <f t="shared" ref="AP44" si="442">LOWER(O45)&amp;UPPER(O44)</f>
        <v>iK</v>
      </c>
      <c r="AQ44" s="71" t="str">
        <f t="shared" ref="AQ44" si="443">LOWER(P45)&amp;UPPER(P44)</f>
        <v>iL</v>
      </c>
      <c r="AR44" s="71" t="str">
        <f t="shared" ref="AR44" si="444">LOWER(Q45)&amp;UPPER(Q44)</f>
        <v>iM</v>
      </c>
      <c r="AS44" s="71" t="str">
        <f t="shared" ref="AS44" si="445">LOWER(R45)&amp;UPPER(R44)</f>
        <v>iN</v>
      </c>
      <c r="AT44" s="71" t="str">
        <f t="shared" ref="AT44" si="446">LOWER(S45)&amp;UPPER(S44)</f>
        <v>iO</v>
      </c>
      <c r="AU44" s="71" t="str">
        <f t="shared" ref="AU44" si="447">LOWER(T45)&amp;UPPER(T44)</f>
        <v>iP</v>
      </c>
      <c r="AV44" s="71" t="str">
        <f t="shared" ref="AV44" si="448">LOWER(U45)&amp;UPPER(U44)</f>
        <v>iQ</v>
      </c>
      <c r="AW44" s="71" t="str">
        <f t="shared" ref="AW44" si="449">LOWER(V45)&amp;UPPER(V44)</f>
        <v>iR</v>
      </c>
      <c r="AX44" s="71" t="str">
        <f t="shared" ref="AX44" si="450">LOWER(W45)&amp;UPPER(W44)</f>
        <v>iS</v>
      </c>
      <c r="AY44" s="71" t="str">
        <f t="shared" ref="AY44" si="451">LOWER(X45)&amp;UPPER(X44)</f>
        <v>iT</v>
      </c>
      <c r="AZ44" s="71" t="str">
        <f t="shared" ref="AZ44" si="452">LOWER(Y45)&amp;UPPER(Y44)</f>
        <v>iU</v>
      </c>
      <c r="BA44" s="71" t="str">
        <f t="shared" ref="BA44" si="453">LOWER(Z45)&amp;UPPER(Z44)</f>
        <v>iV</v>
      </c>
      <c r="BB44" s="71" t="str">
        <f t="shared" ref="BB44" si="454">LOWER(AA45)&amp;UPPER(AA44)</f>
        <v>iW</v>
      </c>
      <c r="BC44" s="71" t="str">
        <f t="shared" ref="BC44" si="455">LOWER(AB45)&amp;UPPER(AB44)</f>
        <v>iX</v>
      </c>
      <c r="BD44" s="71" t="str">
        <f t="shared" ref="BD44" si="456">LOWER(AC45)&amp;UPPER(AC44)</f>
        <v>iY</v>
      </c>
      <c r="BE44" s="72" t="str">
        <f t="shared" ref="BE44" si="457">LOWER(AD45)&amp;UPPER(AD44)</f>
        <v>iZ</v>
      </c>
      <c r="BG44" s="70"/>
      <c r="BH44" s="71"/>
      <c r="BI44" s="71"/>
      <c r="BJ44" s="71"/>
      <c r="BK44" s="71"/>
      <c r="BL44" s="71"/>
      <c r="BM44" s="71"/>
      <c r="BN44" s="71"/>
      <c r="BO44" s="71"/>
      <c r="BP44" s="71"/>
      <c r="BQ44" s="71"/>
      <c r="BR44" s="71"/>
      <c r="BS44" s="71"/>
      <c r="BT44" s="71"/>
      <c r="BU44" s="71"/>
      <c r="BV44" s="71"/>
      <c r="BW44" s="71"/>
      <c r="BX44" s="71"/>
      <c r="BY44" s="71"/>
      <c r="BZ44" s="71"/>
      <c r="CA44" s="71"/>
      <c r="CB44" s="71"/>
      <c r="CC44" s="71"/>
      <c r="CD44" s="71"/>
      <c r="CE44" s="71"/>
      <c r="CF44" s="72"/>
    </row>
    <row r="45" spans="1:84" x14ac:dyDescent="0.35">
      <c r="A45" s="37" t="s">
        <v>586</v>
      </c>
      <c r="B45" s="36" t="s">
        <v>396</v>
      </c>
      <c r="D45" s="74" t="s">
        <v>8</v>
      </c>
      <c r="E45" s="67" t="str">
        <f>D45</f>
        <v>I</v>
      </c>
      <c r="F45" s="68" t="str">
        <f t="shared" ref="F45:AD45" si="458">E45</f>
        <v>I</v>
      </c>
      <c r="G45" s="68" t="str">
        <f t="shared" si="458"/>
        <v>I</v>
      </c>
      <c r="H45" s="68" t="str">
        <f t="shared" si="458"/>
        <v>I</v>
      </c>
      <c r="I45" s="68" t="str">
        <f t="shared" si="458"/>
        <v>I</v>
      </c>
      <c r="J45" s="68" t="str">
        <f t="shared" si="458"/>
        <v>I</v>
      </c>
      <c r="K45" s="68" t="str">
        <f t="shared" si="458"/>
        <v>I</v>
      </c>
      <c r="L45" s="68" t="str">
        <f t="shared" si="458"/>
        <v>I</v>
      </c>
      <c r="M45" s="68" t="str">
        <f t="shared" si="458"/>
        <v>I</v>
      </c>
      <c r="N45" s="68" t="str">
        <f t="shared" si="458"/>
        <v>I</v>
      </c>
      <c r="O45" s="68" t="str">
        <f t="shared" si="458"/>
        <v>I</v>
      </c>
      <c r="P45" s="68" t="str">
        <f t="shared" si="458"/>
        <v>I</v>
      </c>
      <c r="Q45" s="68" t="str">
        <f t="shared" si="458"/>
        <v>I</v>
      </c>
      <c r="R45" s="68" t="str">
        <f t="shared" si="458"/>
        <v>I</v>
      </c>
      <c r="S45" s="68" t="str">
        <f t="shared" si="458"/>
        <v>I</v>
      </c>
      <c r="T45" s="68" t="str">
        <f t="shared" si="458"/>
        <v>I</v>
      </c>
      <c r="U45" s="68" t="str">
        <f t="shared" si="458"/>
        <v>I</v>
      </c>
      <c r="V45" s="68" t="str">
        <f t="shared" si="458"/>
        <v>I</v>
      </c>
      <c r="W45" s="68" t="str">
        <f t="shared" si="458"/>
        <v>I</v>
      </c>
      <c r="X45" s="68" t="str">
        <f t="shared" si="458"/>
        <v>I</v>
      </c>
      <c r="Y45" s="68" t="str">
        <f t="shared" si="458"/>
        <v>I</v>
      </c>
      <c r="Z45" s="68" t="str">
        <f t="shared" si="458"/>
        <v>I</v>
      </c>
      <c r="AA45" s="68" t="str">
        <f t="shared" si="458"/>
        <v>I</v>
      </c>
      <c r="AB45" s="68" t="str">
        <f t="shared" si="458"/>
        <v>I</v>
      </c>
      <c r="AC45" s="68" t="str">
        <f t="shared" si="458"/>
        <v>I</v>
      </c>
      <c r="AD45" s="69" t="str">
        <f t="shared" si="458"/>
        <v>I</v>
      </c>
      <c r="AF45" s="57" t="str">
        <f>LOWER(E44)&amp;UPPER(E45)</f>
        <v>aI</v>
      </c>
      <c r="AG45" s="58" t="str">
        <f>LOWER(F44)&amp;UPPER(F45)</f>
        <v>bI</v>
      </c>
      <c r="AH45" s="68" t="str">
        <f>LOWER(G44)&amp;UPPER(G45)</f>
        <v>cI</v>
      </c>
      <c r="AI45" s="58" t="str">
        <f t="shared" ref="AI45" si="459">LOWER(H44)&amp;UPPER(H45)</f>
        <v>dI</v>
      </c>
      <c r="AJ45" s="58" t="str">
        <f t="shared" ref="AJ45" si="460">LOWER(I44)&amp;UPPER(I45)</f>
        <v>eI</v>
      </c>
      <c r="AK45" s="68" t="str">
        <f t="shared" ref="AK45" si="461">LOWER(J44)&amp;UPPER(J45)</f>
        <v>fI</v>
      </c>
      <c r="AL45" s="68" t="str">
        <f t="shared" ref="AL45" si="462">LOWER(K44)&amp;UPPER(K45)</f>
        <v>gI</v>
      </c>
      <c r="AM45" s="58" t="str">
        <f t="shared" ref="AM45" si="463">LOWER(L44)&amp;UPPER(L45)</f>
        <v>hI</v>
      </c>
      <c r="AN45" s="68" t="str">
        <f t="shared" ref="AN45" si="464">LOWER(M44)&amp;UPPER(M45)</f>
        <v>iI</v>
      </c>
      <c r="AO45" s="68" t="str">
        <f t="shared" ref="AO45" si="465">LOWER(N44)&amp;UPPER(N45)</f>
        <v>jI</v>
      </c>
      <c r="AP45" s="68" t="str">
        <f t="shared" ref="AP45" si="466">LOWER(O44)&amp;UPPER(O45)</f>
        <v>kI</v>
      </c>
      <c r="AQ45" s="68" t="str">
        <f t="shared" ref="AQ45" si="467">LOWER(P44)&amp;UPPER(P45)</f>
        <v>lI</v>
      </c>
      <c r="AR45" s="68" t="str">
        <f t="shared" ref="AR45" si="468">LOWER(Q44)&amp;UPPER(Q45)</f>
        <v>mI</v>
      </c>
      <c r="AS45" s="68" t="str">
        <f t="shared" ref="AS45" si="469">LOWER(R44)&amp;UPPER(R45)</f>
        <v>nI</v>
      </c>
      <c r="AT45" s="68" t="str">
        <f t="shared" ref="AT45" si="470">LOWER(S44)&amp;UPPER(S45)</f>
        <v>oI</v>
      </c>
      <c r="AU45" s="68" t="str">
        <f t="shared" ref="AU45" si="471">LOWER(T44)&amp;UPPER(T45)</f>
        <v>pI</v>
      </c>
      <c r="AV45" s="68" t="str">
        <f t="shared" ref="AV45" si="472">LOWER(U44)&amp;UPPER(U45)</f>
        <v>qI</v>
      </c>
      <c r="AW45" s="68" t="str">
        <f t="shared" ref="AW45" si="473">LOWER(V44)&amp;UPPER(V45)</f>
        <v>rI</v>
      </c>
      <c r="AX45" s="68" t="str">
        <f t="shared" ref="AX45" si="474">LOWER(W44)&amp;UPPER(W45)</f>
        <v>sI</v>
      </c>
      <c r="AY45" s="68" t="str">
        <f t="shared" ref="AY45" si="475">LOWER(X44)&amp;UPPER(X45)</f>
        <v>tI</v>
      </c>
      <c r="AZ45" s="68" t="str">
        <f t="shared" ref="AZ45" si="476">LOWER(Y44)&amp;UPPER(Y45)</f>
        <v>uI</v>
      </c>
      <c r="BA45" s="68" t="str">
        <f t="shared" ref="BA45" si="477">LOWER(Z44)&amp;UPPER(Z45)</f>
        <v>vI</v>
      </c>
      <c r="BB45" s="68" t="str">
        <f t="shared" ref="BB45" si="478">LOWER(AA44)&amp;UPPER(AA45)</f>
        <v>wI</v>
      </c>
      <c r="BC45" s="68" t="str">
        <f t="shared" ref="BC45" si="479">LOWER(AB44)&amp;UPPER(AB45)</f>
        <v>xI</v>
      </c>
      <c r="BD45" s="68" t="str">
        <f t="shared" ref="BD45" si="480">LOWER(AC44)&amp;UPPER(AC45)</f>
        <v>yI</v>
      </c>
      <c r="BE45" s="69" t="str">
        <f t="shared" ref="BE45" si="481">LOWER(AD44)&amp;UPPER(AD45)</f>
        <v>zI</v>
      </c>
      <c r="BG45" s="67"/>
      <c r="BH45" s="68"/>
      <c r="BI45" s="68"/>
      <c r="BJ45" s="68"/>
      <c r="BK45" s="68"/>
      <c r="BL45" s="68"/>
      <c r="BM45" s="68"/>
      <c r="BN45" s="68"/>
      <c r="BO45" s="68"/>
      <c r="BP45" s="68"/>
      <c r="BQ45" s="68"/>
      <c r="BR45" s="68"/>
      <c r="BS45" s="68"/>
      <c r="BT45" s="68"/>
      <c r="BU45" s="68"/>
      <c r="BV45" s="68"/>
      <c r="BW45" s="68"/>
      <c r="BX45" s="68"/>
      <c r="BY45" s="68"/>
      <c r="BZ45" s="68"/>
      <c r="CA45" s="68"/>
      <c r="CB45" s="68"/>
      <c r="CC45" s="68"/>
      <c r="CD45" s="68"/>
      <c r="CE45" s="68"/>
      <c r="CF45" s="69"/>
    </row>
    <row r="46" spans="1:84" x14ac:dyDescent="0.35">
      <c r="A46" s="35" t="s">
        <v>586</v>
      </c>
      <c r="B46" s="36" t="s">
        <v>395</v>
      </c>
      <c r="D46" s="73"/>
      <c r="E46" s="64" t="s">
        <v>397</v>
      </c>
      <c r="F46" s="65" t="s">
        <v>398</v>
      </c>
      <c r="G46" s="65" t="s">
        <v>399</v>
      </c>
      <c r="H46" s="65" t="s">
        <v>400</v>
      </c>
      <c r="I46" s="65" t="s">
        <v>401</v>
      </c>
      <c r="J46" s="65" t="s">
        <v>402</v>
      </c>
      <c r="K46" s="65" t="s">
        <v>403</v>
      </c>
      <c r="L46" s="65" t="s">
        <v>404</v>
      </c>
      <c r="M46" s="65" t="s">
        <v>405</v>
      </c>
      <c r="N46" s="65" t="s">
        <v>406</v>
      </c>
      <c r="O46" s="65" t="s">
        <v>407</v>
      </c>
      <c r="P46" s="65" t="s">
        <v>408</v>
      </c>
      <c r="Q46" s="65" t="s">
        <v>409</v>
      </c>
      <c r="R46" s="65" t="s">
        <v>410</v>
      </c>
      <c r="S46" s="65" t="s">
        <v>411</v>
      </c>
      <c r="T46" s="65" t="s">
        <v>412</v>
      </c>
      <c r="U46" s="65" t="s">
        <v>413</v>
      </c>
      <c r="V46" s="65" t="s">
        <v>414</v>
      </c>
      <c r="W46" s="65" t="s">
        <v>415</v>
      </c>
      <c r="X46" s="65" t="s">
        <v>416</v>
      </c>
      <c r="Y46" s="65" t="s">
        <v>417</v>
      </c>
      <c r="Z46" s="65" t="s">
        <v>418</v>
      </c>
      <c r="AA46" s="65" t="s">
        <v>419</v>
      </c>
      <c r="AB46" s="65" t="s">
        <v>420</v>
      </c>
      <c r="AC46" s="65" t="s">
        <v>421</v>
      </c>
      <c r="AD46" s="66" t="s">
        <v>422</v>
      </c>
      <c r="AF46" s="54" t="str">
        <f>LOWER(E47)&amp;UPPER(E46)</f>
        <v>jA</v>
      </c>
      <c r="AG46" s="55" t="str">
        <f>LOWER(F47)&amp;UPPER(F46)</f>
        <v>jB</v>
      </c>
      <c r="AH46" s="71" t="str">
        <f>LOWER(G47)&amp;UPPER(G46)</f>
        <v>jC</v>
      </c>
      <c r="AI46" s="55" t="str">
        <f t="shared" ref="AI46" si="482">LOWER(H47)&amp;UPPER(H46)</f>
        <v>jD</v>
      </c>
      <c r="AJ46" s="55" t="str">
        <f t="shared" ref="AJ46" si="483">LOWER(I47)&amp;UPPER(I46)</f>
        <v>jE</v>
      </c>
      <c r="AK46" s="71" t="str">
        <f t="shared" ref="AK46" si="484">LOWER(J47)&amp;UPPER(J46)</f>
        <v>jF</v>
      </c>
      <c r="AL46" s="71" t="str">
        <f t="shared" ref="AL46" si="485">LOWER(K47)&amp;UPPER(K46)</f>
        <v>jG</v>
      </c>
      <c r="AM46" s="55" t="str">
        <f t="shared" ref="AM46" si="486">LOWER(L47)&amp;UPPER(L46)</f>
        <v>jH</v>
      </c>
      <c r="AN46" s="71" t="str">
        <f t="shared" ref="AN46" si="487">LOWER(M47)&amp;UPPER(M46)</f>
        <v>jI</v>
      </c>
      <c r="AO46" s="71" t="str">
        <f t="shared" ref="AO46" si="488">LOWER(N47)&amp;UPPER(N46)</f>
        <v>jJ</v>
      </c>
      <c r="AP46" s="71" t="str">
        <f t="shared" ref="AP46" si="489">LOWER(O47)&amp;UPPER(O46)</f>
        <v>jK</v>
      </c>
      <c r="AQ46" s="71" t="str">
        <f t="shared" ref="AQ46" si="490">LOWER(P47)&amp;UPPER(P46)</f>
        <v>jL</v>
      </c>
      <c r="AR46" s="71" t="str">
        <f t="shared" ref="AR46" si="491">LOWER(Q47)&amp;UPPER(Q46)</f>
        <v>jM</v>
      </c>
      <c r="AS46" s="71" t="str">
        <f t="shared" ref="AS46" si="492">LOWER(R47)&amp;UPPER(R46)</f>
        <v>jN</v>
      </c>
      <c r="AT46" s="71" t="str">
        <f t="shared" ref="AT46" si="493">LOWER(S47)&amp;UPPER(S46)</f>
        <v>jO</v>
      </c>
      <c r="AU46" s="71" t="str">
        <f t="shared" ref="AU46" si="494">LOWER(T47)&amp;UPPER(T46)</f>
        <v>jP</v>
      </c>
      <c r="AV46" s="71" t="str">
        <f t="shared" ref="AV46" si="495">LOWER(U47)&amp;UPPER(U46)</f>
        <v>jQ</v>
      </c>
      <c r="AW46" s="71" t="str">
        <f t="shared" ref="AW46" si="496">LOWER(V47)&amp;UPPER(V46)</f>
        <v>jR</v>
      </c>
      <c r="AX46" s="71" t="str">
        <f t="shared" ref="AX46" si="497">LOWER(W47)&amp;UPPER(W46)</f>
        <v>jS</v>
      </c>
      <c r="AY46" s="71" t="str">
        <f t="shared" ref="AY46" si="498">LOWER(X47)&amp;UPPER(X46)</f>
        <v>jT</v>
      </c>
      <c r="AZ46" s="71" t="str">
        <f t="shared" ref="AZ46" si="499">LOWER(Y47)&amp;UPPER(Y46)</f>
        <v>jU</v>
      </c>
      <c r="BA46" s="71" t="str">
        <f t="shared" ref="BA46" si="500">LOWER(Z47)&amp;UPPER(Z46)</f>
        <v>jV</v>
      </c>
      <c r="BB46" s="71" t="str">
        <f t="shared" ref="BB46" si="501">LOWER(AA47)&amp;UPPER(AA46)</f>
        <v>jW</v>
      </c>
      <c r="BC46" s="71" t="str">
        <f t="shared" ref="BC46" si="502">LOWER(AB47)&amp;UPPER(AB46)</f>
        <v>jX</v>
      </c>
      <c r="BD46" s="71" t="str">
        <f t="shared" ref="BD46" si="503">LOWER(AC47)&amp;UPPER(AC46)</f>
        <v>jY</v>
      </c>
      <c r="BE46" s="72" t="str">
        <f t="shared" ref="BE46" si="504">LOWER(AD47)&amp;UPPER(AD46)</f>
        <v>jZ</v>
      </c>
      <c r="BG46" s="70"/>
      <c r="BH46" s="71"/>
      <c r="BI46" s="71"/>
      <c r="BJ46" s="71"/>
      <c r="BK46" s="71"/>
      <c r="BL46" s="71"/>
      <c r="BM46" s="71"/>
      <c r="BN46" s="71"/>
      <c r="BO46" s="71"/>
      <c r="BP46" s="71"/>
      <c r="BQ46" s="71"/>
      <c r="BR46" s="71"/>
      <c r="BS46" s="71"/>
      <c r="BT46" s="71"/>
      <c r="BU46" s="71"/>
      <c r="BV46" s="71"/>
      <c r="BW46" s="71"/>
      <c r="BX46" s="71"/>
      <c r="BY46" s="71"/>
      <c r="BZ46" s="71"/>
      <c r="CA46" s="71"/>
      <c r="CB46" s="71"/>
      <c r="CC46" s="71"/>
      <c r="CD46" s="71"/>
      <c r="CE46" s="71"/>
      <c r="CF46" s="72"/>
    </row>
    <row r="47" spans="1:84" x14ac:dyDescent="0.35">
      <c r="A47" s="37" t="s">
        <v>586</v>
      </c>
      <c r="B47" s="36" t="s">
        <v>396</v>
      </c>
      <c r="D47" s="74" t="s">
        <v>9</v>
      </c>
      <c r="E47" s="67" t="str">
        <f>D47</f>
        <v>J</v>
      </c>
      <c r="F47" s="68" t="str">
        <f t="shared" ref="F47:AD47" si="505">E47</f>
        <v>J</v>
      </c>
      <c r="G47" s="68" t="str">
        <f t="shared" si="505"/>
        <v>J</v>
      </c>
      <c r="H47" s="68" t="str">
        <f t="shared" si="505"/>
        <v>J</v>
      </c>
      <c r="I47" s="68" t="str">
        <f t="shared" si="505"/>
        <v>J</v>
      </c>
      <c r="J47" s="68" t="str">
        <f t="shared" si="505"/>
        <v>J</v>
      </c>
      <c r="K47" s="68" t="str">
        <f t="shared" si="505"/>
        <v>J</v>
      </c>
      <c r="L47" s="68" t="str">
        <f t="shared" si="505"/>
        <v>J</v>
      </c>
      <c r="M47" s="68" t="str">
        <f t="shared" si="505"/>
        <v>J</v>
      </c>
      <c r="N47" s="68" t="str">
        <f t="shared" si="505"/>
        <v>J</v>
      </c>
      <c r="O47" s="68" t="str">
        <f t="shared" si="505"/>
        <v>J</v>
      </c>
      <c r="P47" s="68" t="str">
        <f t="shared" si="505"/>
        <v>J</v>
      </c>
      <c r="Q47" s="68" t="str">
        <f t="shared" si="505"/>
        <v>J</v>
      </c>
      <c r="R47" s="68" t="str">
        <f t="shared" si="505"/>
        <v>J</v>
      </c>
      <c r="S47" s="68" t="str">
        <f t="shared" si="505"/>
        <v>J</v>
      </c>
      <c r="T47" s="68" t="str">
        <f t="shared" si="505"/>
        <v>J</v>
      </c>
      <c r="U47" s="68" t="str">
        <f t="shared" si="505"/>
        <v>J</v>
      </c>
      <c r="V47" s="68" t="str">
        <f t="shared" si="505"/>
        <v>J</v>
      </c>
      <c r="W47" s="68" t="str">
        <f t="shared" si="505"/>
        <v>J</v>
      </c>
      <c r="X47" s="68" t="str">
        <f t="shared" si="505"/>
        <v>J</v>
      </c>
      <c r="Y47" s="68" t="str">
        <f t="shared" si="505"/>
        <v>J</v>
      </c>
      <c r="Z47" s="68" t="str">
        <f t="shared" si="505"/>
        <v>J</v>
      </c>
      <c r="AA47" s="68" t="str">
        <f t="shared" si="505"/>
        <v>J</v>
      </c>
      <c r="AB47" s="68" t="str">
        <f t="shared" si="505"/>
        <v>J</v>
      </c>
      <c r="AC47" s="68" t="str">
        <f t="shared" si="505"/>
        <v>J</v>
      </c>
      <c r="AD47" s="69" t="str">
        <f t="shared" si="505"/>
        <v>J</v>
      </c>
      <c r="AF47" s="57" t="str">
        <f>LOWER(E46)&amp;UPPER(E47)</f>
        <v>aJ</v>
      </c>
      <c r="AG47" s="58" t="str">
        <f>LOWER(F46)&amp;UPPER(F47)</f>
        <v>bJ</v>
      </c>
      <c r="AH47" s="68" t="str">
        <f>LOWER(G46)&amp;UPPER(G47)</f>
        <v>cJ</v>
      </c>
      <c r="AI47" s="58" t="str">
        <f t="shared" ref="AI47" si="506">LOWER(H46)&amp;UPPER(H47)</f>
        <v>dJ</v>
      </c>
      <c r="AJ47" s="58" t="str">
        <f t="shared" ref="AJ47" si="507">LOWER(I46)&amp;UPPER(I47)</f>
        <v>eJ</v>
      </c>
      <c r="AK47" s="68" t="str">
        <f t="shared" ref="AK47" si="508">LOWER(J46)&amp;UPPER(J47)</f>
        <v>fJ</v>
      </c>
      <c r="AL47" s="68" t="str">
        <f t="shared" ref="AL47" si="509">LOWER(K46)&amp;UPPER(K47)</f>
        <v>gJ</v>
      </c>
      <c r="AM47" s="58" t="str">
        <f t="shared" ref="AM47" si="510">LOWER(L46)&amp;UPPER(L47)</f>
        <v>hJ</v>
      </c>
      <c r="AN47" s="68" t="str">
        <f t="shared" ref="AN47" si="511">LOWER(M46)&amp;UPPER(M47)</f>
        <v>iJ</v>
      </c>
      <c r="AO47" s="68" t="str">
        <f t="shared" ref="AO47" si="512">LOWER(N46)&amp;UPPER(N47)</f>
        <v>jJ</v>
      </c>
      <c r="AP47" s="68" t="str">
        <f t="shared" ref="AP47" si="513">LOWER(O46)&amp;UPPER(O47)</f>
        <v>kJ</v>
      </c>
      <c r="AQ47" s="68" t="str">
        <f t="shared" ref="AQ47" si="514">LOWER(P46)&amp;UPPER(P47)</f>
        <v>lJ</v>
      </c>
      <c r="AR47" s="68" t="str">
        <f t="shared" ref="AR47" si="515">LOWER(Q46)&amp;UPPER(Q47)</f>
        <v>mJ</v>
      </c>
      <c r="AS47" s="68" t="str">
        <f t="shared" ref="AS47" si="516">LOWER(R46)&amp;UPPER(R47)</f>
        <v>nJ</v>
      </c>
      <c r="AT47" s="68" t="str">
        <f t="shared" ref="AT47" si="517">LOWER(S46)&amp;UPPER(S47)</f>
        <v>oJ</v>
      </c>
      <c r="AU47" s="68" t="str">
        <f t="shared" ref="AU47" si="518">LOWER(T46)&amp;UPPER(T47)</f>
        <v>pJ</v>
      </c>
      <c r="AV47" s="68" t="str">
        <f t="shared" ref="AV47" si="519">LOWER(U46)&amp;UPPER(U47)</f>
        <v>qJ</v>
      </c>
      <c r="AW47" s="68" t="str">
        <f t="shared" ref="AW47" si="520">LOWER(V46)&amp;UPPER(V47)</f>
        <v>rJ</v>
      </c>
      <c r="AX47" s="68" t="str">
        <f t="shared" ref="AX47" si="521">LOWER(W46)&amp;UPPER(W47)</f>
        <v>sJ</v>
      </c>
      <c r="AY47" s="68" t="str">
        <f t="shared" ref="AY47" si="522">LOWER(X46)&amp;UPPER(X47)</f>
        <v>tJ</v>
      </c>
      <c r="AZ47" s="68" t="str">
        <f t="shared" ref="AZ47" si="523">LOWER(Y46)&amp;UPPER(Y47)</f>
        <v>uJ</v>
      </c>
      <c r="BA47" s="68" t="str">
        <f t="shared" ref="BA47" si="524">LOWER(Z46)&amp;UPPER(Z47)</f>
        <v>vJ</v>
      </c>
      <c r="BB47" s="68" t="str">
        <f t="shared" ref="BB47" si="525">LOWER(AA46)&amp;UPPER(AA47)</f>
        <v>wJ</v>
      </c>
      <c r="BC47" s="68" t="str">
        <f t="shared" ref="BC47" si="526">LOWER(AB46)&amp;UPPER(AB47)</f>
        <v>xJ</v>
      </c>
      <c r="BD47" s="68" t="str">
        <f t="shared" ref="BD47" si="527">LOWER(AC46)&amp;UPPER(AC47)</f>
        <v>yJ</v>
      </c>
      <c r="BE47" s="69" t="str">
        <f t="shared" ref="BE47" si="528">LOWER(AD46)&amp;UPPER(AD47)</f>
        <v>zJ</v>
      </c>
      <c r="BG47" s="67"/>
      <c r="BH47" s="68"/>
      <c r="BI47" s="68"/>
      <c r="BJ47" s="68"/>
      <c r="BK47" s="68"/>
      <c r="BL47" s="68"/>
      <c r="BM47" s="68"/>
      <c r="BN47" s="68"/>
      <c r="BO47" s="68"/>
      <c r="BP47" s="68"/>
      <c r="BQ47" s="68"/>
      <c r="BR47" s="68"/>
      <c r="BS47" s="68"/>
      <c r="BT47" s="68"/>
      <c r="BU47" s="68"/>
      <c r="BV47" s="68"/>
      <c r="BW47" s="68"/>
      <c r="BX47" s="68"/>
      <c r="BY47" s="68"/>
      <c r="BZ47" s="68"/>
      <c r="CA47" s="68"/>
      <c r="CB47" s="68"/>
      <c r="CC47" s="68"/>
      <c r="CD47" s="68"/>
      <c r="CE47" s="68"/>
      <c r="CF47" s="69"/>
    </row>
    <row r="48" spans="1:84" x14ac:dyDescent="0.35">
      <c r="A48" s="35" t="s">
        <v>586</v>
      </c>
      <c r="B48" s="36" t="s">
        <v>395</v>
      </c>
      <c r="D48" s="73"/>
      <c r="E48" s="64" t="s">
        <v>397</v>
      </c>
      <c r="F48" s="65" t="s">
        <v>398</v>
      </c>
      <c r="G48" s="65" t="s">
        <v>399</v>
      </c>
      <c r="H48" s="65" t="s">
        <v>400</v>
      </c>
      <c r="I48" s="65" t="s">
        <v>401</v>
      </c>
      <c r="J48" s="65" t="s">
        <v>402</v>
      </c>
      <c r="K48" s="65" t="s">
        <v>403</v>
      </c>
      <c r="L48" s="65" t="s">
        <v>404</v>
      </c>
      <c r="M48" s="65" t="s">
        <v>405</v>
      </c>
      <c r="N48" s="65" t="s">
        <v>406</v>
      </c>
      <c r="O48" s="65" t="s">
        <v>407</v>
      </c>
      <c r="P48" s="65" t="s">
        <v>408</v>
      </c>
      <c r="Q48" s="65" t="s">
        <v>409</v>
      </c>
      <c r="R48" s="65" t="s">
        <v>410</v>
      </c>
      <c r="S48" s="65" t="s">
        <v>411</v>
      </c>
      <c r="T48" s="65" t="s">
        <v>412</v>
      </c>
      <c r="U48" s="65" t="s">
        <v>413</v>
      </c>
      <c r="V48" s="65" t="s">
        <v>414</v>
      </c>
      <c r="W48" s="65" t="s">
        <v>415</v>
      </c>
      <c r="X48" s="65" t="s">
        <v>416</v>
      </c>
      <c r="Y48" s="65" t="s">
        <v>417</v>
      </c>
      <c r="Z48" s="65" t="s">
        <v>418</v>
      </c>
      <c r="AA48" s="65" t="s">
        <v>419</v>
      </c>
      <c r="AB48" s="65" t="s">
        <v>420</v>
      </c>
      <c r="AC48" s="65" t="s">
        <v>421</v>
      </c>
      <c r="AD48" s="66" t="s">
        <v>422</v>
      </c>
      <c r="AF48" s="54" t="str">
        <f>LOWER(E49)&amp;UPPER(E48)</f>
        <v>kA</v>
      </c>
      <c r="AG48" s="55" t="str">
        <f>LOWER(F49)&amp;UPPER(F48)</f>
        <v>kB</v>
      </c>
      <c r="AH48" s="71" t="str">
        <f>LOWER(G49)&amp;UPPER(G48)</f>
        <v>kC</v>
      </c>
      <c r="AI48" s="55" t="str">
        <f t="shared" ref="AI48" si="529">LOWER(H49)&amp;UPPER(H48)</f>
        <v>kD</v>
      </c>
      <c r="AJ48" s="55" t="str">
        <f t="shared" ref="AJ48" si="530">LOWER(I49)&amp;UPPER(I48)</f>
        <v>kE</v>
      </c>
      <c r="AK48" s="71" t="str">
        <f t="shared" ref="AK48" si="531">LOWER(J49)&amp;UPPER(J48)</f>
        <v>kF</v>
      </c>
      <c r="AL48" s="71" t="str">
        <f t="shared" ref="AL48" si="532">LOWER(K49)&amp;UPPER(K48)</f>
        <v>kG</v>
      </c>
      <c r="AM48" s="55" t="str">
        <f t="shared" ref="AM48" si="533">LOWER(L49)&amp;UPPER(L48)</f>
        <v>kH</v>
      </c>
      <c r="AN48" s="71" t="str">
        <f t="shared" ref="AN48" si="534">LOWER(M49)&amp;UPPER(M48)</f>
        <v>kI</v>
      </c>
      <c r="AO48" s="71" t="str">
        <f t="shared" ref="AO48" si="535">LOWER(N49)&amp;UPPER(N48)</f>
        <v>kJ</v>
      </c>
      <c r="AP48" s="71" t="str">
        <f t="shared" ref="AP48" si="536">LOWER(O49)&amp;UPPER(O48)</f>
        <v>kK</v>
      </c>
      <c r="AQ48" s="71" t="str">
        <f t="shared" ref="AQ48" si="537">LOWER(P49)&amp;UPPER(P48)</f>
        <v>kL</v>
      </c>
      <c r="AR48" s="71" t="str">
        <f t="shared" ref="AR48" si="538">LOWER(Q49)&amp;UPPER(Q48)</f>
        <v>kM</v>
      </c>
      <c r="AS48" s="71" t="str">
        <f t="shared" ref="AS48" si="539">LOWER(R49)&amp;UPPER(R48)</f>
        <v>kN</v>
      </c>
      <c r="AT48" s="71" t="str">
        <f t="shared" ref="AT48" si="540">LOWER(S49)&amp;UPPER(S48)</f>
        <v>kO</v>
      </c>
      <c r="AU48" s="71" t="str">
        <f t="shared" ref="AU48" si="541">LOWER(T49)&amp;UPPER(T48)</f>
        <v>kP</v>
      </c>
      <c r="AV48" s="71" t="str">
        <f t="shared" ref="AV48" si="542">LOWER(U49)&amp;UPPER(U48)</f>
        <v>kQ</v>
      </c>
      <c r="AW48" s="71" t="str">
        <f t="shared" ref="AW48" si="543">LOWER(V49)&amp;UPPER(V48)</f>
        <v>kR</v>
      </c>
      <c r="AX48" s="71" t="str">
        <f t="shared" ref="AX48" si="544">LOWER(W49)&amp;UPPER(W48)</f>
        <v>kS</v>
      </c>
      <c r="AY48" s="71" t="str">
        <f t="shared" ref="AY48" si="545">LOWER(X49)&amp;UPPER(X48)</f>
        <v>kT</v>
      </c>
      <c r="AZ48" s="71" t="str">
        <f t="shared" ref="AZ48" si="546">LOWER(Y49)&amp;UPPER(Y48)</f>
        <v>kU</v>
      </c>
      <c r="BA48" s="71" t="str">
        <f t="shared" ref="BA48" si="547">LOWER(Z49)&amp;UPPER(Z48)</f>
        <v>kV</v>
      </c>
      <c r="BB48" s="71" t="str">
        <f t="shared" ref="BB48" si="548">LOWER(AA49)&amp;UPPER(AA48)</f>
        <v>kW</v>
      </c>
      <c r="BC48" s="71" t="str">
        <f t="shared" ref="BC48" si="549">LOWER(AB49)&amp;UPPER(AB48)</f>
        <v>kX</v>
      </c>
      <c r="BD48" s="71" t="str">
        <f t="shared" ref="BD48" si="550">LOWER(AC49)&amp;UPPER(AC48)</f>
        <v>kY</v>
      </c>
      <c r="BE48" s="72" t="str">
        <f t="shared" ref="BE48" si="551">LOWER(AD49)&amp;UPPER(AD48)</f>
        <v>kZ</v>
      </c>
      <c r="BG48" s="70"/>
      <c r="BH48" s="71"/>
      <c r="BI48" s="71"/>
      <c r="BJ48" s="71"/>
      <c r="BK48" s="71"/>
      <c r="BL48" s="71"/>
      <c r="BM48" s="71"/>
      <c r="BN48" s="71"/>
      <c r="BO48" s="71"/>
      <c r="BP48" s="71"/>
      <c r="BQ48" s="71"/>
      <c r="BR48" s="71"/>
      <c r="BS48" s="71"/>
      <c r="BT48" s="71"/>
      <c r="BU48" s="71"/>
      <c r="BV48" s="71"/>
      <c r="BW48" s="71"/>
      <c r="BX48" s="71"/>
      <c r="BY48" s="71"/>
      <c r="BZ48" s="71"/>
      <c r="CA48" s="71"/>
      <c r="CB48" s="71"/>
      <c r="CC48" s="71"/>
      <c r="CD48" s="71"/>
      <c r="CE48" s="71"/>
      <c r="CF48" s="72"/>
    </row>
    <row r="49" spans="1:84" x14ac:dyDescent="0.35">
      <c r="A49" s="37" t="s">
        <v>586</v>
      </c>
      <c r="B49" s="36" t="s">
        <v>396</v>
      </c>
      <c r="D49" s="74" t="s">
        <v>10</v>
      </c>
      <c r="E49" s="67" t="str">
        <f>D49</f>
        <v>K</v>
      </c>
      <c r="F49" s="68" t="str">
        <f t="shared" ref="F49:AD49" si="552">E49</f>
        <v>K</v>
      </c>
      <c r="G49" s="68" t="str">
        <f t="shared" si="552"/>
        <v>K</v>
      </c>
      <c r="H49" s="68" t="str">
        <f t="shared" si="552"/>
        <v>K</v>
      </c>
      <c r="I49" s="68" t="str">
        <f t="shared" si="552"/>
        <v>K</v>
      </c>
      <c r="J49" s="68" t="str">
        <f t="shared" si="552"/>
        <v>K</v>
      </c>
      <c r="K49" s="68" t="str">
        <f t="shared" si="552"/>
        <v>K</v>
      </c>
      <c r="L49" s="68" t="str">
        <f t="shared" si="552"/>
        <v>K</v>
      </c>
      <c r="M49" s="68" t="str">
        <f t="shared" si="552"/>
        <v>K</v>
      </c>
      <c r="N49" s="68" t="str">
        <f t="shared" si="552"/>
        <v>K</v>
      </c>
      <c r="O49" s="68" t="str">
        <f t="shared" si="552"/>
        <v>K</v>
      </c>
      <c r="P49" s="68" t="str">
        <f t="shared" si="552"/>
        <v>K</v>
      </c>
      <c r="Q49" s="68" t="str">
        <f t="shared" si="552"/>
        <v>K</v>
      </c>
      <c r="R49" s="68" t="str">
        <f t="shared" si="552"/>
        <v>K</v>
      </c>
      <c r="S49" s="68" t="str">
        <f t="shared" si="552"/>
        <v>K</v>
      </c>
      <c r="T49" s="68" t="str">
        <f t="shared" si="552"/>
        <v>K</v>
      </c>
      <c r="U49" s="68" t="str">
        <f t="shared" si="552"/>
        <v>K</v>
      </c>
      <c r="V49" s="68" t="str">
        <f t="shared" si="552"/>
        <v>K</v>
      </c>
      <c r="W49" s="68" t="str">
        <f t="shared" si="552"/>
        <v>K</v>
      </c>
      <c r="X49" s="68" t="str">
        <f t="shared" si="552"/>
        <v>K</v>
      </c>
      <c r="Y49" s="68" t="str">
        <f t="shared" si="552"/>
        <v>K</v>
      </c>
      <c r="Z49" s="68" t="str">
        <f t="shared" si="552"/>
        <v>K</v>
      </c>
      <c r="AA49" s="68" t="str">
        <f t="shared" si="552"/>
        <v>K</v>
      </c>
      <c r="AB49" s="68" t="str">
        <f t="shared" si="552"/>
        <v>K</v>
      </c>
      <c r="AC49" s="68" t="str">
        <f t="shared" si="552"/>
        <v>K</v>
      </c>
      <c r="AD49" s="69" t="str">
        <f t="shared" si="552"/>
        <v>K</v>
      </c>
      <c r="AF49" s="57" t="str">
        <f>LOWER(E48)&amp;UPPER(E49)</f>
        <v>aK</v>
      </c>
      <c r="AG49" s="58" t="str">
        <f>LOWER(F48)&amp;UPPER(F49)</f>
        <v>bK</v>
      </c>
      <c r="AH49" s="68" t="str">
        <f>LOWER(G48)&amp;UPPER(G49)</f>
        <v>cK</v>
      </c>
      <c r="AI49" s="58" t="str">
        <f t="shared" ref="AI49" si="553">LOWER(H48)&amp;UPPER(H49)</f>
        <v>dK</v>
      </c>
      <c r="AJ49" s="58" t="str">
        <f t="shared" ref="AJ49" si="554">LOWER(I48)&amp;UPPER(I49)</f>
        <v>eK</v>
      </c>
      <c r="AK49" s="68" t="str">
        <f t="shared" ref="AK49" si="555">LOWER(J48)&amp;UPPER(J49)</f>
        <v>fK</v>
      </c>
      <c r="AL49" s="68" t="str">
        <f t="shared" ref="AL49" si="556">LOWER(K48)&amp;UPPER(K49)</f>
        <v>gK</v>
      </c>
      <c r="AM49" s="58" t="str">
        <f t="shared" ref="AM49" si="557">LOWER(L48)&amp;UPPER(L49)</f>
        <v>hK</v>
      </c>
      <c r="AN49" s="68" t="str">
        <f t="shared" ref="AN49" si="558">LOWER(M48)&amp;UPPER(M49)</f>
        <v>iK</v>
      </c>
      <c r="AO49" s="68" t="str">
        <f t="shared" ref="AO49" si="559">LOWER(N48)&amp;UPPER(N49)</f>
        <v>jK</v>
      </c>
      <c r="AP49" s="68" t="str">
        <f t="shared" ref="AP49" si="560">LOWER(O48)&amp;UPPER(O49)</f>
        <v>kK</v>
      </c>
      <c r="AQ49" s="68" t="str">
        <f t="shared" ref="AQ49" si="561">LOWER(P48)&amp;UPPER(P49)</f>
        <v>lK</v>
      </c>
      <c r="AR49" s="68" t="str">
        <f t="shared" ref="AR49" si="562">LOWER(Q48)&amp;UPPER(Q49)</f>
        <v>mK</v>
      </c>
      <c r="AS49" s="68" t="str">
        <f t="shared" ref="AS49" si="563">LOWER(R48)&amp;UPPER(R49)</f>
        <v>nK</v>
      </c>
      <c r="AT49" s="68" t="str">
        <f t="shared" ref="AT49" si="564">LOWER(S48)&amp;UPPER(S49)</f>
        <v>oK</v>
      </c>
      <c r="AU49" s="68" t="str">
        <f t="shared" ref="AU49" si="565">LOWER(T48)&amp;UPPER(T49)</f>
        <v>pK</v>
      </c>
      <c r="AV49" s="68" t="str">
        <f t="shared" ref="AV49" si="566">LOWER(U48)&amp;UPPER(U49)</f>
        <v>qK</v>
      </c>
      <c r="AW49" s="68" t="str">
        <f t="shared" ref="AW49" si="567">LOWER(V48)&amp;UPPER(V49)</f>
        <v>rK</v>
      </c>
      <c r="AX49" s="68" t="str">
        <f t="shared" ref="AX49" si="568">LOWER(W48)&amp;UPPER(W49)</f>
        <v>sK</v>
      </c>
      <c r="AY49" s="68" t="str">
        <f t="shared" ref="AY49" si="569">LOWER(X48)&amp;UPPER(X49)</f>
        <v>tK</v>
      </c>
      <c r="AZ49" s="68" t="str">
        <f t="shared" ref="AZ49" si="570">LOWER(Y48)&amp;UPPER(Y49)</f>
        <v>uK</v>
      </c>
      <c r="BA49" s="68" t="str">
        <f t="shared" ref="BA49" si="571">LOWER(Z48)&amp;UPPER(Z49)</f>
        <v>vK</v>
      </c>
      <c r="BB49" s="68" t="str">
        <f t="shared" ref="BB49" si="572">LOWER(AA48)&amp;UPPER(AA49)</f>
        <v>wK</v>
      </c>
      <c r="BC49" s="68" t="str">
        <f t="shared" ref="BC49" si="573">LOWER(AB48)&amp;UPPER(AB49)</f>
        <v>xK</v>
      </c>
      <c r="BD49" s="68" t="str">
        <f t="shared" ref="BD49" si="574">LOWER(AC48)&amp;UPPER(AC49)</f>
        <v>yK</v>
      </c>
      <c r="BE49" s="69" t="str">
        <f t="shared" ref="BE49" si="575">LOWER(AD48)&amp;UPPER(AD49)</f>
        <v>zK</v>
      </c>
      <c r="BG49" s="67"/>
      <c r="BH49" s="68"/>
      <c r="BI49" s="68"/>
      <c r="BJ49" s="68"/>
      <c r="BK49" s="68"/>
      <c r="BL49" s="68"/>
      <c r="BM49" s="68"/>
      <c r="BN49" s="68"/>
      <c r="BO49" s="68"/>
      <c r="BP49" s="68"/>
      <c r="BQ49" s="68"/>
      <c r="BR49" s="68"/>
      <c r="BS49" s="68"/>
      <c r="BT49" s="68"/>
      <c r="BU49" s="68"/>
      <c r="BV49" s="68"/>
      <c r="BW49" s="68"/>
      <c r="BX49" s="68"/>
      <c r="BY49" s="68"/>
      <c r="BZ49" s="68"/>
      <c r="CA49" s="68"/>
      <c r="CB49" s="68"/>
      <c r="CC49" s="68"/>
      <c r="CD49" s="68"/>
      <c r="CE49" s="68"/>
      <c r="CF49" s="69"/>
    </row>
    <row r="50" spans="1:84" x14ac:dyDescent="0.35">
      <c r="A50" s="35" t="s">
        <v>586</v>
      </c>
      <c r="B50" s="36" t="s">
        <v>395</v>
      </c>
      <c r="D50" s="73"/>
      <c r="E50" s="64" t="s">
        <v>397</v>
      </c>
      <c r="F50" s="65" t="s">
        <v>398</v>
      </c>
      <c r="G50" s="65" t="s">
        <v>399</v>
      </c>
      <c r="H50" s="65" t="s">
        <v>400</v>
      </c>
      <c r="I50" s="65" t="s">
        <v>401</v>
      </c>
      <c r="J50" s="65" t="s">
        <v>402</v>
      </c>
      <c r="K50" s="65" t="s">
        <v>403</v>
      </c>
      <c r="L50" s="65" t="s">
        <v>404</v>
      </c>
      <c r="M50" s="65" t="s">
        <v>405</v>
      </c>
      <c r="N50" s="65" t="s">
        <v>406</v>
      </c>
      <c r="O50" s="65" t="s">
        <v>407</v>
      </c>
      <c r="P50" s="65" t="s">
        <v>408</v>
      </c>
      <c r="Q50" s="65" t="s">
        <v>409</v>
      </c>
      <c r="R50" s="65" t="s">
        <v>410</v>
      </c>
      <c r="S50" s="65" t="s">
        <v>411</v>
      </c>
      <c r="T50" s="65" t="s">
        <v>412</v>
      </c>
      <c r="U50" s="65" t="s">
        <v>413</v>
      </c>
      <c r="V50" s="65" t="s">
        <v>414</v>
      </c>
      <c r="W50" s="65" t="s">
        <v>415</v>
      </c>
      <c r="X50" s="65" t="s">
        <v>416</v>
      </c>
      <c r="Y50" s="65" t="s">
        <v>417</v>
      </c>
      <c r="Z50" s="65" t="s">
        <v>418</v>
      </c>
      <c r="AA50" s="65" t="s">
        <v>419</v>
      </c>
      <c r="AB50" s="65" t="s">
        <v>420</v>
      </c>
      <c r="AC50" s="65" t="s">
        <v>421</v>
      </c>
      <c r="AD50" s="66" t="s">
        <v>422</v>
      </c>
      <c r="AF50" s="54" t="str">
        <f>LOWER(E51)&amp;UPPER(E50)</f>
        <v>lA</v>
      </c>
      <c r="AG50" s="55" t="str">
        <f>LOWER(F51)&amp;UPPER(F50)</f>
        <v>lB</v>
      </c>
      <c r="AH50" s="55" t="str">
        <f>LOWER(G51)&amp;UPPER(G50)</f>
        <v>lC</v>
      </c>
      <c r="AI50" s="55" t="str">
        <f t="shared" ref="AI50" si="576">LOWER(H51)&amp;UPPER(H50)</f>
        <v>lD</v>
      </c>
      <c r="AJ50" s="55" t="str">
        <f t="shared" ref="AJ50" si="577">LOWER(I51)&amp;UPPER(I50)</f>
        <v>lE</v>
      </c>
      <c r="AK50" s="71" t="str">
        <f t="shared" ref="AK50" si="578">LOWER(J51)&amp;UPPER(J50)</f>
        <v>lF</v>
      </c>
      <c r="AL50" s="55" t="str">
        <f t="shared" ref="AL50" si="579">LOWER(K51)&amp;UPPER(K50)</f>
        <v>lG</v>
      </c>
      <c r="AM50" s="55" t="str">
        <f t="shared" ref="AM50" si="580">LOWER(L51)&amp;UPPER(L50)</f>
        <v>lH</v>
      </c>
      <c r="AN50" s="71" t="str">
        <f t="shared" ref="AN50" si="581">LOWER(M51)&amp;UPPER(M50)</f>
        <v>lI</v>
      </c>
      <c r="AO50" s="71" t="str">
        <f t="shared" ref="AO50" si="582">LOWER(N51)&amp;UPPER(N50)</f>
        <v>lJ</v>
      </c>
      <c r="AP50" s="71" t="str">
        <f t="shared" ref="AP50" si="583">LOWER(O51)&amp;UPPER(O50)</f>
        <v>lK</v>
      </c>
      <c r="AQ50" s="71" t="str">
        <f t="shared" ref="AQ50" si="584">LOWER(P51)&amp;UPPER(P50)</f>
        <v>lL</v>
      </c>
      <c r="AR50" s="71" t="str">
        <f t="shared" ref="AR50" si="585">LOWER(Q51)&amp;UPPER(Q50)</f>
        <v>lM</v>
      </c>
      <c r="AS50" s="71" t="str">
        <f t="shared" ref="AS50" si="586">LOWER(R51)&amp;UPPER(R50)</f>
        <v>lN</v>
      </c>
      <c r="AT50" s="71" t="str">
        <f t="shared" ref="AT50" si="587">LOWER(S51)&amp;UPPER(S50)</f>
        <v>lO</v>
      </c>
      <c r="AU50" s="71" t="str">
        <f t="shared" ref="AU50" si="588">LOWER(T51)&amp;UPPER(T50)</f>
        <v>lP</v>
      </c>
      <c r="AV50" s="71" t="str">
        <f t="shared" ref="AV50" si="589">LOWER(U51)&amp;UPPER(U50)</f>
        <v>lQ</v>
      </c>
      <c r="AW50" s="71" t="str">
        <f t="shared" ref="AW50" si="590">LOWER(V51)&amp;UPPER(V50)</f>
        <v>lR</v>
      </c>
      <c r="AX50" s="71" t="str">
        <f t="shared" ref="AX50" si="591">LOWER(W51)&amp;UPPER(W50)</f>
        <v>lS</v>
      </c>
      <c r="AY50" s="71" t="str">
        <f t="shared" ref="AY50" si="592">LOWER(X51)&amp;UPPER(X50)</f>
        <v>lT</v>
      </c>
      <c r="AZ50" s="71" t="str">
        <f t="shared" ref="AZ50" si="593">LOWER(Y51)&amp;UPPER(Y50)</f>
        <v>lU</v>
      </c>
      <c r="BA50" s="71" t="str">
        <f t="shared" ref="BA50" si="594">LOWER(Z51)&amp;UPPER(Z50)</f>
        <v>lV</v>
      </c>
      <c r="BB50" s="71" t="str">
        <f t="shared" ref="BB50" si="595">LOWER(AA51)&amp;UPPER(AA50)</f>
        <v>lW</v>
      </c>
      <c r="BC50" s="71" t="str">
        <f t="shared" ref="BC50" si="596">LOWER(AB51)&amp;UPPER(AB50)</f>
        <v>lX</v>
      </c>
      <c r="BD50" s="71" t="str">
        <f t="shared" ref="BD50" si="597">LOWER(AC51)&amp;UPPER(AC50)</f>
        <v>lY</v>
      </c>
      <c r="BE50" s="72" t="str">
        <f t="shared" ref="BE50" si="598">LOWER(AD51)&amp;UPPER(AD50)</f>
        <v>lZ</v>
      </c>
      <c r="BG50" s="70"/>
      <c r="BH50" s="71"/>
      <c r="BI50" s="71"/>
      <c r="BJ50" s="71"/>
      <c r="BK50" s="71"/>
      <c r="BL50" s="71"/>
      <c r="BM50" s="71"/>
      <c r="BN50" s="71"/>
      <c r="BO50" s="71"/>
      <c r="BP50" s="71"/>
      <c r="BQ50" s="71"/>
      <c r="BR50" s="71"/>
      <c r="BS50" s="71"/>
      <c r="BT50" s="71"/>
      <c r="BU50" s="71"/>
      <c r="BV50" s="71"/>
      <c r="BW50" s="71"/>
      <c r="BX50" s="71"/>
      <c r="BY50" s="71"/>
      <c r="BZ50" s="71"/>
      <c r="CA50" s="71"/>
      <c r="CB50" s="71"/>
      <c r="CC50" s="71"/>
      <c r="CD50" s="71"/>
      <c r="CE50" s="71"/>
      <c r="CF50" s="72"/>
    </row>
    <row r="51" spans="1:84" x14ac:dyDescent="0.35">
      <c r="A51" s="37" t="s">
        <v>586</v>
      </c>
      <c r="B51" s="36" t="s">
        <v>396</v>
      </c>
      <c r="D51" s="74" t="s">
        <v>11</v>
      </c>
      <c r="E51" s="67" t="str">
        <f>D51</f>
        <v>L</v>
      </c>
      <c r="F51" s="68" t="str">
        <f t="shared" ref="F51:AD51" si="599">E51</f>
        <v>L</v>
      </c>
      <c r="G51" s="68" t="str">
        <f t="shared" si="599"/>
        <v>L</v>
      </c>
      <c r="H51" s="68" t="str">
        <f t="shared" si="599"/>
        <v>L</v>
      </c>
      <c r="I51" s="68" t="str">
        <f t="shared" si="599"/>
        <v>L</v>
      </c>
      <c r="J51" s="68" t="str">
        <f t="shared" si="599"/>
        <v>L</v>
      </c>
      <c r="K51" s="68" t="str">
        <f t="shared" si="599"/>
        <v>L</v>
      </c>
      <c r="L51" s="68" t="str">
        <f t="shared" si="599"/>
        <v>L</v>
      </c>
      <c r="M51" s="68" t="str">
        <f t="shared" si="599"/>
        <v>L</v>
      </c>
      <c r="N51" s="68" t="str">
        <f t="shared" si="599"/>
        <v>L</v>
      </c>
      <c r="O51" s="68" t="str">
        <f t="shared" si="599"/>
        <v>L</v>
      </c>
      <c r="P51" s="68" t="str">
        <f t="shared" si="599"/>
        <v>L</v>
      </c>
      <c r="Q51" s="68" t="str">
        <f t="shared" si="599"/>
        <v>L</v>
      </c>
      <c r="R51" s="68" t="str">
        <f t="shared" si="599"/>
        <v>L</v>
      </c>
      <c r="S51" s="68" t="str">
        <f t="shared" si="599"/>
        <v>L</v>
      </c>
      <c r="T51" s="68" t="str">
        <f t="shared" si="599"/>
        <v>L</v>
      </c>
      <c r="U51" s="68" t="str">
        <f t="shared" si="599"/>
        <v>L</v>
      </c>
      <c r="V51" s="68" t="str">
        <f t="shared" si="599"/>
        <v>L</v>
      </c>
      <c r="W51" s="68" t="str">
        <f t="shared" si="599"/>
        <v>L</v>
      </c>
      <c r="X51" s="68" t="str">
        <f t="shared" si="599"/>
        <v>L</v>
      </c>
      <c r="Y51" s="68" t="str">
        <f t="shared" si="599"/>
        <v>L</v>
      </c>
      <c r="Z51" s="68" t="str">
        <f t="shared" si="599"/>
        <v>L</v>
      </c>
      <c r="AA51" s="68" t="str">
        <f t="shared" si="599"/>
        <v>L</v>
      </c>
      <c r="AB51" s="68" t="str">
        <f t="shared" si="599"/>
        <v>L</v>
      </c>
      <c r="AC51" s="68" t="str">
        <f t="shared" si="599"/>
        <v>L</v>
      </c>
      <c r="AD51" s="69" t="str">
        <f t="shared" si="599"/>
        <v>L</v>
      </c>
      <c r="AF51" s="57" t="str">
        <f>LOWER(E50)&amp;UPPER(E51)</f>
        <v>aL</v>
      </c>
      <c r="AG51" s="58" t="str">
        <f>LOWER(F50)&amp;UPPER(F51)</f>
        <v>bL</v>
      </c>
      <c r="AH51" s="58" t="str">
        <f>LOWER(G50)&amp;UPPER(G51)</f>
        <v>cL</v>
      </c>
      <c r="AI51" s="58" t="str">
        <f t="shared" ref="AI51" si="600">LOWER(H50)&amp;UPPER(H51)</f>
        <v>dL</v>
      </c>
      <c r="AJ51" s="58" t="str">
        <f t="shared" ref="AJ51" si="601">LOWER(I50)&amp;UPPER(I51)</f>
        <v>eL</v>
      </c>
      <c r="AK51" s="68" t="str">
        <f t="shared" ref="AK51" si="602">LOWER(J50)&amp;UPPER(J51)</f>
        <v>fL</v>
      </c>
      <c r="AL51" s="58" t="str">
        <f t="shared" ref="AL51" si="603">LOWER(K50)&amp;UPPER(K51)</f>
        <v>gL</v>
      </c>
      <c r="AM51" s="58" t="str">
        <f t="shared" ref="AM51" si="604">LOWER(L50)&amp;UPPER(L51)</f>
        <v>hL</v>
      </c>
      <c r="AN51" s="68" t="str">
        <f t="shared" ref="AN51" si="605">LOWER(M50)&amp;UPPER(M51)</f>
        <v>iL</v>
      </c>
      <c r="AO51" s="68" t="str">
        <f t="shared" ref="AO51" si="606">LOWER(N50)&amp;UPPER(N51)</f>
        <v>jL</v>
      </c>
      <c r="AP51" s="68" t="str">
        <f t="shared" ref="AP51" si="607">LOWER(O50)&amp;UPPER(O51)</f>
        <v>kL</v>
      </c>
      <c r="AQ51" s="68" t="str">
        <f t="shared" ref="AQ51" si="608">LOWER(P50)&amp;UPPER(P51)</f>
        <v>lL</v>
      </c>
      <c r="AR51" s="68" t="str">
        <f t="shared" ref="AR51" si="609">LOWER(Q50)&amp;UPPER(Q51)</f>
        <v>mL</v>
      </c>
      <c r="AS51" s="68" t="str">
        <f t="shared" ref="AS51" si="610">LOWER(R50)&amp;UPPER(R51)</f>
        <v>nL</v>
      </c>
      <c r="AT51" s="68" t="str">
        <f t="shared" ref="AT51" si="611">LOWER(S50)&amp;UPPER(S51)</f>
        <v>oL</v>
      </c>
      <c r="AU51" s="68" t="str">
        <f t="shared" ref="AU51" si="612">LOWER(T50)&amp;UPPER(T51)</f>
        <v>pL</v>
      </c>
      <c r="AV51" s="68" t="str">
        <f t="shared" ref="AV51" si="613">LOWER(U50)&amp;UPPER(U51)</f>
        <v>qL</v>
      </c>
      <c r="AW51" s="68" t="str">
        <f t="shared" ref="AW51" si="614">LOWER(V50)&amp;UPPER(V51)</f>
        <v>rL</v>
      </c>
      <c r="AX51" s="68" t="str">
        <f t="shared" ref="AX51" si="615">LOWER(W50)&amp;UPPER(W51)</f>
        <v>sL</v>
      </c>
      <c r="AY51" s="68" t="str">
        <f t="shared" ref="AY51" si="616">LOWER(X50)&amp;UPPER(X51)</f>
        <v>tL</v>
      </c>
      <c r="AZ51" s="68" t="str">
        <f t="shared" ref="AZ51" si="617">LOWER(Y50)&amp;UPPER(Y51)</f>
        <v>uL</v>
      </c>
      <c r="BA51" s="68" t="str">
        <f t="shared" ref="BA51" si="618">LOWER(Z50)&amp;UPPER(Z51)</f>
        <v>vL</v>
      </c>
      <c r="BB51" s="68" t="str">
        <f t="shared" ref="BB51" si="619">LOWER(AA50)&amp;UPPER(AA51)</f>
        <v>wL</v>
      </c>
      <c r="BC51" s="68" t="str">
        <f t="shared" ref="BC51" si="620">LOWER(AB50)&amp;UPPER(AB51)</f>
        <v>xL</v>
      </c>
      <c r="BD51" s="68" t="str">
        <f t="shared" ref="BD51" si="621">LOWER(AC50)&amp;UPPER(AC51)</f>
        <v>yL</v>
      </c>
      <c r="BE51" s="69" t="str">
        <f t="shared" ref="BE51" si="622">LOWER(AD50)&amp;UPPER(AD51)</f>
        <v>zL</v>
      </c>
      <c r="BG51" s="67"/>
      <c r="BH51" s="68"/>
      <c r="BI51" s="68"/>
      <c r="BJ51" s="68"/>
      <c r="BK51" s="68"/>
      <c r="BL51" s="68"/>
      <c r="BM51" s="68"/>
      <c r="BN51" s="68"/>
      <c r="BO51" s="68"/>
      <c r="BP51" s="68"/>
      <c r="BQ51" s="68"/>
      <c r="BR51" s="68"/>
      <c r="BS51" s="68"/>
      <c r="BT51" s="68"/>
      <c r="BU51" s="68"/>
      <c r="BV51" s="68"/>
      <c r="BW51" s="68"/>
      <c r="BX51" s="68"/>
      <c r="BY51" s="68"/>
      <c r="BZ51" s="68"/>
      <c r="CA51" s="68"/>
      <c r="CB51" s="68"/>
      <c r="CC51" s="68"/>
      <c r="CD51" s="68"/>
      <c r="CE51" s="68"/>
      <c r="CF51" s="69"/>
    </row>
    <row r="52" spans="1:84" x14ac:dyDescent="0.35">
      <c r="A52" s="35" t="s">
        <v>586</v>
      </c>
      <c r="B52" s="36" t="s">
        <v>395</v>
      </c>
      <c r="D52" s="73"/>
      <c r="E52" s="64" t="s">
        <v>397</v>
      </c>
      <c r="F52" s="65" t="s">
        <v>398</v>
      </c>
      <c r="G52" s="65" t="s">
        <v>399</v>
      </c>
      <c r="H52" s="65" t="s">
        <v>400</v>
      </c>
      <c r="I52" s="65" t="s">
        <v>401</v>
      </c>
      <c r="J52" s="65" t="s">
        <v>402</v>
      </c>
      <c r="K52" s="65" t="s">
        <v>403</v>
      </c>
      <c r="L52" s="65" t="s">
        <v>404</v>
      </c>
      <c r="M52" s="65" t="s">
        <v>405</v>
      </c>
      <c r="N52" s="65" t="s">
        <v>406</v>
      </c>
      <c r="O52" s="65" t="s">
        <v>407</v>
      </c>
      <c r="P52" s="65" t="s">
        <v>408</v>
      </c>
      <c r="Q52" s="65" t="s">
        <v>409</v>
      </c>
      <c r="R52" s="65" t="s">
        <v>410</v>
      </c>
      <c r="S52" s="65" t="s">
        <v>411</v>
      </c>
      <c r="T52" s="65" t="s">
        <v>412</v>
      </c>
      <c r="U52" s="65" t="s">
        <v>413</v>
      </c>
      <c r="V52" s="65" t="s">
        <v>414</v>
      </c>
      <c r="W52" s="65" t="s">
        <v>415</v>
      </c>
      <c r="X52" s="65" t="s">
        <v>416</v>
      </c>
      <c r="Y52" s="65" t="s">
        <v>417</v>
      </c>
      <c r="Z52" s="65" t="s">
        <v>418</v>
      </c>
      <c r="AA52" s="65" t="s">
        <v>419</v>
      </c>
      <c r="AB52" s="65" t="s">
        <v>420</v>
      </c>
      <c r="AC52" s="65" t="s">
        <v>421</v>
      </c>
      <c r="AD52" s="66" t="s">
        <v>422</v>
      </c>
      <c r="AF52" s="54" t="str">
        <f>LOWER(E53)&amp;UPPER(E52)</f>
        <v>mA</v>
      </c>
      <c r="AG52" s="55" t="str">
        <f>LOWER(F53)&amp;UPPER(F52)</f>
        <v>mB</v>
      </c>
      <c r="AH52" s="71" t="str">
        <f>LOWER(G53)&amp;UPPER(G52)</f>
        <v>mC</v>
      </c>
      <c r="AI52" s="55" t="str">
        <f t="shared" ref="AI52" si="623">LOWER(H53)&amp;UPPER(H52)</f>
        <v>mD</v>
      </c>
      <c r="AJ52" s="71" t="str">
        <f t="shared" ref="AJ52" si="624">LOWER(I53)&amp;UPPER(I52)</f>
        <v>mE</v>
      </c>
      <c r="AK52" s="71" t="str">
        <f t="shared" ref="AK52" si="625">LOWER(J53)&amp;UPPER(J52)</f>
        <v>mF</v>
      </c>
      <c r="AL52" s="71" t="str">
        <f t="shared" ref="AL52" si="626">LOWER(K53)&amp;UPPER(K52)</f>
        <v>mG</v>
      </c>
      <c r="AM52" s="55" t="str">
        <f t="shared" ref="AM52" si="627">LOWER(L53)&amp;UPPER(L52)</f>
        <v>mH</v>
      </c>
      <c r="AN52" s="71" t="str">
        <f t="shared" ref="AN52" si="628">LOWER(M53)&amp;UPPER(M52)</f>
        <v>mI</v>
      </c>
      <c r="AO52" s="71" t="str">
        <f t="shared" ref="AO52" si="629">LOWER(N53)&amp;UPPER(N52)</f>
        <v>mJ</v>
      </c>
      <c r="AP52" s="71" t="str">
        <f t="shared" ref="AP52" si="630">LOWER(O53)&amp;UPPER(O52)</f>
        <v>mK</v>
      </c>
      <c r="AQ52" s="71" t="str">
        <f t="shared" ref="AQ52" si="631">LOWER(P53)&amp;UPPER(P52)</f>
        <v>mL</v>
      </c>
      <c r="AR52" s="71" t="str">
        <f t="shared" ref="AR52" si="632">LOWER(Q53)&amp;UPPER(Q52)</f>
        <v>mM</v>
      </c>
      <c r="AS52" s="71" t="str">
        <f t="shared" ref="AS52" si="633">LOWER(R53)&amp;UPPER(R52)</f>
        <v>mN</v>
      </c>
      <c r="AT52" s="71" t="str">
        <f t="shared" ref="AT52" si="634">LOWER(S53)&amp;UPPER(S52)</f>
        <v>mO</v>
      </c>
      <c r="AU52" s="71" t="str">
        <f t="shared" ref="AU52" si="635">LOWER(T53)&amp;UPPER(T52)</f>
        <v>mP</v>
      </c>
      <c r="AV52" s="71" t="str">
        <f t="shared" ref="AV52" si="636">LOWER(U53)&amp;UPPER(U52)</f>
        <v>mQ</v>
      </c>
      <c r="AW52" s="71" t="str">
        <f t="shared" ref="AW52" si="637">LOWER(V53)&amp;UPPER(V52)</f>
        <v>mR</v>
      </c>
      <c r="AX52" s="71" t="str">
        <f t="shared" ref="AX52" si="638">LOWER(W53)&amp;UPPER(W52)</f>
        <v>mS</v>
      </c>
      <c r="AY52" s="71" t="str">
        <f t="shared" ref="AY52" si="639">LOWER(X53)&amp;UPPER(X52)</f>
        <v>mT</v>
      </c>
      <c r="AZ52" s="71" t="str">
        <f t="shared" ref="AZ52" si="640">LOWER(Y53)&amp;UPPER(Y52)</f>
        <v>mU</v>
      </c>
      <c r="BA52" s="71" t="str">
        <f t="shared" ref="BA52" si="641">LOWER(Z53)&amp;UPPER(Z52)</f>
        <v>mV</v>
      </c>
      <c r="BB52" s="71" t="str">
        <f t="shared" ref="BB52" si="642">LOWER(AA53)&amp;UPPER(AA52)</f>
        <v>mW</v>
      </c>
      <c r="BC52" s="71" t="str">
        <f t="shared" ref="BC52" si="643">LOWER(AB53)&amp;UPPER(AB52)</f>
        <v>mX</v>
      </c>
      <c r="BD52" s="71" t="str">
        <f t="shared" ref="BD52" si="644">LOWER(AC53)&amp;UPPER(AC52)</f>
        <v>mY</v>
      </c>
      <c r="BE52" s="72" t="str">
        <f t="shared" ref="BE52" si="645">LOWER(AD53)&amp;UPPER(AD52)</f>
        <v>mZ</v>
      </c>
      <c r="BG52" s="70"/>
      <c r="BH52" s="71"/>
      <c r="BI52" s="71"/>
      <c r="BJ52" s="71"/>
      <c r="BK52" s="71"/>
      <c r="BL52" s="71"/>
      <c r="BM52" s="71"/>
      <c r="BN52" s="71"/>
      <c r="BO52" s="71"/>
      <c r="BP52" s="71"/>
      <c r="BQ52" s="71"/>
      <c r="BR52" s="71"/>
      <c r="BS52" s="71"/>
      <c r="BT52" s="71"/>
      <c r="BU52" s="71"/>
      <c r="BV52" s="71"/>
      <c r="BW52" s="71"/>
      <c r="BX52" s="71"/>
      <c r="BY52" s="71"/>
      <c r="BZ52" s="71"/>
      <c r="CA52" s="71"/>
      <c r="CB52" s="71"/>
      <c r="CC52" s="71"/>
      <c r="CD52" s="71"/>
      <c r="CE52" s="71"/>
      <c r="CF52" s="72"/>
    </row>
    <row r="53" spans="1:84" x14ac:dyDescent="0.35">
      <c r="A53" s="37" t="s">
        <v>586</v>
      </c>
      <c r="B53" s="36" t="s">
        <v>396</v>
      </c>
      <c r="D53" s="74" t="s">
        <v>12</v>
      </c>
      <c r="E53" s="67" t="str">
        <f>D53</f>
        <v>M</v>
      </c>
      <c r="F53" s="68" t="str">
        <f t="shared" ref="F53:AD53" si="646">E53</f>
        <v>M</v>
      </c>
      <c r="G53" s="68" t="str">
        <f t="shared" si="646"/>
        <v>M</v>
      </c>
      <c r="H53" s="68" t="str">
        <f t="shared" si="646"/>
        <v>M</v>
      </c>
      <c r="I53" s="68" t="str">
        <f t="shared" si="646"/>
        <v>M</v>
      </c>
      <c r="J53" s="68" t="str">
        <f t="shared" si="646"/>
        <v>M</v>
      </c>
      <c r="K53" s="68" t="str">
        <f t="shared" si="646"/>
        <v>M</v>
      </c>
      <c r="L53" s="68" t="str">
        <f t="shared" si="646"/>
        <v>M</v>
      </c>
      <c r="M53" s="68" t="str">
        <f t="shared" si="646"/>
        <v>M</v>
      </c>
      <c r="N53" s="68" t="str">
        <f t="shared" si="646"/>
        <v>M</v>
      </c>
      <c r="O53" s="68" t="str">
        <f t="shared" si="646"/>
        <v>M</v>
      </c>
      <c r="P53" s="68" t="str">
        <f t="shared" si="646"/>
        <v>M</v>
      </c>
      <c r="Q53" s="68" t="str">
        <f t="shared" si="646"/>
        <v>M</v>
      </c>
      <c r="R53" s="68" t="str">
        <f t="shared" si="646"/>
        <v>M</v>
      </c>
      <c r="S53" s="68" t="str">
        <f t="shared" si="646"/>
        <v>M</v>
      </c>
      <c r="T53" s="68" t="str">
        <f t="shared" si="646"/>
        <v>M</v>
      </c>
      <c r="U53" s="68" t="str">
        <f t="shared" si="646"/>
        <v>M</v>
      </c>
      <c r="V53" s="68" t="str">
        <f t="shared" si="646"/>
        <v>M</v>
      </c>
      <c r="W53" s="68" t="str">
        <f t="shared" si="646"/>
        <v>M</v>
      </c>
      <c r="X53" s="68" t="str">
        <f t="shared" si="646"/>
        <v>M</v>
      </c>
      <c r="Y53" s="68" t="str">
        <f t="shared" si="646"/>
        <v>M</v>
      </c>
      <c r="Z53" s="68" t="str">
        <f t="shared" si="646"/>
        <v>M</v>
      </c>
      <c r="AA53" s="68" t="str">
        <f t="shared" si="646"/>
        <v>M</v>
      </c>
      <c r="AB53" s="68" t="str">
        <f t="shared" si="646"/>
        <v>M</v>
      </c>
      <c r="AC53" s="68" t="str">
        <f t="shared" si="646"/>
        <v>M</v>
      </c>
      <c r="AD53" s="69" t="str">
        <f t="shared" si="646"/>
        <v>M</v>
      </c>
      <c r="AF53" s="57" t="str">
        <f>LOWER(E52)&amp;UPPER(E53)</f>
        <v>aM</v>
      </c>
      <c r="AG53" s="58" t="str">
        <f>LOWER(F52)&amp;UPPER(F53)</f>
        <v>bM</v>
      </c>
      <c r="AH53" s="68" t="str">
        <f>LOWER(G52)&amp;UPPER(G53)</f>
        <v>cM</v>
      </c>
      <c r="AI53" s="58" t="str">
        <f t="shared" ref="AI53" si="647">LOWER(H52)&amp;UPPER(H53)</f>
        <v>dM</v>
      </c>
      <c r="AJ53" s="68" t="str">
        <f t="shared" ref="AJ53" si="648">LOWER(I52)&amp;UPPER(I53)</f>
        <v>eM</v>
      </c>
      <c r="AK53" s="68" t="str">
        <f t="shared" ref="AK53" si="649">LOWER(J52)&amp;UPPER(J53)</f>
        <v>fM</v>
      </c>
      <c r="AL53" s="68" t="str">
        <f t="shared" ref="AL53" si="650">LOWER(K52)&amp;UPPER(K53)</f>
        <v>gM</v>
      </c>
      <c r="AM53" s="58" t="str">
        <f t="shared" ref="AM53" si="651">LOWER(L52)&amp;UPPER(L53)</f>
        <v>hM</v>
      </c>
      <c r="AN53" s="68" t="str">
        <f t="shared" ref="AN53" si="652">LOWER(M52)&amp;UPPER(M53)</f>
        <v>iM</v>
      </c>
      <c r="AO53" s="68" t="str">
        <f t="shared" ref="AO53" si="653">LOWER(N52)&amp;UPPER(N53)</f>
        <v>jM</v>
      </c>
      <c r="AP53" s="68" t="str">
        <f t="shared" ref="AP53" si="654">LOWER(O52)&amp;UPPER(O53)</f>
        <v>kM</v>
      </c>
      <c r="AQ53" s="68" t="str">
        <f t="shared" ref="AQ53" si="655">LOWER(P52)&amp;UPPER(P53)</f>
        <v>lM</v>
      </c>
      <c r="AR53" s="68" t="str">
        <f t="shared" ref="AR53" si="656">LOWER(Q52)&amp;UPPER(Q53)</f>
        <v>mM</v>
      </c>
      <c r="AS53" s="68" t="str">
        <f t="shared" ref="AS53" si="657">LOWER(R52)&amp;UPPER(R53)</f>
        <v>nM</v>
      </c>
      <c r="AT53" s="68" t="str">
        <f t="shared" ref="AT53" si="658">LOWER(S52)&amp;UPPER(S53)</f>
        <v>oM</v>
      </c>
      <c r="AU53" s="68" t="str">
        <f t="shared" ref="AU53" si="659">LOWER(T52)&amp;UPPER(T53)</f>
        <v>pM</v>
      </c>
      <c r="AV53" s="68" t="str">
        <f t="shared" ref="AV53" si="660">LOWER(U52)&amp;UPPER(U53)</f>
        <v>qM</v>
      </c>
      <c r="AW53" s="68" t="str">
        <f t="shared" ref="AW53" si="661">LOWER(V52)&amp;UPPER(V53)</f>
        <v>rM</v>
      </c>
      <c r="AX53" s="68" t="str">
        <f t="shared" ref="AX53" si="662">LOWER(W52)&amp;UPPER(W53)</f>
        <v>sM</v>
      </c>
      <c r="AY53" s="68" t="str">
        <f t="shared" ref="AY53" si="663">LOWER(X52)&amp;UPPER(X53)</f>
        <v>tM</v>
      </c>
      <c r="AZ53" s="68" t="str">
        <f t="shared" ref="AZ53" si="664">LOWER(Y52)&amp;UPPER(Y53)</f>
        <v>uM</v>
      </c>
      <c r="BA53" s="68" t="str">
        <f t="shared" ref="BA53" si="665">LOWER(Z52)&amp;UPPER(Z53)</f>
        <v>vM</v>
      </c>
      <c r="BB53" s="68" t="str">
        <f t="shared" ref="BB53" si="666">LOWER(AA52)&amp;UPPER(AA53)</f>
        <v>wM</v>
      </c>
      <c r="BC53" s="68" t="str">
        <f t="shared" ref="BC53" si="667">LOWER(AB52)&amp;UPPER(AB53)</f>
        <v>xM</v>
      </c>
      <c r="BD53" s="68" t="str">
        <f t="shared" ref="BD53" si="668">LOWER(AC52)&amp;UPPER(AC53)</f>
        <v>yM</v>
      </c>
      <c r="BE53" s="69" t="str">
        <f t="shared" ref="BE53" si="669">LOWER(AD52)&amp;UPPER(AD53)</f>
        <v>zM</v>
      </c>
      <c r="BG53" s="67"/>
      <c r="BH53" s="68"/>
      <c r="BI53" s="68"/>
      <c r="BJ53" s="68"/>
      <c r="BK53" s="68"/>
      <c r="BL53" s="68"/>
      <c r="BM53" s="68"/>
      <c r="BN53" s="68"/>
      <c r="BO53" s="68"/>
      <c r="BP53" s="68"/>
      <c r="BQ53" s="68"/>
      <c r="BR53" s="68"/>
      <c r="BS53" s="68"/>
      <c r="BT53" s="68"/>
      <c r="BU53" s="68"/>
      <c r="BV53" s="68"/>
      <c r="BW53" s="68"/>
      <c r="BX53" s="68"/>
      <c r="BY53" s="68"/>
      <c r="BZ53" s="68"/>
      <c r="CA53" s="68"/>
      <c r="CB53" s="68"/>
      <c r="CC53" s="68"/>
      <c r="CD53" s="68"/>
      <c r="CE53" s="68"/>
      <c r="CF53" s="69"/>
    </row>
    <row r="54" spans="1:84" x14ac:dyDescent="0.35">
      <c r="A54" s="35" t="s">
        <v>586</v>
      </c>
      <c r="B54" s="36" t="s">
        <v>395</v>
      </c>
      <c r="D54" s="73"/>
      <c r="E54" s="64" t="s">
        <v>397</v>
      </c>
      <c r="F54" s="65" t="s">
        <v>398</v>
      </c>
      <c r="G54" s="65" t="s">
        <v>399</v>
      </c>
      <c r="H54" s="65" t="s">
        <v>400</v>
      </c>
      <c r="I54" s="65" t="s">
        <v>401</v>
      </c>
      <c r="J54" s="65" t="s">
        <v>402</v>
      </c>
      <c r="K54" s="65" t="s">
        <v>403</v>
      </c>
      <c r="L54" s="65" t="s">
        <v>404</v>
      </c>
      <c r="M54" s="65" t="s">
        <v>405</v>
      </c>
      <c r="N54" s="65" t="s">
        <v>406</v>
      </c>
      <c r="O54" s="65" t="s">
        <v>407</v>
      </c>
      <c r="P54" s="65" t="s">
        <v>408</v>
      </c>
      <c r="Q54" s="65" t="s">
        <v>409</v>
      </c>
      <c r="R54" s="65" t="s">
        <v>410</v>
      </c>
      <c r="S54" s="65" t="s">
        <v>411</v>
      </c>
      <c r="T54" s="65" t="s">
        <v>412</v>
      </c>
      <c r="U54" s="65" t="s">
        <v>413</v>
      </c>
      <c r="V54" s="65" t="s">
        <v>414</v>
      </c>
      <c r="W54" s="65" t="s">
        <v>415</v>
      </c>
      <c r="X54" s="65" t="s">
        <v>416</v>
      </c>
      <c r="Y54" s="65" t="s">
        <v>417</v>
      </c>
      <c r="Z54" s="65" t="s">
        <v>418</v>
      </c>
      <c r="AA54" s="65" t="s">
        <v>419</v>
      </c>
      <c r="AB54" s="65" t="s">
        <v>420</v>
      </c>
      <c r="AC54" s="65" t="s">
        <v>421</v>
      </c>
      <c r="AD54" s="66" t="s">
        <v>422</v>
      </c>
      <c r="AF54" s="54" t="str">
        <f>LOWER(E55)&amp;UPPER(E54)</f>
        <v>nA</v>
      </c>
      <c r="AG54" s="55" t="str">
        <f>LOWER(F55)&amp;UPPER(F54)</f>
        <v>nB</v>
      </c>
      <c r="AH54" s="55" t="str">
        <f>LOWER(G55)&amp;UPPER(G54)</f>
        <v>nC</v>
      </c>
      <c r="AI54" s="55" t="str">
        <f t="shared" ref="AI54" si="670">LOWER(H55)&amp;UPPER(H54)</f>
        <v>nD</v>
      </c>
      <c r="AJ54" s="55" t="str">
        <f t="shared" ref="AJ54" si="671">LOWER(I55)&amp;UPPER(I54)</f>
        <v>nE</v>
      </c>
      <c r="AK54" s="71" t="str">
        <f t="shared" ref="AK54" si="672">LOWER(J55)&amp;UPPER(J54)</f>
        <v>nF</v>
      </c>
      <c r="AL54" s="71" t="str">
        <f t="shared" ref="AL54" si="673">LOWER(K55)&amp;UPPER(K54)</f>
        <v>nG</v>
      </c>
      <c r="AM54" s="55" t="str">
        <f t="shared" ref="AM54" si="674">LOWER(L55)&amp;UPPER(L54)</f>
        <v>nH</v>
      </c>
      <c r="AN54" s="71" t="str">
        <f t="shared" ref="AN54" si="675">LOWER(M55)&amp;UPPER(M54)</f>
        <v>nI</v>
      </c>
      <c r="AO54" s="71" t="str">
        <f t="shared" ref="AO54" si="676">LOWER(N55)&amp;UPPER(N54)</f>
        <v>nJ</v>
      </c>
      <c r="AP54" s="71" t="str">
        <f t="shared" ref="AP54" si="677">LOWER(O55)&amp;UPPER(O54)</f>
        <v>nK</v>
      </c>
      <c r="AQ54" s="71" t="str">
        <f t="shared" ref="AQ54" si="678">LOWER(P55)&amp;UPPER(P54)</f>
        <v>nL</v>
      </c>
      <c r="AR54" s="71" t="str">
        <f t="shared" ref="AR54" si="679">LOWER(Q55)&amp;UPPER(Q54)</f>
        <v>nM</v>
      </c>
      <c r="AS54" s="71" t="str">
        <f t="shared" ref="AS54" si="680">LOWER(R55)&amp;UPPER(R54)</f>
        <v>nN</v>
      </c>
      <c r="AT54" s="71" t="str">
        <f t="shared" ref="AT54" si="681">LOWER(S55)&amp;UPPER(S54)</f>
        <v>nO</v>
      </c>
      <c r="AU54" s="71" t="str">
        <f t="shared" ref="AU54" si="682">LOWER(T55)&amp;UPPER(T54)</f>
        <v>nP</v>
      </c>
      <c r="AV54" s="71" t="str">
        <f t="shared" ref="AV54" si="683">LOWER(U55)&amp;UPPER(U54)</f>
        <v>nQ</v>
      </c>
      <c r="AW54" s="71" t="str">
        <f t="shared" ref="AW54" si="684">LOWER(V55)&amp;UPPER(V54)</f>
        <v>nR</v>
      </c>
      <c r="AX54" s="71" t="str">
        <f t="shared" ref="AX54" si="685">LOWER(W55)&amp;UPPER(W54)</f>
        <v>nS</v>
      </c>
      <c r="AY54" s="71" t="str">
        <f t="shared" ref="AY54" si="686">LOWER(X55)&amp;UPPER(X54)</f>
        <v>nT</v>
      </c>
      <c r="AZ54" s="71" t="str">
        <f t="shared" ref="AZ54" si="687">LOWER(Y55)&amp;UPPER(Y54)</f>
        <v>nU</v>
      </c>
      <c r="BA54" s="71" t="str">
        <f t="shared" ref="BA54" si="688">LOWER(Z55)&amp;UPPER(Z54)</f>
        <v>nV</v>
      </c>
      <c r="BB54" s="71" t="str">
        <f t="shared" ref="BB54" si="689">LOWER(AA55)&amp;UPPER(AA54)</f>
        <v>nW</v>
      </c>
      <c r="BC54" s="71" t="str">
        <f t="shared" ref="BC54" si="690">LOWER(AB55)&amp;UPPER(AB54)</f>
        <v>nX</v>
      </c>
      <c r="BD54" s="71" t="str">
        <f t="shared" ref="BD54" si="691">LOWER(AC55)&amp;UPPER(AC54)</f>
        <v>nY</v>
      </c>
      <c r="BE54" s="72" t="str">
        <f t="shared" ref="BE54" si="692">LOWER(AD55)&amp;UPPER(AD54)</f>
        <v>nZ</v>
      </c>
      <c r="BG54" s="70"/>
      <c r="BH54" s="71"/>
      <c r="BI54" s="71"/>
      <c r="BJ54" s="71"/>
      <c r="BK54" s="71"/>
      <c r="BL54" s="71"/>
      <c r="BM54" s="71"/>
      <c r="BN54" s="71"/>
      <c r="BO54" s="71"/>
      <c r="BP54" s="71"/>
      <c r="BQ54" s="71"/>
      <c r="BR54" s="71"/>
      <c r="BS54" s="71"/>
      <c r="BT54" s="71"/>
      <c r="BU54" s="71"/>
      <c r="BV54" s="71"/>
      <c r="BW54" s="71"/>
      <c r="BX54" s="71"/>
      <c r="BY54" s="71"/>
      <c r="BZ54" s="71"/>
      <c r="CA54" s="71"/>
      <c r="CB54" s="71"/>
      <c r="CC54" s="71"/>
      <c r="CD54" s="71"/>
      <c r="CE54" s="71"/>
      <c r="CF54" s="72"/>
    </row>
    <row r="55" spans="1:84" x14ac:dyDescent="0.35">
      <c r="A55" s="37" t="s">
        <v>586</v>
      </c>
      <c r="B55" s="36" t="s">
        <v>396</v>
      </c>
      <c r="D55" s="74" t="s">
        <v>13</v>
      </c>
      <c r="E55" s="67" t="str">
        <f>D55</f>
        <v>N</v>
      </c>
      <c r="F55" s="68" t="str">
        <f t="shared" ref="F55:AD55" si="693">E55</f>
        <v>N</v>
      </c>
      <c r="G55" s="68" t="str">
        <f t="shared" si="693"/>
        <v>N</v>
      </c>
      <c r="H55" s="68" t="str">
        <f t="shared" si="693"/>
        <v>N</v>
      </c>
      <c r="I55" s="68" t="str">
        <f t="shared" si="693"/>
        <v>N</v>
      </c>
      <c r="J55" s="68" t="str">
        <f t="shared" si="693"/>
        <v>N</v>
      </c>
      <c r="K55" s="68" t="str">
        <f t="shared" si="693"/>
        <v>N</v>
      </c>
      <c r="L55" s="68" t="str">
        <f t="shared" si="693"/>
        <v>N</v>
      </c>
      <c r="M55" s="68" t="str">
        <f t="shared" si="693"/>
        <v>N</v>
      </c>
      <c r="N55" s="68" t="str">
        <f t="shared" si="693"/>
        <v>N</v>
      </c>
      <c r="O55" s="68" t="str">
        <f t="shared" si="693"/>
        <v>N</v>
      </c>
      <c r="P55" s="68" t="str">
        <f t="shared" si="693"/>
        <v>N</v>
      </c>
      <c r="Q55" s="68" t="str">
        <f t="shared" si="693"/>
        <v>N</v>
      </c>
      <c r="R55" s="68" t="str">
        <f t="shared" si="693"/>
        <v>N</v>
      </c>
      <c r="S55" s="68" t="str">
        <f t="shared" si="693"/>
        <v>N</v>
      </c>
      <c r="T55" s="68" t="str">
        <f t="shared" si="693"/>
        <v>N</v>
      </c>
      <c r="U55" s="68" t="str">
        <f t="shared" si="693"/>
        <v>N</v>
      </c>
      <c r="V55" s="68" t="str">
        <f t="shared" si="693"/>
        <v>N</v>
      </c>
      <c r="W55" s="68" t="str">
        <f t="shared" si="693"/>
        <v>N</v>
      </c>
      <c r="X55" s="68" t="str">
        <f t="shared" si="693"/>
        <v>N</v>
      </c>
      <c r="Y55" s="68" t="str">
        <f t="shared" si="693"/>
        <v>N</v>
      </c>
      <c r="Z55" s="68" t="str">
        <f t="shared" si="693"/>
        <v>N</v>
      </c>
      <c r="AA55" s="68" t="str">
        <f t="shared" si="693"/>
        <v>N</v>
      </c>
      <c r="AB55" s="68" t="str">
        <f t="shared" si="693"/>
        <v>N</v>
      </c>
      <c r="AC55" s="68" t="str">
        <f t="shared" si="693"/>
        <v>N</v>
      </c>
      <c r="AD55" s="69" t="str">
        <f t="shared" si="693"/>
        <v>N</v>
      </c>
      <c r="AF55" s="57" t="str">
        <f>LOWER(E54)&amp;UPPER(E55)</f>
        <v>aN</v>
      </c>
      <c r="AG55" s="58" t="str">
        <f>LOWER(F54)&amp;UPPER(F55)</f>
        <v>bN</v>
      </c>
      <c r="AH55" s="58" t="str">
        <f>LOWER(G54)&amp;UPPER(G55)</f>
        <v>cN</v>
      </c>
      <c r="AI55" s="58" t="str">
        <f t="shared" ref="AI55" si="694">LOWER(H54)&amp;UPPER(H55)</f>
        <v>dN</v>
      </c>
      <c r="AJ55" s="58" t="str">
        <f t="shared" ref="AJ55" si="695">LOWER(I54)&amp;UPPER(I55)</f>
        <v>eN</v>
      </c>
      <c r="AK55" s="68" t="str">
        <f t="shared" ref="AK55" si="696">LOWER(J54)&amp;UPPER(J55)</f>
        <v>fN</v>
      </c>
      <c r="AL55" s="68" t="str">
        <f t="shared" ref="AL55" si="697">LOWER(K54)&amp;UPPER(K55)</f>
        <v>gN</v>
      </c>
      <c r="AM55" s="58" t="str">
        <f t="shared" ref="AM55" si="698">LOWER(L54)&amp;UPPER(L55)</f>
        <v>hN</v>
      </c>
      <c r="AN55" s="68" t="str">
        <f t="shared" ref="AN55" si="699">LOWER(M54)&amp;UPPER(M55)</f>
        <v>iN</v>
      </c>
      <c r="AO55" s="68" t="str">
        <f t="shared" ref="AO55" si="700">LOWER(N54)&amp;UPPER(N55)</f>
        <v>jN</v>
      </c>
      <c r="AP55" s="68" t="str">
        <f t="shared" ref="AP55" si="701">LOWER(O54)&amp;UPPER(O55)</f>
        <v>kN</v>
      </c>
      <c r="AQ55" s="68" t="str">
        <f t="shared" ref="AQ55" si="702">LOWER(P54)&amp;UPPER(P55)</f>
        <v>lN</v>
      </c>
      <c r="AR55" s="68" t="str">
        <f t="shared" ref="AR55" si="703">LOWER(Q54)&amp;UPPER(Q55)</f>
        <v>mN</v>
      </c>
      <c r="AS55" s="68" t="str">
        <f t="shared" ref="AS55" si="704">LOWER(R54)&amp;UPPER(R55)</f>
        <v>nN</v>
      </c>
      <c r="AT55" s="68" t="str">
        <f t="shared" ref="AT55" si="705">LOWER(S54)&amp;UPPER(S55)</f>
        <v>oN</v>
      </c>
      <c r="AU55" s="68" t="str">
        <f t="shared" ref="AU55" si="706">LOWER(T54)&amp;UPPER(T55)</f>
        <v>pN</v>
      </c>
      <c r="AV55" s="68" t="str">
        <f t="shared" ref="AV55" si="707">LOWER(U54)&amp;UPPER(U55)</f>
        <v>qN</v>
      </c>
      <c r="AW55" s="68" t="str">
        <f t="shared" ref="AW55" si="708">LOWER(V54)&amp;UPPER(V55)</f>
        <v>rN</v>
      </c>
      <c r="AX55" s="68" t="str">
        <f t="shared" ref="AX55" si="709">LOWER(W54)&amp;UPPER(W55)</f>
        <v>sN</v>
      </c>
      <c r="AY55" s="68" t="str">
        <f t="shared" ref="AY55" si="710">LOWER(X54)&amp;UPPER(X55)</f>
        <v>tN</v>
      </c>
      <c r="AZ55" s="68" t="str">
        <f t="shared" ref="AZ55" si="711">LOWER(Y54)&amp;UPPER(Y55)</f>
        <v>uN</v>
      </c>
      <c r="BA55" s="68" t="str">
        <f t="shared" ref="BA55" si="712">LOWER(Z54)&amp;UPPER(Z55)</f>
        <v>vN</v>
      </c>
      <c r="BB55" s="68" t="str">
        <f t="shared" ref="BB55" si="713">LOWER(AA54)&amp;UPPER(AA55)</f>
        <v>wN</v>
      </c>
      <c r="BC55" s="68" t="str">
        <f t="shared" ref="BC55" si="714">LOWER(AB54)&amp;UPPER(AB55)</f>
        <v>xN</v>
      </c>
      <c r="BD55" s="68" t="str">
        <f t="shared" ref="BD55" si="715">LOWER(AC54)&amp;UPPER(AC55)</f>
        <v>yN</v>
      </c>
      <c r="BE55" s="69" t="str">
        <f t="shared" ref="BE55" si="716">LOWER(AD54)&amp;UPPER(AD55)</f>
        <v>zN</v>
      </c>
      <c r="BG55" s="67"/>
      <c r="BH55" s="68"/>
      <c r="BI55" s="68"/>
      <c r="BJ55" s="68"/>
      <c r="BK55" s="68"/>
      <c r="BL55" s="68"/>
      <c r="BM55" s="68"/>
      <c r="BN55" s="68"/>
      <c r="BO55" s="68"/>
      <c r="BP55" s="68"/>
      <c r="BQ55" s="68"/>
      <c r="BR55" s="68"/>
      <c r="BS55" s="68"/>
      <c r="BT55" s="68"/>
      <c r="BU55" s="68"/>
      <c r="BV55" s="68"/>
      <c r="BW55" s="68"/>
      <c r="BX55" s="68"/>
      <c r="BY55" s="68"/>
      <c r="BZ55" s="68"/>
      <c r="CA55" s="68"/>
      <c r="CB55" s="68"/>
      <c r="CC55" s="68"/>
      <c r="CD55" s="68"/>
      <c r="CE55" s="68"/>
      <c r="CF55" s="69"/>
    </row>
    <row r="56" spans="1:84" x14ac:dyDescent="0.35">
      <c r="A56" s="35" t="s">
        <v>586</v>
      </c>
      <c r="B56" s="36" t="s">
        <v>395</v>
      </c>
      <c r="D56" s="73"/>
      <c r="E56" s="64" t="s">
        <v>397</v>
      </c>
      <c r="F56" s="65" t="s">
        <v>398</v>
      </c>
      <c r="G56" s="65" t="s">
        <v>399</v>
      </c>
      <c r="H56" s="65" t="s">
        <v>400</v>
      </c>
      <c r="I56" s="65" t="s">
        <v>401</v>
      </c>
      <c r="J56" s="65" t="s">
        <v>402</v>
      </c>
      <c r="K56" s="65" t="s">
        <v>403</v>
      </c>
      <c r="L56" s="65" t="s">
        <v>404</v>
      </c>
      <c r="M56" s="65" t="s">
        <v>405</v>
      </c>
      <c r="N56" s="65" t="s">
        <v>406</v>
      </c>
      <c r="O56" s="65" t="s">
        <v>407</v>
      </c>
      <c r="P56" s="65" t="s">
        <v>408</v>
      </c>
      <c r="Q56" s="65" t="s">
        <v>409</v>
      </c>
      <c r="R56" s="65" t="s">
        <v>410</v>
      </c>
      <c r="S56" s="65" t="s">
        <v>411</v>
      </c>
      <c r="T56" s="65" t="s">
        <v>412</v>
      </c>
      <c r="U56" s="65" t="s">
        <v>413</v>
      </c>
      <c r="V56" s="65" t="s">
        <v>414</v>
      </c>
      <c r="W56" s="65" t="s">
        <v>415</v>
      </c>
      <c r="X56" s="65" t="s">
        <v>416</v>
      </c>
      <c r="Y56" s="65" t="s">
        <v>417</v>
      </c>
      <c r="Z56" s="65" t="s">
        <v>418</v>
      </c>
      <c r="AA56" s="65" t="s">
        <v>419</v>
      </c>
      <c r="AB56" s="65" t="s">
        <v>420</v>
      </c>
      <c r="AC56" s="65" t="s">
        <v>421</v>
      </c>
      <c r="AD56" s="66" t="s">
        <v>422</v>
      </c>
      <c r="AF56" s="54" t="str">
        <f>LOWER(E57)&amp;UPPER(E56)</f>
        <v>oA</v>
      </c>
      <c r="AG56" s="55" t="str">
        <f>LOWER(F57)&amp;UPPER(F56)</f>
        <v>oB</v>
      </c>
      <c r="AH56" s="71" t="str">
        <f>LOWER(G57)&amp;UPPER(G56)</f>
        <v>oC</v>
      </c>
      <c r="AI56" s="55" t="str">
        <f t="shared" ref="AI56" si="717">LOWER(H57)&amp;UPPER(H56)</f>
        <v>oD</v>
      </c>
      <c r="AJ56" s="55" t="str">
        <f t="shared" ref="AJ56" si="718">LOWER(I57)&amp;UPPER(I56)</f>
        <v>oE</v>
      </c>
      <c r="AK56" s="71" t="str">
        <f t="shared" ref="AK56" si="719">LOWER(J57)&amp;UPPER(J56)</f>
        <v>oF</v>
      </c>
      <c r="AL56" s="71" t="str">
        <f t="shared" ref="AL56" si="720">LOWER(K57)&amp;UPPER(K56)</f>
        <v>oG</v>
      </c>
      <c r="AM56" s="55" t="str">
        <f t="shared" ref="AM56" si="721">LOWER(L57)&amp;UPPER(L56)</f>
        <v>oH</v>
      </c>
      <c r="AN56" s="71" t="str">
        <f t="shared" ref="AN56" si="722">LOWER(M57)&amp;UPPER(M56)</f>
        <v>oI</v>
      </c>
      <c r="AO56" s="71" t="str">
        <f t="shared" ref="AO56" si="723">LOWER(N57)&amp;UPPER(N56)</f>
        <v>oJ</v>
      </c>
      <c r="AP56" s="71" t="str">
        <f t="shared" ref="AP56" si="724">LOWER(O57)&amp;UPPER(O56)</f>
        <v>oK</v>
      </c>
      <c r="AQ56" s="71" t="str">
        <f t="shared" ref="AQ56" si="725">LOWER(P57)&amp;UPPER(P56)</f>
        <v>oL</v>
      </c>
      <c r="AR56" s="71" t="str">
        <f t="shared" ref="AR56" si="726">LOWER(Q57)&amp;UPPER(Q56)</f>
        <v>oM</v>
      </c>
      <c r="AS56" s="71" t="str">
        <f t="shared" ref="AS56" si="727">LOWER(R57)&amp;UPPER(R56)</f>
        <v>oN</v>
      </c>
      <c r="AT56" s="71" t="str">
        <f t="shared" ref="AT56" si="728">LOWER(S57)&amp;UPPER(S56)</f>
        <v>oO</v>
      </c>
      <c r="AU56" s="71" t="str">
        <f t="shared" ref="AU56" si="729">LOWER(T57)&amp;UPPER(T56)</f>
        <v>oP</v>
      </c>
      <c r="AV56" s="71" t="str">
        <f t="shared" ref="AV56" si="730">LOWER(U57)&amp;UPPER(U56)</f>
        <v>oQ</v>
      </c>
      <c r="AW56" s="71" t="str">
        <f t="shared" ref="AW56" si="731">LOWER(V57)&amp;UPPER(V56)</f>
        <v>oR</v>
      </c>
      <c r="AX56" s="71" t="str">
        <f t="shared" ref="AX56" si="732">LOWER(W57)&amp;UPPER(W56)</f>
        <v>oS</v>
      </c>
      <c r="AY56" s="71" t="str">
        <f t="shared" ref="AY56" si="733">LOWER(X57)&amp;UPPER(X56)</f>
        <v>oT</v>
      </c>
      <c r="AZ56" s="71" t="str">
        <f t="shared" ref="AZ56" si="734">LOWER(Y57)&amp;UPPER(Y56)</f>
        <v>oU</v>
      </c>
      <c r="BA56" s="71" t="str">
        <f t="shared" ref="BA56" si="735">LOWER(Z57)&amp;UPPER(Z56)</f>
        <v>oV</v>
      </c>
      <c r="BB56" s="71" t="str">
        <f t="shared" ref="BB56" si="736">LOWER(AA57)&amp;UPPER(AA56)</f>
        <v>oW</v>
      </c>
      <c r="BC56" s="71" t="str">
        <f t="shared" ref="BC56" si="737">LOWER(AB57)&amp;UPPER(AB56)</f>
        <v>oX</v>
      </c>
      <c r="BD56" s="71" t="str">
        <f t="shared" ref="BD56" si="738">LOWER(AC57)&amp;UPPER(AC56)</f>
        <v>oY</v>
      </c>
      <c r="BE56" s="72" t="str">
        <f t="shared" ref="BE56" si="739">LOWER(AD57)&amp;UPPER(AD56)</f>
        <v>oZ</v>
      </c>
      <c r="BG56" s="70"/>
      <c r="BH56" s="71"/>
      <c r="BI56" s="71"/>
      <c r="BJ56" s="71"/>
      <c r="BK56" s="71"/>
      <c r="BL56" s="71"/>
      <c r="BM56" s="71"/>
      <c r="BN56" s="71"/>
      <c r="BO56" s="71"/>
      <c r="BP56" s="71"/>
      <c r="BQ56" s="71"/>
      <c r="BR56" s="71"/>
      <c r="BS56" s="71"/>
      <c r="BT56" s="71"/>
      <c r="BU56" s="71"/>
      <c r="BV56" s="71"/>
      <c r="BW56" s="71"/>
      <c r="BX56" s="71"/>
      <c r="BY56" s="71"/>
      <c r="BZ56" s="71"/>
      <c r="CA56" s="71"/>
      <c r="CB56" s="71"/>
      <c r="CC56" s="71"/>
      <c r="CD56" s="71"/>
      <c r="CE56" s="71"/>
      <c r="CF56" s="72"/>
    </row>
    <row r="57" spans="1:84" x14ac:dyDescent="0.35">
      <c r="A57" s="37" t="s">
        <v>586</v>
      </c>
      <c r="B57" s="36" t="s">
        <v>396</v>
      </c>
      <c r="D57" s="74" t="s">
        <v>14</v>
      </c>
      <c r="E57" s="67" t="str">
        <f>D57</f>
        <v>O</v>
      </c>
      <c r="F57" s="68" t="str">
        <f t="shared" ref="F57:AD57" si="740">E57</f>
        <v>O</v>
      </c>
      <c r="G57" s="68" t="str">
        <f t="shared" si="740"/>
        <v>O</v>
      </c>
      <c r="H57" s="68" t="str">
        <f t="shared" si="740"/>
        <v>O</v>
      </c>
      <c r="I57" s="68" t="str">
        <f t="shared" si="740"/>
        <v>O</v>
      </c>
      <c r="J57" s="68" t="str">
        <f t="shared" si="740"/>
        <v>O</v>
      </c>
      <c r="K57" s="68" t="str">
        <f t="shared" si="740"/>
        <v>O</v>
      </c>
      <c r="L57" s="68" t="str">
        <f t="shared" si="740"/>
        <v>O</v>
      </c>
      <c r="M57" s="68" t="str">
        <f t="shared" si="740"/>
        <v>O</v>
      </c>
      <c r="N57" s="68" t="str">
        <f t="shared" si="740"/>
        <v>O</v>
      </c>
      <c r="O57" s="68" t="str">
        <f t="shared" si="740"/>
        <v>O</v>
      </c>
      <c r="P57" s="68" t="str">
        <f t="shared" si="740"/>
        <v>O</v>
      </c>
      <c r="Q57" s="68" t="str">
        <f t="shared" si="740"/>
        <v>O</v>
      </c>
      <c r="R57" s="68" t="str">
        <f t="shared" si="740"/>
        <v>O</v>
      </c>
      <c r="S57" s="68" t="str">
        <f t="shared" si="740"/>
        <v>O</v>
      </c>
      <c r="T57" s="68" t="str">
        <f t="shared" si="740"/>
        <v>O</v>
      </c>
      <c r="U57" s="68" t="str">
        <f t="shared" si="740"/>
        <v>O</v>
      </c>
      <c r="V57" s="68" t="str">
        <f t="shared" si="740"/>
        <v>O</v>
      </c>
      <c r="W57" s="68" t="str">
        <f t="shared" si="740"/>
        <v>O</v>
      </c>
      <c r="X57" s="68" t="str">
        <f t="shared" si="740"/>
        <v>O</v>
      </c>
      <c r="Y57" s="68" t="str">
        <f t="shared" si="740"/>
        <v>O</v>
      </c>
      <c r="Z57" s="68" t="str">
        <f t="shared" si="740"/>
        <v>O</v>
      </c>
      <c r="AA57" s="68" t="str">
        <f t="shared" si="740"/>
        <v>O</v>
      </c>
      <c r="AB57" s="68" t="str">
        <f t="shared" si="740"/>
        <v>O</v>
      </c>
      <c r="AC57" s="68" t="str">
        <f t="shared" si="740"/>
        <v>O</v>
      </c>
      <c r="AD57" s="69" t="str">
        <f t="shared" si="740"/>
        <v>O</v>
      </c>
      <c r="AF57" s="57" t="str">
        <f>LOWER(E56)&amp;UPPER(E57)</f>
        <v>aO</v>
      </c>
      <c r="AG57" s="58" t="str">
        <f>LOWER(F56)&amp;UPPER(F57)</f>
        <v>bO</v>
      </c>
      <c r="AH57" s="68" t="str">
        <f>LOWER(G56)&amp;UPPER(G57)</f>
        <v>cO</v>
      </c>
      <c r="AI57" s="58" t="str">
        <f t="shared" ref="AI57" si="741">LOWER(H56)&amp;UPPER(H57)</f>
        <v>dO</v>
      </c>
      <c r="AJ57" s="58" t="str">
        <f t="shared" ref="AJ57" si="742">LOWER(I56)&amp;UPPER(I57)</f>
        <v>eO</v>
      </c>
      <c r="AK57" s="68" t="str">
        <f t="shared" ref="AK57" si="743">LOWER(J56)&amp;UPPER(J57)</f>
        <v>fO</v>
      </c>
      <c r="AL57" s="68" t="str">
        <f t="shared" ref="AL57" si="744">LOWER(K56)&amp;UPPER(K57)</f>
        <v>gO</v>
      </c>
      <c r="AM57" s="58" t="str">
        <f t="shared" ref="AM57" si="745">LOWER(L56)&amp;UPPER(L57)</f>
        <v>hO</v>
      </c>
      <c r="AN57" s="68" t="str">
        <f t="shared" ref="AN57" si="746">LOWER(M56)&amp;UPPER(M57)</f>
        <v>iO</v>
      </c>
      <c r="AO57" s="68" t="str">
        <f t="shared" ref="AO57" si="747">LOWER(N56)&amp;UPPER(N57)</f>
        <v>jO</v>
      </c>
      <c r="AP57" s="68" t="str">
        <f t="shared" ref="AP57" si="748">LOWER(O56)&amp;UPPER(O57)</f>
        <v>kO</v>
      </c>
      <c r="AQ57" s="68" t="str">
        <f t="shared" ref="AQ57" si="749">LOWER(P56)&amp;UPPER(P57)</f>
        <v>lO</v>
      </c>
      <c r="AR57" s="68" t="str">
        <f t="shared" ref="AR57" si="750">LOWER(Q56)&amp;UPPER(Q57)</f>
        <v>mO</v>
      </c>
      <c r="AS57" s="68" t="str">
        <f t="shared" ref="AS57" si="751">LOWER(R56)&amp;UPPER(R57)</f>
        <v>nO</v>
      </c>
      <c r="AT57" s="68" t="str">
        <f t="shared" ref="AT57" si="752">LOWER(S56)&amp;UPPER(S57)</f>
        <v>oO</v>
      </c>
      <c r="AU57" s="68" t="str">
        <f t="shared" ref="AU57" si="753">LOWER(T56)&amp;UPPER(T57)</f>
        <v>pO</v>
      </c>
      <c r="AV57" s="68" t="str">
        <f t="shared" ref="AV57" si="754">LOWER(U56)&amp;UPPER(U57)</f>
        <v>qO</v>
      </c>
      <c r="AW57" s="68" t="str">
        <f t="shared" ref="AW57" si="755">LOWER(V56)&amp;UPPER(V57)</f>
        <v>rO</v>
      </c>
      <c r="AX57" s="68" t="str">
        <f t="shared" ref="AX57" si="756">LOWER(W56)&amp;UPPER(W57)</f>
        <v>sO</v>
      </c>
      <c r="AY57" s="68" t="str">
        <f t="shared" ref="AY57" si="757">LOWER(X56)&amp;UPPER(X57)</f>
        <v>tO</v>
      </c>
      <c r="AZ57" s="68" t="str">
        <f t="shared" ref="AZ57" si="758">LOWER(Y56)&amp;UPPER(Y57)</f>
        <v>uO</v>
      </c>
      <c r="BA57" s="68" t="str">
        <f t="shared" ref="BA57" si="759">LOWER(Z56)&amp;UPPER(Z57)</f>
        <v>vO</v>
      </c>
      <c r="BB57" s="68" t="str">
        <f t="shared" ref="BB57" si="760">LOWER(AA56)&amp;UPPER(AA57)</f>
        <v>wO</v>
      </c>
      <c r="BC57" s="68" t="str">
        <f t="shared" ref="BC57" si="761">LOWER(AB56)&amp;UPPER(AB57)</f>
        <v>xO</v>
      </c>
      <c r="BD57" s="68" t="str">
        <f t="shared" ref="BD57" si="762">LOWER(AC56)&amp;UPPER(AC57)</f>
        <v>yO</v>
      </c>
      <c r="BE57" s="69" t="str">
        <f t="shared" ref="BE57" si="763">LOWER(AD56)&amp;UPPER(AD57)</f>
        <v>zO</v>
      </c>
      <c r="BG57" s="67"/>
      <c r="BH57" s="68"/>
      <c r="BI57" s="68"/>
      <c r="BJ57" s="68"/>
      <c r="BK57" s="68"/>
      <c r="BL57" s="68"/>
      <c r="BM57" s="68"/>
      <c r="BN57" s="68"/>
      <c r="BO57" s="68"/>
      <c r="BP57" s="68"/>
      <c r="BQ57" s="68"/>
      <c r="BR57" s="68"/>
      <c r="BS57" s="68"/>
      <c r="BT57" s="68"/>
      <c r="BU57" s="68"/>
      <c r="BV57" s="68"/>
      <c r="BW57" s="68"/>
      <c r="BX57" s="68"/>
      <c r="BY57" s="68"/>
      <c r="BZ57" s="68"/>
      <c r="CA57" s="68"/>
      <c r="CB57" s="68"/>
      <c r="CC57" s="68"/>
      <c r="CD57" s="68"/>
      <c r="CE57" s="68"/>
      <c r="CF57" s="69"/>
    </row>
    <row r="58" spans="1:84" x14ac:dyDescent="0.35">
      <c r="A58" s="35" t="s">
        <v>586</v>
      </c>
      <c r="B58" s="36" t="s">
        <v>395</v>
      </c>
      <c r="D58" s="73"/>
      <c r="E58" s="64" t="s">
        <v>397</v>
      </c>
      <c r="F58" s="65" t="s">
        <v>398</v>
      </c>
      <c r="G58" s="65" t="s">
        <v>399</v>
      </c>
      <c r="H58" s="65" t="s">
        <v>400</v>
      </c>
      <c r="I58" s="65" t="s">
        <v>401</v>
      </c>
      <c r="J58" s="65" t="s">
        <v>402</v>
      </c>
      <c r="K58" s="65" t="s">
        <v>403</v>
      </c>
      <c r="L58" s="65" t="s">
        <v>404</v>
      </c>
      <c r="M58" s="65" t="s">
        <v>405</v>
      </c>
      <c r="N58" s="65" t="s">
        <v>406</v>
      </c>
      <c r="O58" s="65" t="s">
        <v>407</v>
      </c>
      <c r="P58" s="65" t="s">
        <v>408</v>
      </c>
      <c r="Q58" s="65" t="s">
        <v>409</v>
      </c>
      <c r="R58" s="65" t="s">
        <v>410</v>
      </c>
      <c r="S58" s="65" t="s">
        <v>411</v>
      </c>
      <c r="T58" s="65" t="s">
        <v>412</v>
      </c>
      <c r="U58" s="65" t="s">
        <v>413</v>
      </c>
      <c r="V58" s="65" t="s">
        <v>414</v>
      </c>
      <c r="W58" s="65" t="s">
        <v>415</v>
      </c>
      <c r="X58" s="65" t="s">
        <v>416</v>
      </c>
      <c r="Y58" s="65" t="s">
        <v>417</v>
      </c>
      <c r="Z58" s="65" t="s">
        <v>418</v>
      </c>
      <c r="AA58" s="65" t="s">
        <v>419</v>
      </c>
      <c r="AB58" s="65" t="s">
        <v>420</v>
      </c>
      <c r="AC58" s="65" t="s">
        <v>421</v>
      </c>
      <c r="AD58" s="66" t="s">
        <v>422</v>
      </c>
      <c r="AF58" s="70" t="str">
        <f>LOWER(E59)&amp;UPPER(E58)</f>
        <v>pA</v>
      </c>
      <c r="AG58" s="55" t="str">
        <f>LOWER(F59)&amp;UPPER(F58)</f>
        <v>pB</v>
      </c>
      <c r="AH58" s="55" t="str">
        <f>LOWER(G59)&amp;UPPER(G58)</f>
        <v>pC</v>
      </c>
      <c r="AI58" s="55" t="str">
        <f t="shared" ref="AI58" si="764">LOWER(H59)&amp;UPPER(H58)</f>
        <v>pD</v>
      </c>
      <c r="AJ58" s="55" t="str">
        <f t="shared" ref="AJ58" si="765">LOWER(I59)&amp;UPPER(I58)</f>
        <v>pE</v>
      </c>
      <c r="AK58" s="71" t="str">
        <f t="shared" ref="AK58" si="766">LOWER(J59)&amp;UPPER(J58)</f>
        <v>pF</v>
      </c>
      <c r="AL58" s="55" t="str">
        <f t="shared" ref="AL58" si="767">LOWER(K59)&amp;UPPER(K58)</f>
        <v>pG</v>
      </c>
      <c r="AM58" s="55" t="str">
        <f t="shared" ref="AM58" si="768">LOWER(L59)&amp;UPPER(L58)</f>
        <v>pH</v>
      </c>
      <c r="AN58" s="71" t="str">
        <f t="shared" ref="AN58" si="769">LOWER(M59)&amp;UPPER(M58)</f>
        <v>pI</v>
      </c>
      <c r="AO58" s="71" t="str">
        <f t="shared" ref="AO58" si="770">LOWER(N59)&amp;UPPER(N58)</f>
        <v>pJ</v>
      </c>
      <c r="AP58" s="71" t="str">
        <f t="shared" ref="AP58" si="771">LOWER(O59)&amp;UPPER(O58)</f>
        <v>pK</v>
      </c>
      <c r="AQ58" s="71" t="str">
        <f t="shared" ref="AQ58" si="772">LOWER(P59)&amp;UPPER(P58)</f>
        <v>pL</v>
      </c>
      <c r="AR58" s="71" t="str">
        <f t="shared" ref="AR58" si="773">LOWER(Q59)&amp;UPPER(Q58)</f>
        <v>pM</v>
      </c>
      <c r="AS58" s="71" t="str">
        <f t="shared" ref="AS58" si="774">LOWER(R59)&amp;UPPER(R58)</f>
        <v>pN</v>
      </c>
      <c r="AT58" s="71" t="str">
        <f t="shared" ref="AT58" si="775">LOWER(S59)&amp;UPPER(S58)</f>
        <v>pO</v>
      </c>
      <c r="AU58" s="71" t="str">
        <f t="shared" ref="AU58" si="776">LOWER(T59)&amp;UPPER(T58)</f>
        <v>pP</v>
      </c>
      <c r="AV58" s="71" t="str">
        <f t="shared" ref="AV58" si="777">LOWER(U59)&amp;UPPER(U58)</f>
        <v>pQ</v>
      </c>
      <c r="AW58" s="71" t="str">
        <f t="shared" ref="AW58" si="778">LOWER(V59)&amp;UPPER(V58)</f>
        <v>pR</v>
      </c>
      <c r="AX58" s="71" t="str">
        <f t="shared" ref="AX58" si="779">LOWER(W59)&amp;UPPER(W58)</f>
        <v>pS</v>
      </c>
      <c r="AY58" s="71" t="str">
        <f t="shared" ref="AY58" si="780">LOWER(X59)&amp;UPPER(X58)</f>
        <v>pT</v>
      </c>
      <c r="AZ58" s="71" t="str">
        <f t="shared" ref="AZ58" si="781">LOWER(Y59)&amp;UPPER(Y58)</f>
        <v>pU</v>
      </c>
      <c r="BA58" s="71" t="str">
        <f t="shared" ref="BA58" si="782">LOWER(Z59)&amp;UPPER(Z58)</f>
        <v>pV</v>
      </c>
      <c r="BB58" s="71" t="str">
        <f t="shared" ref="BB58" si="783">LOWER(AA59)&amp;UPPER(AA58)</f>
        <v>pW</v>
      </c>
      <c r="BC58" s="71" t="str">
        <f t="shared" ref="BC58" si="784">LOWER(AB59)&amp;UPPER(AB58)</f>
        <v>pX</v>
      </c>
      <c r="BD58" s="71" t="str">
        <f t="shared" ref="BD58" si="785">LOWER(AC59)&amp;UPPER(AC58)</f>
        <v>pY</v>
      </c>
      <c r="BE58" s="72" t="str">
        <f t="shared" ref="BE58" si="786">LOWER(AD59)&amp;UPPER(AD58)</f>
        <v>pZ</v>
      </c>
      <c r="BG58" s="70"/>
      <c r="BH58" s="71"/>
      <c r="BI58" s="71"/>
      <c r="BJ58" s="71"/>
      <c r="BK58" s="71"/>
      <c r="BL58" s="71"/>
      <c r="BM58" s="71"/>
      <c r="BN58" s="71"/>
      <c r="BO58" s="71"/>
      <c r="BP58" s="71"/>
      <c r="BQ58" s="71"/>
      <c r="BR58" s="71"/>
      <c r="BS58" s="71"/>
      <c r="BT58" s="71"/>
      <c r="BU58" s="71"/>
      <c r="BV58" s="71"/>
      <c r="BW58" s="71"/>
      <c r="BX58" s="71"/>
      <c r="BY58" s="71"/>
      <c r="BZ58" s="71"/>
      <c r="CA58" s="71"/>
      <c r="CB58" s="71"/>
      <c r="CC58" s="71"/>
      <c r="CD58" s="71"/>
      <c r="CE58" s="71"/>
      <c r="CF58" s="72"/>
    </row>
    <row r="59" spans="1:84" x14ac:dyDescent="0.35">
      <c r="A59" s="37" t="s">
        <v>586</v>
      </c>
      <c r="B59" s="36" t="s">
        <v>396</v>
      </c>
      <c r="D59" s="74" t="s">
        <v>15</v>
      </c>
      <c r="E59" s="67" t="str">
        <f>D59</f>
        <v>P</v>
      </c>
      <c r="F59" s="68" t="str">
        <f t="shared" ref="F59:AD59" si="787">E59</f>
        <v>P</v>
      </c>
      <c r="G59" s="68" t="str">
        <f t="shared" si="787"/>
        <v>P</v>
      </c>
      <c r="H59" s="68" t="str">
        <f t="shared" si="787"/>
        <v>P</v>
      </c>
      <c r="I59" s="68" t="str">
        <f t="shared" si="787"/>
        <v>P</v>
      </c>
      <c r="J59" s="68" t="str">
        <f t="shared" si="787"/>
        <v>P</v>
      </c>
      <c r="K59" s="68" t="str">
        <f t="shared" si="787"/>
        <v>P</v>
      </c>
      <c r="L59" s="68" t="str">
        <f t="shared" si="787"/>
        <v>P</v>
      </c>
      <c r="M59" s="68" t="str">
        <f t="shared" si="787"/>
        <v>P</v>
      </c>
      <c r="N59" s="68" t="str">
        <f t="shared" si="787"/>
        <v>P</v>
      </c>
      <c r="O59" s="68" t="str">
        <f t="shared" si="787"/>
        <v>P</v>
      </c>
      <c r="P59" s="68" t="str">
        <f t="shared" si="787"/>
        <v>P</v>
      </c>
      <c r="Q59" s="68" t="str">
        <f t="shared" si="787"/>
        <v>P</v>
      </c>
      <c r="R59" s="68" t="str">
        <f t="shared" si="787"/>
        <v>P</v>
      </c>
      <c r="S59" s="68" t="str">
        <f t="shared" si="787"/>
        <v>P</v>
      </c>
      <c r="T59" s="68" t="str">
        <f t="shared" si="787"/>
        <v>P</v>
      </c>
      <c r="U59" s="68" t="str">
        <f t="shared" si="787"/>
        <v>P</v>
      </c>
      <c r="V59" s="68" t="str">
        <f t="shared" si="787"/>
        <v>P</v>
      </c>
      <c r="W59" s="68" t="str">
        <f t="shared" si="787"/>
        <v>P</v>
      </c>
      <c r="X59" s="68" t="str">
        <f t="shared" si="787"/>
        <v>P</v>
      </c>
      <c r="Y59" s="68" t="str">
        <f t="shared" si="787"/>
        <v>P</v>
      </c>
      <c r="Z59" s="68" t="str">
        <f t="shared" si="787"/>
        <v>P</v>
      </c>
      <c r="AA59" s="68" t="str">
        <f t="shared" si="787"/>
        <v>P</v>
      </c>
      <c r="AB59" s="68" t="str">
        <f t="shared" si="787"/>
        <v>P</v>
      </c>
      <c r="AC59" s="68" t="str">
        <f t="shared" si="787"/>
        <v>P</v>
      </c>
      <c r="AD59" s="69" t="str">
        <f t="shared" si="787"/>
        <v>P</v>
      </c>
      <c r="AF59" s="67" t="str">
        <f>LOWER(E58)&amp;UPPER(E59)</f>
        <v>aP</v>
      </c>
      <c r="AG59" s="58" t="str">
        <f>LOWER(F58)&amp;UPPER(F59)</f>
        <v>bP</v>
      </c>
      <c r="AH59" s="58" t="str">
        <f>LOWER(G58)&amp;UPPER(G59)</f>
        <v>cP</v>
      </c>
      <c r="AI59" s="58" t="str">
        <f t="shared" ref="AI59" si="788">LOWER(H58)&amp;UPPER(H59)</f>
        <v>dP</v>
      </c>
      <c r="AJ59" s="58" t="str">
        <f t="shared" ref="AJ59" si="789">LOWER(I58)&amp;UPPER(I59)</f>
        <v>eP</v>
      </c>
      <c r="AK59" s="68" t="str">
        <f t="shared" ref="AK59" si="790">LOWER(J58)&amp;UPPER(J59)</f>
        <v>fP</v>
      </c>
      <c r="AL59" s="58" t="str">
        <f t="shared" ref="AL59" si="791">LOWER(K58)&amp;UPPER(K59)</f>
        <v>gP</v>
      </c>
      <c r="AM59" s="58" t="str">
        <f t="shared" ref="AM59" si="792">LOWER(L58)&amp;UPPER(L59)</f>
        <v>hP</v>
      </c>
      <c r="AN59" s="68" t="str">
        <f t="shared" ref="AN59" si="793">LOWER(M58)&amp;UPPER(M59)</f>
        <v>iP</v>
      </c>
      <c r="AO59" s="68" t="str">
        <f t="shared" ref="AO59" si="794">LOWER(N58)&amp;UPPER(N59)</f>
        <v>jP</v>
      </c>
      <c r="AP59" s="68" t="str">
        <f t="shared" ref="AP59" si="795">LOWER(O58)&amp;UPPER(O59)</f>
        <v>kP</v>
      </c>
      <c r="AQ59" s="68" t="str">
        <f t="shared" ref="AQ59" si="796">LOWER(P58)&amp;UPPER(P59)</f>
        <v>lP</v>
      </c>
      <c r="AR59" s="68" t="str">
        <f t="shared" ref="AR59" si="797">LOWER(Q58)&amp;UPPER(Q59)</f>
        <v>mP</v>
      </c>
      <c r="AS59" s="68" t="str">
        <f t="shared" ref="AS59" si="798">LOWER(R58)&amp;UPPER(R59)</f>
        <v>nP</v>
      </c>
      <c r="AT59" s="68" t="str">
        <f t="shared" ref="AT59" si="799">LOWER(S58)&amp;UPPER(S59)</f>
        <v>oP</v>
      </c>
      <c r="AU59" s="68" t="str">
        <f t="shared" ref="AU59" si="800">LOWER(T58)&amp;UPPER(T59)</f>
        <v>pP</v>
      </c>
      <c r="AV59" s="68" t="str">
        <f t="shared" ref="AV59" si="801">LOWER(U58)&amp;UPPER(U59)</f>
        <v>qP</v>
      </c>
      <c r="AW59" s="68" t="str">
        <f t="shared" ref="AW59" si="802">LOWER(V58)&amp;UPPER(V59)</f>
        <v>rP</v>
      </c>
      <c r="AX59" s="68" t="str">
        <f t="shared" ref="AX59" si="803">LOWER(W58)&amp;UPPER(W59)</f>
        <v>sP</v>
      </c>
      <c r="AY59" s="68" t="str">
        <f t="shared" ref="AY59" si="804">LOWER(X58)&amp;UPPER(X59)</f>
        <v>tP</v>
      </c>
      <c r="AZ59" s="68" t="str">
        <f t="shared" ref="AZ59" si="805">LOWER(Y58)&amp;UPPER(Y59)</f>
        <v>uP</v>
      </c>
      <c r="BA59" s="68" t="str">
        <f t="shared" ref="BA59" si="806">LOWER(Z58)&amp;UPPER(Z59)</f>
        <v>vP</v>
      </c>
      <c r="BB59" s="68" t="str">
        <f t="shared" ref="BB59" si="807">LOWER(AA58)&amp;UPPER(AA59)</f>
        <v>wP</v>
      </c>
      <c r="BC59" s="68" t="str">
        <f t="shared" ref="BC59" si="808">LOWER(AB58)&amp;UPPER(AB59)</f>
        <v>xP</v>
      </c>
      <c r="BD59" s="68" t="str">
        <f t="shared" ref="BD59" si="809">LOWER(AC58)&amp;UPPER(AC59)</f>
        <v>yP</v>
      </c>
      <c r="BE59" s="69" t="str">
        <f t="shared" ref="BE59" si="810">LOWER(AD58)&amp;UPPER(AD59)</f>
        <v>zP</v>
      </c>
      <c r="BG59" s="67"/>
      <c r="BH59" s="68"/>
      <c r="BI59" s="68"/>
      <c r="BJ59" s="68"/>
      <c r="BK59" s="68"/>
      <c r="BL59" s="68"/>
      <c r="BM59" s="68"/>
      <c r="BN59" s="68"/>
      <c r="BO59" s="68"/>
      <c r="BP59" s="68"/>
      <c r="BQ59" s="68"/>
      <c r="BR59" s="68"/>
      <c r="BS59" s="68"/>
      <c r="BT59" s="68"/>
      <c r="BU59" s="68"/>
      <c r="BV59" s="68"/>
      <c r="BW59" s="68"/>
      <c r="BX59" s="68"/>
      <c r="BY59" s="68"/>
      <c r="BZ59" s="68"/>
      <c r="CA59" s="68"/>
      <c r="CB59" s="68"/>
      <c r="CC59" s="68"/>
      <c r="CD59" s="68"/>
      <c r="CE59" s="68"/>
      <c r="CF59" s="69"/>
    </row>
    <row r="60" spans="1:84" x14ac:dyDescent="0.35">
      <c r="A60" s="35" t="s">
        <v>586</v>
      </c>
      <c r="B60" s="36" t="s">
        <v>395</v>
      </c>
      <c r="D60" s="73"/>
      <c r="E60" s="64" t="s">
        <v>397</v>
      </c>
      <c r="F60" s="65" t="s">
        <v>398</v>
      </c>
      <c r="G60" s="65" t="s">
        <v>399</v>
      </c>
      <c r="H60" s="65" t="s">
        <v>400</v>
      </c>
      <c r="I60" s="65" t="s">
        <v>401</v>
      </c>
      <c r="J60" s="65" t="s">
        <v>402</v>
      </c>
      <c r="K60" s="65" t="s">
        <v>403</v>
      </c>
      <c r="L60" s="65" t="s">
        <v>404</v>
      </c>
      <c r="M60" s="65" t="s">
        <v>405</v>
      </c>
      <c r="N60" s="65" t="s">
        <v>406</v>
      </c>
      <c r="O60" s="65" t="s">
        <v>407</v>
      </c>
      <c r="P60" s="65" t="s">
        <v>408</v>
      </c>
      <c r="Q60" s="65" t="s">
        <v>409</v>
      </c>
      <c r="R60" s="65" t="s">
        <v>410</v>
      </c>
      <c r="S60" s="65" t="s">
        <v>411</v>
      </c>
      <c r="T60" s="65" t="s">
        <v>412</v>
      </c>
      <c r="U60" s="65" t="s">
        <v>413</v>
      </c>
      <c r="V60" s="65" t="s">
        <v>414</v>
      </c>
      <c r="W60" s="65" t="s">
        <v>415</v>
      </c>
      <c r="X60" s="65" t="s">
        <v>416</v>
      </c>
      <c r="Y60" s="65" t="s">
        <v>417</v>
      </c>
      <c r="Z60" s="65" t="s">
        <v>418</v>
      </c>
      <c r="AA60" s="65" t="s">
        <v>419</v>
      </c>
      <c r="AB60" s="65" t="s">
        <v>420</v>
      </c>
      <c r="AC60" s="65" t="s">
        <v>421</v>
      </c>
      <c r="AD60" s="66" t="s">
        <v>422</v>
      </c>
      <c r="AF60" s="54" t="str">
        <f>LOWER(E61)&amp;UPPER(E60)</f>
        <v>qA</v>
      </c>
      <c r="AG60" s="55" t="str">
        <f>LOWER(F61)&amp;UPPER(F60)</f>
        <v>qB</v>
      </c>
      <c r="AH60" s="71" t="str">
        <f>LOWER(G61)&amp;UPPER(G60)</f>
        <v>qC</v>
      </c>
      <c r="AI60" s="55" t="str">
        <f t="shared" ref="AI60" si="811">LOWER(H61)&amp;UPPER(H60)</f>
        <v>qD</v>
      </c>
      <c r="AJ60" s="55" t="str">
        <f t="shared" ref="AJ60" si="812">LOWER(I61)&amp;UPPER(I60)</f>
        <v>qE</v>
      </c>
      <c r="AK60" s="71" t="str">
        <f t="shared" ref="AK60" si="813">LOWER(J61)&amp;UPPER(J60)</f>
        <v>qF</v>
      </c>
      <c r="AL60" s="71" t="str">
        <f t="shared" ref="AL60" si="814">LOWER(K61)&amp;UPPER(K60)</f>
        <v>qG</v>
      </c>
      <c r="AM60" s="55" t="str">
        <f t="shared" ref="AM60" si="815">LOWER(L61)&amp;UPPER(L60)</f>
        <v>qH</v>
      </c>
      <c r="AN60" s="71" t="str">
        <f t="shared" ref="AN60" si="816">LOWER(M61)&amp;UPPER(M60)</f>
        <v>qI</v>
      </c>
      <c r="AO60" s="71" t="str">
        <f t="shared" ref="AO60" si="817">LOWER(N61)&amp;UPPER(N60)</f>
        <v>qJ</v>
      </c>
      <c r="AP60" s="71" t="str">
        <f t="shared" ref="AP60" si="818">LOWER(O61)&amp;UPPER(O60)</f>
        <v>qK</v>
      </c>
      <c r="AQ60" s="71" t="str">
        <f t="shared" ref="AQ60" si="819">LOWER(P61)&amp;UPPER(P60)</f>
        <v>qL</v>
      </c>
      <c r="AR60" s="71" t="str">
        <f t="shared" ref="AR60" si="820">LOWER(Q61)&amp;UPPER(Q60)</f>
        <v>qM</v>
      </c>
      <c r="AS60" s="71" t="str">
        <f t="shared" ref="AS60" si="821">LOWER(R61)&amp;UPPER(R60)</f>
        <v>qN</v>
      </c>
      <c r="AT60" s="71" t="str">
        <f t="shared" ref="AT60" si="822">LOWER(S61)&amp;UPPER(S60)</f>
        <v>qO</v>
      </c>
      <c r="AU60" s="71" t="str">
        <f t="shared" ref="AU60" si="823">LOWER(T61)&amp;UPPER(T60)</f>
        <v>qP</v>
      </c>
      <c r="AV60" s="71" t="str">
        <f t="shared" ref="AV60" si="824">LOWER(U61)&amp;UPPER(U60)</f>
        <v>qQ</v>
      </c>
      <c r="AW60" s="71" t="str">
        <f t="shared" ref="AW60" si="825">LOWER(V61)&amp;UPPER(V60)</f>
        <v>qR</v>
      </c>
      <c r="AX60" s="71" t="str">
        <f t="shared" ref="AX60" si="826">LOWER(W61)&amp;UPPER(W60)</f>
        <v>qS</v>
      </c>
      <c r="AY60" s="71" t="str">
        <f t="shared" ref="AY60" si="827">LOWER(X61)&amp;UPPER(X60)</f>
        <v>qT</v>
      </c>
      <c r="AZ60" s="71" t="str">
        <f t="shared" ref="AZ60" si="828">LOWER(Y61)&amp;UPPER(Y60)</f>
        <v>qU</v>
      </c>
      <c r="BA60" s="71" t="str">
        <f t="shared" ref="BA60" si="829">LOWER(Z61)&amp;UPPER(Z60)</f>
        <v>qV</v>
      </c>
      <c r="BB60" s="71" t="str">
        <f t="shared" ref="BB60" si="830">LOWER(AA61)&amp;UPPER(AA60)</f>
        <v>qW</v>
      </c>
      <c r="BC60" s="71" t="str">
        <f t="shared" ref="BC60" si="831">LOWER(AB61)&amp;UPPER(AB60)</f>
        <v>qX</v>
      </c>
      <c r="BD60" s="71" t="str">
        <f t="shared" ref="BD60" si="832">LOWER(AC61)&amp;UPPER(AC60)</f>
        <v>qY</v>
      </c>
      <c r="BE60" s="72" t="str">
        <f t="shared" ref="BE60" si="833">LOWER(AD61)&amp;UPPER(AD60)</f>
        <v>qZ</v>
      </c>
      <c r="BG60" s="70"/>
      <c r="BH60" s="71"/>
      <c r="BI60" s="71"/>
      <c r="BJ60" s="71"/>
      <c r="BK60" s="71"/>
      <c r="BL60" s="71"/>
      <c r="BM60" s="71"/>
      <c r="BN60" s="71"/>
      <c r="BO60" s="71"/>
      <c r="BP60" s="71"/>
      <c r="BQ60" s="71"/>
      <c r="BR60" s="71"/>
      <c r="BS60" s="71"/>
      <c r="BT60" s="71"/>
      <c r="BU60" s="71"/>
      <c r="BV60" s="71"/>
      <c r="BW60" s="71"/>
      <c r="BX60" s="71"/>
      <c r="BY60" s="71"/>
      <c r="BZ60" s="71"/>
      <c r="CA60" s="71"/>
      <c r="CB60" s="71"/>
      <c r="CC60" s="71"/>
      <c r="CD60" s="71"/>
      <c r="CE60" s="71"/>
      <c r="CF60" s="72"/>
    </row>
    <row r="61" spans="1:84" x14ac:dyDescent="0.35">
      <c r="A61" s="37" t="s">
        <v>586</v>
      </c>
      <c r="B61" s="36" t="s">
        <v>396</v>
      </c>
      <c r="D61" s="74" t="s">
        <v>16</v>
      </c>
      <c r="E61" s="67" t="str">
        <f>D61</f>
        <v>Q</v>
      </c>
      <c r="F61" s="68" t="str">
        <f t="shared" ref="F61:AD61" si="834">E61</f>
        <v>Q</v>
      </c>
      <c r="G61" s="68" t="str">
        <f t="shared" si="834"/>
        <v>Q</v>
      </c>
      <c r="H61" s="68" t="str">
        <f t="shared" si="834"/>
        <v>Q</v>
      </c>
      <c r="I61" s="68" t="str">
        <f t="shared" si="834"/>
        <v>Q</v>
      </c>
      <c r="J61" s="68" t="str">
        <f t="shared" si="834"/>
        <v>Q</v>
      </c>
      <c r="K61" s="68" t="str">
        <f t="shared" si="834"/>
        <v>Q</v>
      </c>
      <c r="L61" s="68" t="str">
        <f t="shared" si="834"/>
        <v>Q</v>
      </c>
      <c r="M61" s="68" t="str">
        <f t="shared" si="834"/>
        <v>Q</v>
      </c>
      <c r="N61" s="68" t="str">
        <f t="shared" si="834"/>
        <v>Q</v>
      </c>
      <c r="O61" s="68" t="str">
        <f t="shared" si="834"/>
        <v>Q</v>
      </c>
      <c r="P61" s="68" t="str">
        <f t="shared" si="834"/>
        <v>Q</v>
      </c>
      <c r="Q61" s="68" t="str">
        <f t="shared" si="834"/>
        <v>Q</v>
      </c>
      <c r="R61" s="68" t="str">
        <f t="shared" si="834"/>
        <v>Q</v>
      </c>
      <c r="S61" s="68" t="str">
        <f t="shared" si="834"/>
        <v>Q</v>
      </c>
      <c r="T61" s="68" t="str">
        <f t="shared" si="834"/>
        <v>Q</v>
      </c>
      <c r="U61" s="68" t="str">
        <f t="shared" si="834"/>
        <v>Q</v>
      </c>
      <c r="V61" s="68" t="str">
        <f t="shared" si="834"/>
        <v>Q</v>
      </c>
      <c r="W61" s="68" t="str">
        <f t="shared" si="834"/>
        <v>Q</v>
      </c>
      <c r="X61" s="68" t="str">
        <f t="shared" si="834"/>
        <v>Q</v>
      </c>
      <c r="Y61" s="68" t="str">
        <f t="shared" si="834"/>
        <v>Q</v>
      </c>
      <c r="Z61" s="68" t="str">
        <f t="shared" si="834"/>
        <v>Q</v>
      </c>
      <c r="AA61" s="68" t="str">
        <f t="shared" si="834"/>
        <v>Q</v>
      </c>
      <c r="AB61" s="68" t="str">
        <f t="shared" si="834"/>
        <v>Q</v>
      </c>
      <c r="AC61" s="68" t="str">
        <f t="shared" si="834"/>
        <v>Q</v>
      </c>
      <c r="AD61" s="69" t="str">
        <f t="shared" si="834"/>
        <v>Q</v>
      </c>
      <c r="AF61" s="57" t="str">
        <f>LOWER(E60)&amp;UPPER(E61)</f>
        <v>aQ</v>
      </c>
      <c r="AG61" s="58" t="str">
        <f>LOWER(F60)&amp;UPPER(F61)</f>
        <v>bQ</v>
      </c>
      <c r="AH61" s="68" t="str">
        <f>LOWER(G60)&amp;UPPER(G61)</f>
        <v>cQ</v>
      </c>
      <c r="AI61" s="58" t="str">
        <f t="shared" ref="AI61" si="835">LOWER(H60)&amp;UPPER(H61)</f>
        <v>dQ</v>
      </c>
      <c r="AJ61" s="58" t="str">
        <f t="shared" ref="AJ61" si="836">LOWER(I60)&amp;UPPER(I61)</f>
        <v>eQ</v>
      </c>
      <c r="AK61" s="68" t="str">
        <f t="shared" ref="AK61" si="837">LOWER(J60)&amp;UPPER(J61)</f>
        <v>fQ</v>
      </c>
      <c r="AL61" s="68" t="str">
        <f t="shared" ref="AL61" si="838">LOWER(K60)&amp;UPPER(K61)</f>
        <v>gQ</v>
      </c>
      <c r="AM61" s="58" t="str">
        <f t="shared" ref="AM61" si="839">LOWER(L60)&amp;UPPER(L61)</f>
        <v>hQ</v>
      </c>
      <c r="AN61" s="68" t="str">
        <f t="shared" ref="AN61" si="840">LOWER(M60)&amp;UPPER(M61)</f>
        <v>iQ</v>
      </c>
      <c r="AO61" s="68" t="str">
        <f t="shared" ref="AO61" si="841">LOWER(N60)&amp;UPPER(N61)</f>
        <v>jQ</v>
      </c>
      <c r="AP61" s="68" t="str">
        <f t="shared" ref="AP61" si="842">LOWER(O60)&amp;UPPER(O61)</f>
        <v>kQ</v>
      </c>
      <c r="AQ61" s="68" t="str">
        <f t="shared" ref="AQ61" si="843">LOWER(P60)&amp;UPPER(P61)</f>
        <v>lQ</v>
      </c>
      <c r="AR61" s="68" t="str">
        <f t="shared" ref="AR61" si="844">LOWER(Q60)&amp;UPPER(Q61)</f>
        <v>mQ</v>
      </c>
      <c r="AS61" s="68" t="str">
        <f t="shared" ref="AS61" si="845">LOWER(R60)&amp;UPPER(R61)</f>
        <v>nQ</v>
      </c>
      <c r="AT61" s="68" t="str">
        <f t="shared" ref="AT61" si="846">LOWER(S60)&amp;UPPER(S61)</f>
        <v>oQ</v>
      </c>
      <c r="AU61" s="68" t="str">
        <f t="shared" ref="AU61" si="847">LOWER(T60)&amp;UPPER(T61)</f>
        <v>pQ</v>
      </c>
      <c r="AV61" s="68" t="str">
        <f t="shared" ref="AV61" si="848">LOWER(U60)&amp;UPPER(U61)</f>
        <v>qQ</v>
      </c>
      <c r="AW61" s="68" t="str">
        <f t="shared" ref="AW61" si="849">LOWER(V60)&amp;UPPER(V61)</f>
        <v>rQ</v>
      </c>
      <c r="AX61" s="68" t="str">
        <f t="shared" ref="AX61" si="850">LOWER(W60)&amp;UPPER(W61)</f>
        <v>sQ</v>
      </c>
      <c r="AY61" s="68" t="str">
        <f t="shared" ref="AY61" si="851">LOWER(X60)&amp;UPPER(X61)</f>
        <v>tQ</v>
      </c>
      <c r="AZ61" s="68" t="str">
        <f t="shared" ref="AZ61" si="852">LOWER(Y60)&amp;UPPER(Y61)</f>
        <v>uQ</v>
      </c>
      <c r="BA61" s="68" t="str">
        <f t="shared" ref="BA61" si="853">LOWER(Z60)&amp;UPPER(Z61)</f>
        <v>vQ</v>
      </c>
      <c r="BB61" s="68" t="str">
        <f t="shared" ref="BB61" si="854">LOWER(AA60)&amp;UPPER(AA61)</f>
        <v>wQ</v>
      </c>
      <c r="BC61" s="68" t="str">
        <f t="shared" ref="BC61" si="855">LOWER(AB60)&amp;UPPER(AB61)</f>
        <v>xQ</v>
      </c>
      <c r="BD61" s="68" t="str">
        <f t="shared" ref="BD61" si="856">LOWER(AC60)&amp;UPPER(AC61)</f>
        <v>yQ</v>
      </c>
      <c r="BE61" s="69" t="str">
        <f t="shared" ref="BE61" si="857">LOWER(AD60)&amp;UPPER(AD61)</f>
        <v>zQ</v>
      </c>
      <c r="BG61" s="67"/>
      <c r="BH61" s="68"/>
      <c r="BI61" s="68"/>
      <c r="BJ61" s="68"/>
      <c r="BK61" s="68"/>
      <c r="BL61" s="68"/>
      <c r="BM61" s="68"/>
      <c r="BN61" s="68"/>
      <c r="BO61" s="68"/>
      <c r="BP61" s="68"/>
      <c r="BQ61" s="68"/>
      <c r="BR61" s="68"/>
      <c r="BS61" s="68"/>
      <c r="BT61" s="68"/>
      <c r="BU61" s="68"/>
      <c r="BV61" s="68"/>
      <c r="BW61" s="68"/>
      <c r="BX61" s="68"/>
      <c r="BY61" s="68"/>
      <c r="BZ61" s="68"/>
      <c r="CA61" s="68"/>
      <c r="CB61" s="68"/>
      <c r="CC61" s="68"/>
      <c r="CD61" s="68"/>
      <c r="CE61" s="68"/>
      <c r="CF61" s="69"/>
    </row>
    <row r="62" spans="1:84" x14ac:dyDescent="0.35">
      <c r="A62" s="35" t="s">
        <v>586</v>
      </c>
      <c r="B62" s="36" t="s">
        <v>395</v>
      </c>
      <c r="D62" s="73"/>
      <c r="E62" s="64" t="s">
        <v>397</v>
      </c>
      <c r="F62" s="65" t="s">
        <v>398</v>
      </c>
      <c r="G62" s="65" t="s">
        <v>399</v>
      </c>
      <c r="H62" s="65" t="s">
        <v>400</v>
      </c>
      <c r="I62" s="65" t="s">
        <v>401</v>
      </c>
      <c r="J62" s="65" t="s">
        <v>402</v>
      </c>
      <c r="K62" s="65" t="s">
        <v>403</v>
      </c>
      <c r="L62" s="65" t="s">
        <v>404</v>
      </c>
      <c r="M62" s="65" t="s">
        <v>405</v>
      </c>
      <c r="N62" s="65" t="s">
        <v>406</v>
      </c>
      <c r="O62" s="65" t="s">
        <v>407</v>
      </c>
      <c r="P62" s="65" t="s">
        <v>408</v>
      </c>
      <c r="Q62" s="65" t="s">
        <v>409</v>
      </c>
      <c r="R62" s="65" t="s">
        <v>410</v>
      </c>
      <c r="S62" s="65" t="s">
        <v>411</v>
      </c>
      <c r="T62" s="65" t="s">
        <v>412</v>
      </c>
      <c r="U62" s="65" t="s">
        <v>413</v>
      </c>
      <c r="V62" s="65" t="s">
        <v>414</v>
      </c>
      <c r="W62" s="65" t="s">
        <v>415</v>
      </c>
      <c r="X62" s="65" t="s">
        <v>416</v>
      </c>
      <c r="Y62" s="65" t="s">
        <v>417</v>
      </c>
      <c r="Z62" s="65" t="s">
        <v>418</v>
      </c>
      <c r="AA62" s="65" t="s">
        <v>419</v>
      </c>
      <c r="AB62" s="65" t="s">
        <v>420</v>
      </c>
      <c r="AC62" s="65" t="s">
        <v>421</v>
      </c>
      <c r="AD62" s="66" t="s">
        <v>422</v>
      </c>
      <c r="AF62" s="54" t="str">
        <f>LOWER(E63)&amp;UPPER(E62)</f>
        <v>rA</v>
      </c>
      <c r="AG62" s="55" t="str">
        <f>LOWER(F63)&amp;UPPER(F62)</f>
        <v>rB</v>
      </c>
      <c r="AH62" s="71" t="str">
        <f>LOWER(G63)&amp;UPPER(G62)</f>
        <v>rC</v>
      </c>
      <c r="AI62" s="71" t="str">
        <f t="shared" ref="AI62" si="858">LOWER(H63)&amp;UPPER(H62)</f>
        <v>rD</v>
      </c>
      <c r="AJ62" s="55" t="str">
        <f t="shared" ref="AJ62" si="859">LOWER(I63)&amp;UPPER(I62)</f>
        <v>rE</v>
      </c>
      <c r="AK62" s="71" t="str">
        <f t="shared" ref="AK62" si="860">LOWER(J63)&amp;UPPER(J62)</f>
        <v>rF</v>
      </c>
      <c r="AL62" s="71" t="str">
        <f t="shared" ref="AL62" si="861">LOWER(K63)&amp;UPPER(K62)</f>
        <v>rG</v>
      </c>
      <c r="AM62" s="55" t="str">
        <f t="shared" ref="AM62" si="862">LOWER(L63)&amp;UPPER(L62)</f>
        <v>rH</v>
      </c>
      <c r="AN62" s="71" t="str">
        <f t="shared" ref="AN62" si="863">LOWER(M63)&amp;UPPER(M62)</f>
        <v>rI</v>
      </c>
      <c r="AO62" s="71" t="str">
        <f t="shared" ref="AO62" si="864">LOWER(N63)&amp;UPPER(N62)</f>
        <v>rJ</v>
      </c>
      <c r="AP62" s="71" t="str">
        <f t="shared" ref="AP62" si="865">LOWER(O63)&amp;UPPER(O62)</f>
        <v>rK</v>
      </c>
      <c r="AQ62" s="71" t="str">
        <f t="shared" ref="AQ62" si="866">LOWER(P63)&amp;UPPER(P62)</f>
        <v>rL</v>
      </c>
      <c r="AR62" s="71" t="str">
        <f t="shared" ref="AR62" si="867">LOWER(Q63)&amp;UPPER(Q62)</f>
        <v>rM</v>
      </c>
      <c r="AS62" s="71" t="str">
        <f t="shared" ref="AS62" si="868">LOWER(R63)&amp;UPPER(R62)</f>
        <v>rN</v>
      </c>
      <c r="AT62" s="71" t="str">
        <f t="shared" ref="AT62" si="869">LOWER(S63)&amp;UPPER(S62)</f>
        <v>rO</v>
      </c>
      <c r="AU62" s="71" t="str">
        <f t="shared" ref="AU62" si="870">LOWER(T63)&amp;UPPER(T62)</f>
        <v>rP</v>
      </c>
      <c r="AV62" s="71" t="str">
        <f t="shared" ref="AV62" si="871">LOWER(U63)&amp;UPPER(U62)</f>
        <v>rQ</v>
      </c>
      <c r="AW62" s="71" t="str">
        <f t="shared" ref="AW62" si="872">LOWER(V63)&amp;UPPER(V62)</f>
        <v>rR</v>
      </c>
      <c r="AX62" s="71" t="str">
        <f t="shared" ref="AX62" si="873">LOWER(W63)&amp;UPPER(W62)</f>
        <v>rS</v>
      </c>
      <c r="AY62" s="71" t="str">
        <f t="shared" ref="AY62" si="874">LOWER(X63)&amp;UPPER(X62)</f>
        <v>rT</v>
      </c>
      <c r="AZ62" s="71" t="str">
        <f t="shared" ref="AZ62" si="875">LOWER(Y63)&amp;UPPER(Y62)</f>
        <v>rU</v>
      </c>
      <c r="BA62" s="71" t="str">
        <f t="shared" ref="BA62" si="876">LOWER(Z63)&amp;UPPER(Z62)</f>
        <v>rV</v>
      </c>
      <c r="BB62" s="71" t="str">
        <f t="shared" ref="BB62" si="877">LOWER(AA63)&amp;UPPER(AA62)</f>
        <v>rW</v>
      </c>
      <c r="BC62" s="71" t="str">
        <f t="shared" ref="BC62" si="878">LOWER(AB63)&amp;UPPER(AB62)</f>
        <v>rX</v>
      </c>
      <c r="BD62" s="71" t="str">
        <f t="shared" ref="BD62" si="879">LOWER(AC63)&amp;UPPER(AC62)</f>
        <v>rY</v>
      </c>
      <c r="BE62" s="72" t="str">
        <f t="shared" ref="BE62" si="880">LOWER(AD63)&amp;UPPER(AD62)</f>
        <v>rZ</v>
      </c>
      <c r="BG62" s="70"/>
      <c r="BH62" s="71"/>
      <c r="BI62" s="71"/>
      <c r="BJ62" s="71"/>
      <c r="BK62" s="71"/>
      <c r="BL62" s="71"/>
      <c r="BM62" s="71"/>
      <c r="BN62" s="71"/>
      <c r="BO62" s="71"/>
      <c r="BP62" s="71"/>
      <c r="BQ62" s="71"/>
      <c r="BR62" s="71"/>
      <c r="BS62" s="71"/>
      <c r="BT62" s="71"/>
      <c r="BU62" s="71"/>
      <c r="BV62" s="71"/>
      <c r="BW62" s="71"/>
      <c r="BX62" s="71"/>
      <c r="BY62" s="71"/>
      <c r="BZ62" s="71"/>
      <c r="CA62" s="71"/>
      <c r="CB62" s="71"/>
      <c r="CC62" s="71"/>
      <c r="CD62" s="71"/>
      <c r="CE62" s="71"/>
      <c r="CF62" s="72"/>
    </row>
    <row r="63" spans="1:84" x14ac:dyDescent="0.35">
      <c r="A63" s="37" t="s">
        <v>586</v>
      </c>
      <c r="B63" s="36" t="s">
        <v>396</v>
      </c>
      <c r="D63" s="74" t="s">
        <v>17</v>
      </c>
      <c r="E63" s="67" t="str">
        <f>D63</f>
        <v>R</v>
      </c>
      <c r="F63" s="68" t="str">
        <f t="shared" ref="F63:AD63" si="881">E63</f>
        <v>R</v>
      </c>
      <c r="G63" s="68" t="str">
        <f t="shared" si="881"/>
        <v>R</v>
      </c>
      <c r="H63" s="68" t="str">
        <f t="shared" si="881"/>
        <v>R</v>
      </c>
      <c r="I63" s="68" t="str">
        <f t="shared" si="881"/>
        <v>R</v>
      </c>
      <c r="J63" s="68" t="str">
        <f t="shared" si="881"/>
        <v>R</v>
      </c>
      <c r="K63" s="68" t="str">
        <f t="shared" si="881"/>
        <v>R</v>
      </c>
      <c r="L63" s="68" t="str">
        <f t="shared" si="881"/>
        <v>R</v>
      </c>
      <c r="M63" s="68" t="str">
        <f t="shared" si="881"/>
        <v>R</v>
      </c>
      <c r="N63" s="68" t="str">
        <f t="shared" si="881"/>
        <v>R</v>
      </c>
      <c r="O63" s="68" t="str">
        <f t="shared" si="881"/>
        <v>R</v>
      </c>
      <c r="P63" s="68" t="str">
        <f t="shared" si="881"/>
        <v>R</v>
      </c>
      <c r="Q63" s="68" t="str">
        <f t="shared" si="881"/>
        <v>R</v>
      </c>
      <c r="R63" s="68" t="str">
        <f t="shared" si="881"/>
        <v>R</v>
      </c>
      <c r="S63" s="68" t="str">
        <f t="shared" si="881"/>
        <v>R</v>
      </c>
      <c r="T63" s="68" t="str">
        <f t="shared" si="881"/>
        <v>R</v>
      </c>
      <c r="U63" s="68" t="str">
        <f t="shared" si="881"/>
        <v>R</v>
      </c>
      <c r="V63" s="68" t="str">
        <f t="shared" si="881"/>
        <v>R</v>
      </c>
      <c r="W63" s="68" t="str">
        <f t="shared" si="881"/>
        <v>R</v>
      </c>
      <c r="X63" s="68" t="str">
        <f t="shared" si="881"/>
        <v>R</v>
      </c>
      <c r="Y63" s="68" t="str">
        <f t="shared" si="881"/>
        <v>R</v>
      </c>
      <c r="Z63" s="68" t="str">
        <f t="shared" si="881"/>
        <v>R</v>
      </c>
      <c r="AA63" s="68" t="str">
        <f t="shared" si="881"/>
        <v>R</v>
      </c>
      <c r="AB63" s="68" t="str">
        <f t="shared" si="881"/>
        <v>R</v>
      </c>
      <c r="AC63" s="68" t="str">
        <f t="shared" si="881"/>
        <v>R</v>
      </c>
      <c r="AD63" s="69" t="str">
        <f t="shared" si="881"/>
        <v>R</v>
      </c>
      <c r="AF63" s="57" t="str">
        <f>LOWER(E62)&amp;UPPER(E63)</f>
        <v>aR</v>
      </c>
      <c r="AG63" s="58" t="str">
        <f>LOWER(F62)&amp;UPPER(F63)</f>
        <v>bR</v>
      </c>
      <c r="AH63" s="68" t="str">
        <f>LOWER(G62)&amp;UPPER(G63)</f>
        <v>cR</v>
      </c>
      <c r="AI63" s="68" t="str">
        <f t="shared" ref="AI63" si="882">LOWER(H62)&amp;UPPER(H63)</f>
        <v>dR</v>
      </c>
      <c r="AJ63" s="58" t="str">
        <f t="shared" ref="AJ63" si="883">LOWER(I62)&amp;UPPER(I63)</f>
        <v>eR</v>
      </c>
      <c r="AK63" s="68" t="str">
        <f t="shared" ref="AK63" si="884">LOWER(J62)&amp;UPPER(J63)</f>
        <v>fR</v>
      </c>
      <c r="AL63" s="68" t="str">
        <f t="shared" ref="AL63" si="885">LOWER(K62)&amp;UPPER(K63)</f>
        <v>gR</v>
      </c>
      <c r="AM63" s="58" t="str">
        <f t="shared" ref="AM63" si="886">LOWER(L62)&amp;UPPER(L63)</f>
        <v>hR</v>
      </c>
      <c r="AN63" s="68" t="str">
        <f t="shared" ref="AN63" si="887">LOWER(M62)&amp;UPPER(M63)</f>
        <v>iR</v>
      </c>
      <c r="AO63" s="68" t="str">
        <f t="shared" ref="AO63" si="888">LOWER(N62)&amp;UPPER(N63)</f>
        <v>jR</v>
      </c>
      <c r="AP63" s="68" t="str">
        <f t="shared" ref="AP63" si="889">LOWER(O62)&amp;UPPER(O63)</f>
        <v>kR</v>
      </c>
      <c r="AQ63" s="68" t="str">
        <f t="shared" ref="AQ63" si="890">LOWER(P62)&amp;UPPER(P63)</f>
        <v>lR</v>
      </c>
      <c r="AR63" s="68" t="str">
        <f t="shared" ref="AR63" si="891">LOWER(Q62)&amp;UPPER(Q63)</f>
        <v>mR</v>
      </c>
      <c r="AS63" s="68" t="str">
        <f t="shared" ref="AS63" si="892">LOWER(R62)&amp;UPPER(R63)</f>
        <v>nR</v>
      </c>
      <c r="AT63" s="68" t="str">
        <f t="shared" ref="AT63" si="893">LOWER(S62)&amp;UPPER(S63)</f>
        <v>oR</v>
      </c>
      <c r="AU63" s="68" t="str">
        <f t="shared" ref="AU63" si="894">LOWER(T62)&amp;UPPER(T63)</f>
        <v>pR</v>
      </c>
      <c r="AV63" s="68" t="str">
        <f t="shared" ref="AV63" si="895">LOWER(U62)&amp;UPPER(U63)</f>
        <v>qR</v>
      </c>
      <c r="AW63" s="68" t="str">
        <f t="shared" ref="AW63" si="896">LOWER(V62)&amp;UPPER(V63)</f>
        <v>rR</v>
      </c>
      <c r="AX63" s="68" t="str">
        <f t="shared" ref="AX63" si="897">LOWER(W62)&amp;UPPER(W63)</f>
        <v>sR</v>
      </c>
      <c r="AY63" s="68" t="str">
        <f t="shared" ref="AY63" si="898">LOWER(X62)&amp;UPPER(X63)</f>
        <v>tR</v>
      </c>
      <c r="AZ63" s="68" t="str">
        <f t="shared" ref="AZ63" si="899">LOWER(Y62)&amp;UPPER(Y63)</f>
        <v>uR</v>
      </c>
      <c r="BA63" s="68" t="str">
        <f t="shared" ref="BA63" si="900">LOWER(Z62)&amp;UPPER(Z63)</f>
        <v>vR</v>
      </c>
      <c r="BB63" s="68" t="str">
        <f t="shared" ref="BB63" si="901">LOWER(AA62)&amp;UPPER(AA63)</f>
        <v>wR</v>
      </c>
      <c r="BC63" s="68" t="str">
        <f t="shared" ref="BC63" si="902">LOWER(AB62)&amp;UPPER(AB63)</f>
        <v>xR</v>
      </c>
      <c r="BD63" s="68" t="str">
        <f t="shared" ref="BD63" si="903">LOWER(AC62)&amp;UPPER(AC63)</f>
        <v>yR</v>
      </c>
      <c r="BE63" s="69" t="str">
        <f t="shared" ref="BE63" si="904">LOWER(AD62)&amp;UPPER(AD63)</f>
        <v>zR</v>
      </c>
      <c r="BG63" s="67"/>
      <c r="BH63" s="68"/>
      <c r="BI63" s="68"/>
      <c r="BJ63" s="68"/>
      <c r="BK63" s="68"/>
      <c r="BL63" s="68"/>
      <c r="BM63" s="68"/>
      <c r="BN63" s="68"/>
      <c r="BO63" s="68"/>
      <c r="BP63" s="68"/>
      <c r="BQ63" s="68"/>
      <c r="BR63" s="68"/>
      <c r="BS63" s="68"/>
      <c r="BT63" s="68"/>
      <c r="BU63" s="68"/>
      <c r="BV63" s="68"/>
      <c r="BW63" s="68"/>
      <c r="BX63" s="68"/>
      <c r="BY63" s="68"/>
      <c r="BZ63" s="68"/>
      <c r="CA63" s="68"/>
      <c r="CB63" s="68"/>
      <c r="CC63" s="68"/>
      <c r="CD63" s="68"/>
      <c r="CE63" s="68"/>
      <c r="CF63" s="69"/>
    </row>
    <row r="64" spans="1:84" x14ac:dyDescent="0.35">
      <c r="A64" s="35" t="s">
        <v>586</v>
      </c>
      <c r="B64" s="36" t="s">
        <v>395</v>
      </c>
      <c r="D64" s="73"/>
      <c r="E64" s="64" t="s">
        <v>397</v>
      </c>
      <c r="F64" s="65" t="s">
        <v>398</v>
      </c>
      <c r="G64" s="65" t="s">
        <v>399</v>
      </c>
      <c r="H64" s="65" t="s">
        <v>400</v>
      </c>
      <c r="I64" s="65" t="s">
        <v>401</v>
      </c>
      <c r="J64" s="65" t="s">
        <v>402</v>
      </c>
      <c r="K64" s="65" t="s">
        <v>403</v>
      </c>
      <c r="L64" s="65" t="s">
        <v>404</v>
      </c>
      <c r="M64" s="65" t="s">
        <v>405</v>
      </c>
      <c r="N64" s="65" t="s">
        <v>406</v>
      </c>
      <c r="O64" s="65" t="s">
        <v>407</v>
      </c>
      <c r="P64" s="65" t="s">
        <v>408</v>
      </c>
      <c r="Q64" s="65" t="s">
        <v>409</v>
      </c>
      <c r="R64" s="65" t="s">
        <v>410</v>
      </c>
      <c r="S64" s="65" t="s">
        <v>411</v>
      </c>
      <c r="T64" s="65" t="s">
        <v>412</v>
      </c>
      <c r="U64" s="65" t="s">
        <v>413</v>
      </c>
      <c r="V64" s="65" t="s">
        <v>414</v>
      </c>
      <c r="W64" s="65" t="s">
        <v>415</v>
      </c>
      <c r="X64" s="65" t="s">
        <v>416</v>
      </c>
      <c r="Y64" s="65" t="s">
        <v>417</v>
      </c>
      <c r="Z64" s="65" t="s">
        <v>418</v>
      </c>
      <c r="AA64" s="65" t="s">
        <v>419</v>
      </c>
      <c r="AB64" s="65" t="s">
        <v>420</v>
      </c>
      <c r="AC64" s="65" t="s">
        <v>421</v>
      </c>
      <c r="AD64" s="66" t="s">
        <v>422</v>
      </c>
      <c r="AF64" s="54" t="str">
        <f>LOWER(E65)&amp;UPPER(E64)</f>
        <v>sA</v>
      </c>
      <c r="AG64" s="55" t="str">
        <f>LOWER(F65)&amp;UPPER(F64)</f>
        <v>sB</v>
      </c>
      <c r="AH64" s="71" t="str">
        <f>LOWER(G65)&amp;UPPER(G64)</f>
        <v>sC</v>
      </c>
      <c r="AI64" s="55" t="str">
        <f t="shared" ref="AI64" si="905">LOWER(H65)&amp;UPPER(H64)</f>
        <v>sD</v>
      </c>
      <c r="AJ64" s="55" t="str">
        <f t="shared" ref="AJ64" si="906">LOWER(I65)&amp;UPPER(I64)</f>
        <v>sE</v>
      </c>
      <c r="AK64" s="71" t="str">
        <f t="shared" ref="AK64" si="907">LOWER(J65)&amp;UPPER(J64)</f>
        <v>sF</v>
      </c>
      <c r="AL64" s="71" t="str">
        <f t="shared" ref="AL64" si="908">LOWER(K65)&amp;UPPER(K64)</f>
        <v>sG</v>
      </c>
      <c r="AM64" s="55" t="str">
        <f t="shared" ref="AM64" si="909">LOWER(L65)&amp;UPPER(L64)</f>
        <v>sH</v>
      </c>
      <c r="AN64" s="71" t="str">
        <f t="shared" ref="AN64" si="910">LOWER(M65)&amp;UPPER(M64)</f>
        <v>sI</v>
      </c>
      <c r="AO64" s="71" t="str">
        <f t="shared" ref="AO64" si="911">LOWER(N65)&amp;UPPER(N64)</f>
        <v>sJ</v>
      </c>
      <c r="AP64" s="71" t="str">
        <f t="shared" ref="AP64" si="912">LOWER(O65)&amp;UPPER(O64)</f>
        <v>sK</v>
      </c>
      <c r="AQ64" s="71" t="str">
        <f t="shared" ref="AQ64" si="913">LOWER(P65)&amp;UPPER(P64)</f>
        <v>sL</v>
      </c>
      <c r="AR64" s="71" t="str">
        <f t="shared" ref="AR64" si="914">LOWER(Q65)&amp;UPPER(Q64)</f>
        <v>sM</v>
      </c>
      <c r="AS64" s="71" t="str">
        <f t="shared" ref="AS64" si="915">LOWER(R65)&amp;UPPER(R64)</f>
        <v>sN</v>
      </c>
      <c r="AT64" s="71" t="str">
        <f t="shared" ref="AT64" si="916">LOWER(S65)&amp;UPPER(S64)</f>
        <v>sO</v>
      </c>
      <c r="AU64" s="71" t="str">
        <f t="shared" ref="AU64" si="917">LOWER(T65)&amp;UPPER(T64)</f>
        <v>sP</v>
      </c>
      <c r="AV64" s="71" t="str">
        <f t="shared" ref="AV64" si="918">LOWER(U65)&amp;UPPER(U64)</f>
        <v>sQ</v>
      </c>
      <c r="AW64" s="71" t="str">
        <f t="shared" ref="AW64" si="919">LOWER(V65)&amp;UPPER(V64)</f>
        <v>sR</v>
      </c>
      <c r="AX64" s="71" t="str">
        <f t="shared" ref="AX64" si="920">LOWER(W65)&amp;UPPER(W64)</f>
        <v>sS</v>
      </c>
      <c r="AY64" s="71" t="str">
        <f t="shared" ref="AY64" si="921">LOWER(X65)&amp;UPPER(X64)</f>
        <v>sT</v>
      </c>
      <c r="AZ64" s="71" t="str">
        <f t="shared" ref="AZ64" si="922">LOWER(Y65)&amp;UPPER(Y64)</f>
        <v>sU</v>
      </c>
      <c r="BA64" s="71" t="str">
        <f t="shared" ref="BA64" si="923">LOWER(Z65)&amp;UPPER(Z64)</f>
        <v>sV</v>
      </c>
      <c r="BB64" s="71" t="str">
        <f t="shared" ref="BB64" si="924">LOWER(AA65)&amp;UPPER(AA64)</f>
        <v>sW</v>
      </c>
      <c r="BC64" s="71" t="str">
        <f t="shared" ref="BC64" si="925">LOWER(AB65)&amp;UPPER(AB64)</f>
        <v>sX</v>
      </c>
      <c r="BD64" s="71" t="str">
        <f t="shared" ref="BD64" si="926">LOWER(AC65)&amp;UPPER(AC64)</f>
        <v>sY</v>
      </c>
      <c r="BE64" s="72" t="str">
        <f t="shared" ref="BE64" si="927">LOWER(AD65)&amp;UPPER(AD64)</f>
        <v>sZ</v>
      </c>
      <c r="BG64" s="70"/>
      <c r="BH64" s="71"/>
      <c r="BI64" s="71"/>
      <c r="BJ64" s="71"/>
      <c r="BK64" s="71"/>
      <c r="BL64" s="71"/>
      <c r="BM64" s="71"/>
      <c r="BN64" s="71"/>
      <c r="BO64" s="71"/>
      <c r="BP64" s="71"/>
      <c r="BQ64" s="71"/>
      <c r="BR64" s="71"/>
      <c r="BS64" s="71"/>
      <c r="BT64" s="71"/>
      <c r="BU64" s="71"/>
      <c r="BV64" s="71"/>
      <c r="BW64" s="71"/>
      <c r="BX64" s="71"/>
      <c r="BY64" s="71"/>
      <c r="BZ64" s="71"/>
      <c r="CA64" s="71"/>
      <c r="CB64" s="71"/>
      <c r="CC64" s="71"/>
      <c r="CD64" s="71"/>
      <c r="CE64" s="71"/>
      <c r="CF64" s="72"/>
    </row>
    <row r="65" spans="1:84" x14ac:dyDescent="0.35">
      <c r="A65" s="37" t="s">
        <v>586</v>
      </c>
      <c r="B65" s="36" t="s">
        <v>396</v>
      </c>
      <c r="D65" s="74" t="s">
        <v>18</v>
      </c>
      <c r="E65" s="67" t="str">
        <f>D65</f>
        <v>S</v>
      </c>
      <c r="F65" s="68" t="str">
        <f t="shared" ref="F65:AD65" si="928">E65</f>
        <v>S</v>
      </c>
      <c r="G65" s="68" t="str">
        <f t="shared" si="928"/>
        <v>S</v>
      </c>
      <c r="H65" s="68" t="str">
        <f t="shared" si="928"/>
        <v>S</v>
      </c>
      <c r="I65" s="68" t="str">
        <f t="shared" si="928"/>
        <v>S</v>
      </c>
      <c r="J65" s="68" t="str">
        <f t="shared" si="928"/>
        <v>S</v>
      </c>
      <c r="K65" s="68" t="str">
        <f t="shared" si="928"/>
        <v>S</v>
      </c>
      <c r="L65" s="68" t="str">
        <f t="shared" si="928"/>
        <v>S</v>
      </c>
      <c r="M65" s="68" t="str">
        <f t="shared" si="928"/>
        <v>S</v>
      </c>
      <c r="N65" s="68" t="str">
        <f t="shared" si="928"/>
        <v>S</v>
      </c>
      <c r="O65" s="68" t="str">
        <f t="shared" si="928"/>
        <v>S</v>
      </c>
      <c r="P65" s="68" t="str">
        <f t="shared" si="928"/>
        <v>S</v>
      </c>
      <c r="Q65" s="68" t="str">
        <f t="shared" si="928"/>
        <v>S</v>
      </c>
      <c r="R65" s="68" t="str">
        <f t="shared" si="928"/>
        <v>S</v>
      </c>
      <c r="S65" s="68" t="str">
        <f t="shared" si="928"/>
        <v>S</v>
      </c>
      <c r="T65" s="68" t="str">
        <f t="shared" si="928"/>
        <v>S</v>
      </c>
      <c r="U65" s="68" t="str">
        <f t="shared" si="928"/>
        <v>S</v>
      </c>
      <c r="V65" s="68" t="str">
        <f t="shared" si="928"/>
        <v>S</v>
      </c>
      <c r="W65" s="68" t="str">
        <f t="shared" si="928"/>
        <v>S</v>
      </c>
      <c r="X65" s="68" t="str">
        <f t="shared" si="928"/>
        <v>S</v>
      </c>
      <c r="Y65" s="68" t="str">
        <f t="shared" si="928"/>
        <v>S</v>
      </c>
      <c r="Z65" s="68" t="str">
        <f t="shared" si="928"/>
        <v>S</v>
      </c>
      <c r="AA65" s="68" t="str">
        <f t="shared" si="928"/>
        <v>S</v>
      </c>
      <c r="AB65" s="68" t="str">
        <f t="shared" si="928"/>
        <v>S</v>
      </c>
      <c r="AC65" s="68" t="str">
        <f t="shared" si="928"/>
        <v>S</v>
      </c>
      <c r="AD65" s="69" t="str">
        <f t="shared" si="928"/>
        <v>S</v>
      </c>
      <c r="AF65" s="57" t="str">
        <f>LOWER(E64)&amp;UPPER(E65)</f>
        <v>aS</v>
      </c>
      <c r="AG65" s="58" t="str">
        <f>LOWER(F64)&amp;UPPER(F65)</f>
        <v>bS</v>
      </c>
      <c r="AH65" s="68" t="str">
        <f>LOWER(G64)&amp;UPPER(G65)</f>
        <v>cS</v>
      </c>
      <c r="AI65" s="58" t="str">
        <f t="shared" ref="AI65" si="929">LOWER(H64)&amp;UPPER(H65)</f>
        <v>dS</v>
      </c>
      <c r="AJ65" s="58" t="str">
        <f t="shared" ref="AJ65" si="930">LOWER(I64)&amp;UPPER(I65)</f>
        <v>eS</v>
      </c>
      <c r="AK65" s="68" t="str">
        <f t="shared" ref="AK65" si="931">LOWER(J64)&amp;UPPER(J65)</f>
        <v>fS</v>
      </c>
      <c r="AL65" s="68" t="str">
        <f t="shared" ref="AL65" si="932">LOWER(K64)&amp;UPPER(K65)</f>
        <v>gS</v>
      </c>
      <c r="AM65" s="58" t="str">
        <f t="shared" ref="AM65" si="933">LOWER(L64)&amp;UPPER(L65)</f>
        <v>hS</v>
      </c>
      <c r="AN65" s="68" t="str">
        <f t="shared" ref="AN65" si="934">LOWER(M64)&amp;UPPER(M65)</f>
        <v>iS</v>
      </c>
      <c r="AO65" s="68" t="str">
        <f t="shared" ref="AO65" si="935">LOWER(N64)&amp;UPPER(N65)</f>
        <v>jS</v>
      </c>
      <c r="AP65" s="68" t="str">
        <f t="shared" ref="AP65" si="936">LOWER(O64)&amp;UPPER(O65)</f>
        <v>kS</v>
      </c>
      <c r="AQ65" s="68" t="str">
        <f t="shared" ref="AQ65" si="937">LOWER(P64)&amp;UPPER(P65)</f>
        <v>lS</v>
      </c>
      <c r="AR65" s="68" t="str">
        <f t="shared" ref="AR65" si="938">LOWER(Q64)&amp;UPPER(Q65)</f>
        <v>mS</v>
      </c>
      <c r="AS65" s="68" t="str">
        <f t="shared" ref="AS65" si="939">LOWER(R64)&amp;UPPER(R65)</f>
        <v>nS</v>
      </c>
      <c r="AT65" s="68" t="str">
        <f t="shared" ref="AT65" si="940">LOWER(S64)&amp;UPPER(S65)</f>
        <v>oS</v>
      </c>
      <c r="AU65" s="68" t="str">
        <f t="shared" ref="AU65" si="941">LOWER(T64)&amp;UPPER(T65)</f>
        <v>pS</v>
      </c>
      <c r="AV65" s="68" t="str">
        <f t="shared" ref="AV65" si="942">LOWER(U64)&amp;UPPER(U65)</f>
        <v>qS</v>
      </c>
      <c r="AW65" s="68" t="str">
        <f t="shared" ref="AW65" si="943">LOWER(V64)&amp;UPPER(V65)</f>
        <v>rS</v>
      </c>
      <c r="AX65" s="68" t="str">
        <f t="shared" ref="AX65" si="944">LOWER(W64)&amp;UPPER(W65)</f>
        <v>sS</v>
      </c>
      <c r="AY65" s="68" t="str">
        <f t="shared" ref="AY65" si="945">LOWER(X64)&amp;UPPER(X65)</f>
        <v>tS</v>
      </c>
      <c r="AZ65" s="68" t="str">
        <f t="shared" ref="AZ65" si="946">LOWER(Y64)&amp;UPPER(Y65)</f>
        <v>uS</v>
      </c>
      <c r="BA65" s="68" t="str">
        <f t="shared" ref="BA65" si="947">LOWER(Z64)&amp;UPPER(Z65)</f>
        <v>vS</v>
      </c>
      <c r="BB65" s="68" t="str">
        <f t="shared" ref="BB65" si="948">LOWER(AA64)&amp;UPPER(AA65)</f>
        <v>wS</v>
      </c>
      <c r="BC65" s="68" t="str">
        <f t="shared" ref="BC65" si="949">LOWER(AB64)&amp;UPPER(AB65)</f>
        <v>xS</v>
      </c>
      <c r="BD65" s="68" t="str">
        <f t="shared" ref="BD65" si="950">LOWER(AC64)&amp;UPPER(AC65)</f>
        <v>yS</v>
      </c>
      <c r="BE65" s="69" t="str">
        <f t="shared" ref="BE65" si="951">LOWER(AD64)&amp;UPPER(AD65)</f>
        <v>zS</v>
      </c>
      <c r="BG65" s="67"/>
      <c r="BH65" s="68"/>
      <c r="BI65" s="68"/>
      <c r="BJ65" s="68"/>
      <c r="BK65" s="68"/>
      <c r="BL65" s="68"/>
      <c r="BM65" s="68"/>
      <c r="BN65" s="68"/>
      <c r="BO65" s="68"/>
      <c r="BP65" s="68"/>
      <c r="BQ65" s="68"/>
      <c r="BR65" s="68"/>
      <c r="BS65" s="68"/>
      <c r="BT65" s="68"/>
      <c r="BU65" s="68"/>
      <c r="BV65" s="68"/>
      <c r="BW65" s="68"/>
      <c r="BX65" s="68"/>
      <c r="BY65" s="68"/>
      <c r="BZ65" s="68"/>
      <c r="CA65" s="68"/>
      <c r="CB65" s="68"/>
      <c r="CC65" s="68"/>
      <c r="CD65" s="68"/>
      <c r="CE65" s="68"/>
      <c r="CF65" s="69"/>
    </row>
    <row r="66" spans="1:84" x14ac:dyDescent="0.35">
      <c r="A66" s="35" t="s">
        <v>586</v>
      </c>
      <c r="B66" s="36" t="s">
        <v>395</v>
      </c>
      <c r="D66" s="73"/>
      <c r="E66" s="64" t="s">
        <v>397</v>
      </c>
      <c r="F66" s="65" t="s">
        <v>398</v>
      </c>
      <c r="G66" s="65" t="s">
        <v>399</v>
      </c>
      <c r="H66" s="65" t="s">
        <v>400</v>
      </c>
      <c r="I66" s="65" t="s">
        <v>401</v>
      </c>
      <c r="J66" s="65" t="s">
        <v>402</v>
      </c>
      <c r="K66" s="65" t="s">
        <v>403</v>
      </c>
      <c r="L66" s="65" t="s">
        <v>404</v>
      </c>
      <c r="M66" s="65" t="s">
        <v>405</v>
      </c>
      <c r="N66" s="65" t="s">
        <v>406</v>
      </c>
      <c r="O66" s="65" t="s">
        <v>407</v>
      </c>
      <c r="P66" s="65" t="s">
        <v>408</v>
      </c>
      <c r="Q66" s="65" t="s">
        <v>409</v>
      </c>
      <c r="R66" s="65" t="s">
        <v>410</v>
      </c>
      <c r="S66" s="65" t="s">
        <v>411</v>
      </c>
      <c r="T66" s="65" t="s">
        <v>412</v>
      </c>
      <c r="U66" s="65" t="s">
        <v>413</v>
      </c>
      <c r="V66" s="65" t="s">
        <v>414</v>
      </c>
      <c r="W66" s="65" t="s">
        <v>415</v>
      </c>
      <c r="X66" s="65" t="s">
        <v>416</v>
      </c>
      <c r="Y66" s="65" t="s">
        <v>417</v>
      </c>
      <c r="Z66" s="65" t="s">
        <v>418</v>
      </c>
      <c r="AA66" s="65" t="s">
        <v>419</v>
      </c>
      <c r="AB66" s="65" t="s">
        <v>420</v>
      </c>
      <c r="AC66" s="65" t="s">
        <v>421</v>
      </c>
      <c r="AD66" s="66" t="s">
        <v>422</v>
      </c>
      <c r="AF66" s="54" t="str">
        <f>LOWER(E67)&amp;UPPER(E66)</f>
        <v>tA</v>
      </c>
      <c r="AG66" s="55" t="str">
        <f>LOWER(F67)&amp;UPPER(F66)</f>
        <v>tB</v>
      </c>
      <c r="AH66" s="55" t="str">
        <f>LOWER(G67)&amp;UPPER(G66)</f>
        <v>tC</v>
      </c>
      <c r="AI66" s="55" t="str">
        <f t="shared" ref="AI66" si="952">LOWER(H67)&amp;UPPER(H66)</f>
        <v>tD</v>
      </c>
      <c r="AJ66" s="55" t="str">
        <f t="shared" ref="AJ66" si="953">LOWER(I67)&amp;UPPER(I66)</f>
        <v>tE</v>
      </c>
      <c r="AK66" s="71" t="str">
        <f t="shared" ref="AK66" si="954">LOWER(J67)&amp;UPPER(J66)</f>
        <v>tF</v>
      </c>
      <c r="AL66" s="55" t="str">
        <f t="shared" ref="AL66" si="955">LOWER(K67)&amp;UPPER(K66)</f>
        <v>tG</v>
      </c>
      <c r="AM66" s="55" t="str">
        <f t="shared" ref="AM66" si="956">LOWER(L67)&amp;UPPER(L66)</f>
        <v>tH</v>
      </c>
      <c r="AN66" s="71" t="str">
        <f t="shared" ref="AN66" si="957">LOWER(M67)&amp;UPPER(M66)</f>
        <v>tI</v>
      </c>
      <c r="AO66" s="71" t="str">
        <f t="shared" ref="AO66" si="958">LOWER(N67)&amp;UPPER(N66)</f>
        <v>tJ</v>
      </c>
      <c r="AP66" s="71" t="str">
        <f t="shared" ref="AP66" si="959">LOWER(O67)&amp;UPPER(O66)</f>
        <v>tK</v>
      </c>
      <c r="AQ66" s="71" t="str">
        <f t="shared" ref="AQ66" si="960">LOWER(P67)&amp;UPPER(P66)</f>
        <v>tL</v>
      </c>
      <c r="AR66" s="71" t="str">
        <f t="shared" ref="AR66" si="961">LOWER(Q67)&amp;UPPER(Q66)</f>
        <v>tM</v>
      </c>
      <c r="AS66" s="71" t="str">
        <f t="shared" ref="AS66" si="962">LOWER(R67)&amp;UPPER(R66)</f>
        <v>tN</v>
      </c>
      <c r="AT66" s="71" t="str">
        <f t="shared" ref="AT66" si="963">LOWER(S67)&amp;UPPER(S66)</f>
        <v>tO</v>
      </c>
      <c r="AU66" s="71" t="str">
        <f t="shared" ref="AU66" si="964">LOWER(T67)&amp;UPPER(T66)</f>
        <v>tP</v>
      </c>
      <c r="AV66" s="71" t="str">
        <f t="shared" ref="AV66" si="965">LOWER(U67)&amp;UPPER(U66)</f>
        <v>tQ</v>
      </c>
      <c r="AW66" s="71" t="str">
        <f t="shared" ref="AW66" si="966">LOWER(V67)&amp;UPPER(V66)</f>
        <v>tR</v>
      </c>
      <c r="AX66" s="71" t="str">
        <f t="shared" ref="AX66" si="967">LOWER(W67)&amp;UPPER(W66)</f>
        <v>tS</v>
      </c>
      <c r="AY66" s="71" t="str">
        <f t="shared" ref="AY66" si="968">LOWER(X67)&amp;UPPER(X66)</f>
        <v>tT</v>
      </c>
      <c r="AZ66" s="71" t="str">
        <f t="shared" ref="AZ66" si="969">LOWER(Y67)&amp;UPPER(Y66)</f>
        <v>tU</v>
      </c>
      <c r="BA66" s="71" t="str">
        <f t="shared" ref="BA66" si="970">LOWER(Z67)&amp;UPPER(Z66)</f>
        <v>tV</v>
      </c>
      <c r="BB66" s="71" t="str">
        <f t="shared" ref="BB66" si="971">LOWER(AA67)&amp;UPPER(AA66)</f>
        <v>tW</v>
      </c>
      <c r="BC66" s="71" t="str">
        <f t="shared" ref="BC66" si="972">LOWER(AB67)&amp;UPPER(AB66)</f>
        <v>tX</v>
      </c>
      <c r="BD66" s="71" t="str">
        <f t="shared" ref="BD66" si="973">LOWER(AC67)&amp;UPPER(AC66)</f>
        <v>tY</v>
      </c>
      <c r="BE66" s="72" t="str">
        <f t="shared" ref="BE66" si="974">LOWER(AD67)&amp;UPPER(AD66)</f>
        <v>tZ</v>
      </c>
      <c r="BG66" s="70"/>
      <c r="BH66" s="71"/>
      <c r="BI66" s="71"/>
      <c r="BJ66" s="71"/>
      <c r="BK66" s="71"/>
      <c r="BL66" s="71"/>
      <c r="BM66" s="71"/>
      <c r="BN66" s="71"/>
      <c r="BO66" s="71"/>
      <c r="BP66" s="71"/>
      <c r="BQ66" s="71"/>
      <c r="BR66" s="71"/>
      <c r="BS66" s="71"/>
      <c r="BT66" s="71"/>
      <c r="BU66" s="71"/>
      <c r="BV66" s="71"/>
      <c r="BW66" s="71"/>
      <c r="BX66" s="71"/>
      <c r="BY66" s="71"/>
      <c r="BZ66" s="71"/>
      <c r="CA66" s="71"/>
      <c r="CB66" s="71"/>
      <c r="CC66" s="71"/>
      <c r="CD66" s="71"/>
      <c r="CE66" s="71"/>
      <c r="CF66" s="72"/>
    </row>
    <row r="67" spans="1:84" x14ac:dyDescent="0.35">
      <c r="A67" s="37" t="s">
        <v>586</v>
      </c>
      <c r="B67" s="36" t="s">
        <v>396</v>
      </c>
      <c r="D67" s="74" t="s">
        <v>19</v>
      </c>
      <c r="E67" s="67" t="str">
        <f>D67</f>
        <v>T</v>
      </c>
      <c r="F67" s="68" t="str">
        <f t="shared" ref="F67:AD67" si="975">E67</f>
        <v>T</v>
      </c>
      <c r="G67" s="68" t="str">
        <f t="shared" si="975"/>
        <v>T</v>
      </c>
      <c r="H67" s="68" t="str">
        <f t="shared" si="975"/>
        <v>T</v>
      </c>
      <c r="I67" s="68" t="str">
        <f t="shared" si="975"/>
        <v>T</v>
      </c>
      <c r="J67" s="68" t="str">
        <f t="shared" si="975"/>
        <v>T</v>
      </c>
      <c r="K67" s="68" t="str">
        <f t="shared" si="975"/>
        <v>T</v>
      </c>
      <c r="L67" s="68" t="str">
        <f t="shared" si="975"/>
        <v>T</v>
      </c>
      <c r="M67" s="68" t="str">
        <f t="shared" si="975"/>
        <v>T</v>
      </c>
      <c r="N67" s="68" t="str">
        <f t="shared" si="975"/>
        <v>T</v>
      </c>
      <c r="O67" s="68" t="str">
        <f t="shared" si="975"/>
        <v>T</v>
      </c>
      <c r="P67" s="68" t="str">
        <f t="shared" si="975"/>
        <v>T</v>
      </c>
      <c r="Q67" s="68" t="str">
        <f t="shared" si="975"/>
        <v>T</v>
      </c>
      <c r="R67" s="68" t="str">
        <f t="shared" si="975"/>
        <v>T</v>
      </c>
      <c r="S67" s="68" t="str">
        <f t="shared" si="975"/>
        <v>T</v>
      </c>
      <c r="T67" s="68" t="str">
        <f t="shared" si="975"/>
        <v>T</v>
      </c>
      <c r="U67" s="68" t="str">
        <f t="shared" si="975"/>
        <v>T</v>
      </c>
      <c r="V67" s="68" t="str">
        <f t="shared" si="975"/>
        <v>T</v>
      </c>
      <c r="W67" s="68" t="str">
        <f t="shared" si="975"/>
        <v>T</v>
      </c>
      <c r="X67" s="68" t="str">
        <f t="shared" si="975"/>
        <v>T</v>
      </c>
      <c r="Y67" s="68" t="str">
        <f t="shared" si="975"/>
        <v>T</v>
      </c>
      <c r="Z67" s="68" t="str">
        <f t="shared" si="975"/>
        <v>T</v>
      </c>
      <c r="AA67" s="68" t="str">
        <f t="shared" si="975"/>
        <v>T</v>
      </c>
      <c r="AB67" s="68" t="str">
        <f t="shared" si="975"/>
        <v>T</v>
      </c>
      <c r="AC67" s="68" t="str">
        <f t="shared" si="975"/>
        <v>T</v>
      </c>
      <c r="AD67" s="69" t="str">
        <f t="shared" si="975"/>
        <v>T</v>
      </c>
      <c r="AF67" s="57" t="str">
        <f>LOWER(E66)&amp;UPPER(E67)</f>
        <v>aT</v>
      </c>
      <c r="AG67" s="58" t="str">
        <f>LOWER(F66)&amp;UPPER(F67)</f>
        <v>bT</v>
      </c>
      <c r="AH67" s="58" t="str">
        <f>LOWER(G66)&amp;UPPER(G67)</f>
        <v>cT</v>
      </c>
      <c r="AI67" s="58" t="str">
        <f t="shared" ref="AI67" si="976">LOWER(H66)&amp;UPPER(H67)</f>
        <v>dT</v>
      </c>
      <c r="AJ67" s="58" t="str">
        <f t="shared" ref="AJ67" si="977">LOWER(I66)&amp;UPPER(I67)</f>
        <v>eT</v>
      </c>
      <c r="AK67" s="68" t="str">
        <f t="shared" ref="AK67" si="978">LOWER(J66)&amp;UPPER(J67)</f>
        <v>fT</v>
      </c>
      <c r="AL67" s="58" t="str">
        <f t="shared" ref="AL67" si="979">LOWER(K66)&amp;UPPER(K67)</f>
        <v>gT</v>
      </c>
      <c r="AM67" s="58" t="str">
        <f t="shared" ref="AM67" si="980">LOWER(L66)&amp;UPPER(L67)</f>
        <v>hT</v>
      </c>
      <c r="AN67" s="68" t="str">
        <f t="shared" ref="AN67" si="981">LOWER(M66)&amp;UPPER(M67)</f>
        <v>iT</v>
      </c>
      <c r="AO67" s="68" t="str">
        <f t="shared" ref="AO67" si="982">LOWER(N66)&amp;UPPER(N67)</f>
        <v>jT</v>
      </c>
      <c r="AP67" s="68" t="str">
        <f t="shared" ref="AP67" si="983">LOWER(O66)&amp;UPPER(O67)</f>
        <v>kT</v>
      </c>
      <c r="AQ67" s="68" t="str">
        <f t="shared" ref="AQ67" si="984">LOWER(P66)&amp;UPPER(P67)</f>
        <v>lT</v>
      </c>
      <c r="AR67" s="68" t="str">
        <f t="shared" ref="AR67" si="985">LOWER(Q66)&amp;UPPER(Q67)</f>
        <v>mT</v>
      </c>
      <c r="AS67" s="68" t="str">
        <f t="shared" ref="AS67" si="986">LOWER(R66)&amp;UPPER(R67)</f>
        <v>nT</v>
      </c>
      <c r="AT67" s="68" t="str">
        <f t="shared" ref="AT67" si="987">LOWER(S66)&amp;UPPER(S67)</f>
        <v>oT</v>
      </c>
      <c r="AU67" s="68" t="str">
        <f t="shared" ref="AU67" si="988">LOWER(T66)&amp;UPPER(T67)</f>
        <v>pT</v>
      </c>
      <c r="AV67" s="68" t="str">
        <f t="shared" ref="AV67" si="989">LOWER(U66)&amp;UPPER(U67)</f>
        <v>qT</v>
      </c>
      <c r="AW67" s="68" t="str">
        <f t="shared" ref="AW67" si="990">LOWER(V66)&amp;UPPER(V67)</f>
        <v>rT</v>
      </c>
      <c r="AX67" s="68" t="str">
        <f t="shared" ref="AX67" si="991">LOWER(W66)&amp;UPPER(W67)</f>
        <v>sT</v>
      </c>
      <c r="AY67" s="68" t="str">
        <f t="shared" ref="AY67" si="992">LOWER(X66)&amp;UPPER(X67)</f>
        <v>tT</v>
      </c>
      <c r="AZ67" s="68" t="str">
        <f t="shared" ref="AZ67" si="993">LOWER(Y66)&amp;UPPER(Y67)</f>
        <v>uT</v>
      </c>
      <c r="BA67" s="68" t="str">
        <f t="shared" ref="BA67" si="994">LOWER(Z66)&amp;UPPER(Z67)</f>
        <v>vT</v>
      </c>
      <c r="BB67" s="68" t="str">
        <f t="shared" ref="BB67" si="995">LOWER(AA66)&amp;UPPER(AA67)</f>
        <v>wT</v>
      </c>
      <c r="BC67" s="68" t="str">
        <f t="shared" ref="BC67" si="996">LOWER(AB66)&amp;UPPER(AB67)</f>
        <v>xT</v>
      </c>
      <c r="BD67" s="68" t="str">
        <f t="shared" ref="BD67" si="997">LOWER(AC66)&amp;UPPER(AC67)</f>
        <v>yT</v>
      </c>
      <c r="BE67" s="69" t="str">
        <f t="shared" ref="BE67" si="998">LOWER(AD66)&amp;UPPER(AD67)</f>
        <v>zT</v>
      </c>
      <c r="BG67" s="67"/>
      <c r="BH67" s="68"/>
      <c r="BI67" s="68"/>
      <c r="BJ67" s="68"/>
      <c r="BK67" s="68"/>
      <c r="BL67" s="68"/>
      <c r="BM67" s="68"/>
      <c r="BN67" s="68"/>
      <c r="BO67" s="68"/>
      <c r="BP67" s="68"/>
      <c r="BQ67" s="68"/>
      <c r="BR67" s="68"/>
      <c r="BS67" s="68"/>
      <c r="BT67" s="68"/>
      <c r="BU67" s="68"/>
      <c r="BV67" s="68"/>
      <c r="BW67" s="68"/>
      <c r="BX67" s="68"/>
      <c r="BY67" s="68"/>
      <c r="BZ67" s="68"/>
      <c r="CA67" s="68"/>
      <c r="CB67" s="68"/>
      <c r="CC67" s="68"/>
      <c r="CD67" s="68"/>
      <c r="CE67" s="68"/>
      <c r="CF67" s="69"/>
    </row>
    <row r="68" spans="1:84" x14ac:dyDescent="0.35">
      <c r="A68" s="35" t="s">
        <v>586</v>
      </c>
      <c r="B68" s="36" t="s">
        <v>395</v>
      </c>
      <c r="D68" s="73"/>
      <c r="E68" s="64" t="s">
        <v>397</v>
      </c>
      <c r="F68" s="65" t="s">
        <v>398</v>
      </c>
      <c r="G68" s="65" t="s">
        <v>399</v>
      </c>
      <c r="H68" s="65" t="s">
        <v>400</v>
      </c>
      <c r="I68" s="65" t="s">
        <v>401</v>
      </c>
      <c r="J68" s="65" t="s">
        <v>402</v>
      </c>
      <c r="K68" s="65" t="s">
        <v>403</v>
      </c>
      <c r="L68" s="65" t="s">
        <v>404</v>
      </c>
      <c r="M68" s="65" t="s">
        <v>405</v>
      </c>
      <c r="N68" s="65" t="s">
        <v>406</v>
      </c>
      <c r="O68" s="65" t="s">
        <v>407</v>
      </c>
      <c r="P68" s="65" t="s">
        <v>408</v>
      </c>
      <c r="Q68" s="65" t="s">
        <v>409</v>
      </c>
      <c r="R68" s="65" t="s">
        <v>410</v>
      </c>
      <c r="S68" s="65" t="s">
        <v>411</v>
      </c>
      <c r="T68" s="65" t="s">
        <v>412</v>
      </c>
      <c r="U68" s="65" t="s">
        <v>413</v>
      </c>
      <c r="V68" s="65" t="s">
        <v>414</v>
      </c>
      <c r="W68" s="65" t="s">
        <v>415</v>
      </c>
      <c r="X68" s="65" t="s">
        <v>416</v>
      </c>
      <c r="Y68" s="65" t="s">
        <v>417</v>
      </c>
      <c r="Z68" s="65" t="s">
        <v>418</v>
      </c>
      <c r="AA68" s="65" t="s">
        <v>419</v>
      </c>
      <c r="AB68" s="65" t="s">
        <v>420</v>
      </c>
      <c r="AC68" s="65" t="s">
        <v>421</v>
      </c>
      <c r="AD68" s="66" t="s">
        <v>422</v>
      </c>
      <c r="AF68" s="54" t="str">
        <f>LOWER(E69)&amp;UPPER(E68)</f>
        <v>uA</v>
      </c>
      <c r="AG68" s="55" t="str">
        <f>LOWER(F69)&amp;UPPER(F68)</f>
        <v>uB</v>
      </c>
      <c r="AH68" s="55" t="str">
        <f>LOWER(G69)&amp;UPPER(G68)</f>
        <v>uC</v>
      </c>
      <c r="AI68" s="55" t="str">
        <f t="shared" ref="AI68" si="999">LOWER(H69)&amp;UPPER(H68)</f>
        <v>uD</v>
      </c>
      <c r="AJ68" s="55" t="str">
        <f t="shared" ref="AJ68" si="1000">LOWER(I69)&amp;UPPER(I68)</f>
        <v>uE</v>
      </c>
      <c r="AK68" s="71" t="str">
        <f t="shared" ref="AK68" si="1001">LOWER(J69)&amp;UPPER(J68)</f>
        <v>uF</v>
      </c>
      <c r="AL68" s="55" t="str">
        <f t="shared" ref="AL68" si="1002">LOWER(K69)&amp;UPPER(K68)</f>
        <v>uG</v>
      </c>
      <c r="AM68" s="55" t="str">
        <f t="shared" ref="AM68" si="1003">LOWER(L69)&amp;UPPER(L68)</f>
        <v>uH</v>
      </c>
      <c r="AN68" s="71" t="str">
        <f t="shared" ref="AN68" si="1004">LOWER(M69)&amp;UPPER(M68)</f>
        <v>uI</v>
      </c>
      <c r="AO68" s="71" t="str">
        <f t="shared" ref="AO68" si="1005">LOWER(N69)&amp;UPPER(N68)</f>
        <v>uJ</v>
      </c>
      <c r="AP68" s="71" t="str">
        <f t="shared" ref="AP68" si="1006">LOWER(O69)&amp;UPPER(O68)</f>
        <v>uK</v>
      </c>
      <c r="AQ68" s="71" t="str">
        <f t="shared" ref="AQ68" si="1007">LOWER(P69)&amp;UPPER(P68)</f>
        <v>uL</v>
      </c>
      <c r="AR68" s="71" t="str">
        <f t="shared" ref="AR68" si="1008">LOWER(Q69)&amp;UPPER(Q68)</f>
        <v>uM</v>
      </c>
      <c r="AS68" s="71" t="str">
        <f t="shared" ref="AS68" si="1009">LOWER(R69)&amp;UPPER(R68)</f>
        <v>uN</v>
      </c>
      <c r="AT68" s="71" t="str">
        <f t="shared" ref="AT68" si="1010">LOWER(S69)&amp;UPPER(S68)</f>
        <v>uO</v>
      </c>
      <c r="AU68" s="71" t="str">
        <f t="shared" ref="AU68" si="1011">LOWER(T69)&amp;UPPER(T68)</f>
        <v>uP</v>
      </c>
      <c r="AV68" s="71" t="str">
        <f t="shared" ref="AV68" si="1012">LOWER(U69)&amp;UPPER(U68)</f>
        <v>uQ</v>
      </c>
      <c r="AW68" s="71" t="str">
        <f t="shared" ref="AW68" si="1013">LOWER(V69)&amp;UPPER(V68)</f>
        <v>uR</v>
      </c>
      <c r="AX68" s="71" t="str">
        <f t="shared" ref="AX68" si="1014">LOWER(W69)&amp;UPPER(W68)</f>
        <v>uS</v>
      </c>
      <c r="AY68" s="71" t="str">
        <f t="shared" ref="AY68" si="1015">LOWER(X69)&amp;UPPER(X68)</f>
        <v>uT</v>
      </c>
      <c r="AZ68" s="71" t="str">
        <f t="shared" ref="AZ68" si="1016">LOWER(Y69)&amp;UPPER(Y68)</f>
        <v>uU</v>
      </c>
      <c r="BA68" s="71" t="str">
        <f t="shared" ref="BA68" si="1017">LOWER(Z69)&amp;UPPER(Z68)</f>
        <v>uV</v>
      </c>
      <c r="BB68" s="71" t="str">
        <f t="shared" ref="BB68" si="1018">LOWER(AA69)&amp;UPPER(AA68)</f>
        <v>uW</v>
      </c>
      <c r="BC68" s="71" t="str">
        <f t="shared" ref="BC68" si="1019">LOWER(AB69)&amp;UPPER(AB68)</f>
        <v>uX</v>
      </c>
      <c r="BD68" s="71" t="str">
        <f t="shared" ref="BD68" si="1020">LOWER(AC69)&amp;UPPER(AC68)</f>
        <v>uY</v>
      </c>
      <c r="BE68" s="72" t="str">
        <f t="shared" ref="BE68" si="1021">LOWER(AD69)&amp;UPPER(AD68)</f>
        <v>uZ</v>
      </c>
      <c r="BG68" s="70"/>
      <c r="BH68" s="71"/>
      <c r="BI68" s="71"/>
      <c r="BJ68" s="71"/>
      <c r="BK68" s="71"/>
      <c r="BL68" s="71"/>
      <c r="BM68" s="71"/>
      <c r="BN68" s="71"/>
      <c r="BO68" s="71"/>
      <c r="BP68" s="71"/>
      <c r="BQ68" s="71"/>
      <c r="BR68" s="71"/>
      <c r="BS68" s="71"/>
      <c r="BT68" s="71"/>
      <c r="BU68" s="71"/>
      <c r="BV68" s="71"/>
      <c r="BW68" s="71"/>
      <c r="BX68" s="71"/>
      <c r="BY68" s="71"/>
      <c r="BZ68" s="71"/>
      <c r="CA68" s="71"/>
      <c r="CB68" s="71"/>
      <c r="CC68" s="71"/>
      <c r="CD68" s="71"/>
      <c r="CE68" s="71"/>
      <c r="CF68" s="72"/>
    </row>
    <row r="69" spans="1:84" x14ac:dyDescent="0.35">
      <c r="A69" s="37" t="s">
        <v>586</v>
      </c>
      <c r="B69" s="36" t="s">
        <v>396</v>
      </c>
      <c r="D69" s="74" t="s">
        <v>20</v>
      </c>
      <c r="E69" s="67" t="str">
        <f>D69</f>
        <v>U</v>
      </c>
      <c r="F69" s="68" t="str">
        <f t="shared" ref="F69:AD69" si="1022">E69</f>
        <v>U</v>
      </c>
      <c r="G69" s="68" t="str">
        <f t="shared" si="1022"/>
        <v>U</v>
      </c>
      <c r="H69" s="68" t="str">
        <f t="shared" si="1022"/>
        <v>U</v>
      </c>
      <c r="I69" s="68" t="str">
        <f t="shared" si="1022"/>
        <v>U</v>
      </c>
      <c r="J69" s="68" t="str">
        <f t="shared" si="1022"/>
        <v>U</v>
      </c>
      <c r="K69" s="68" t="str">
        <f t="shared" si="1022"/>
        <v>U</v>
      </c>
      <c r="L69" s="68" t="str">
        <f t="shared" si="1022"/>
        <v>U</v>
      </c>
      <c r="M69" s="68" t="str">
        <f t="shared" si="1022"/>
        <v>U</v>
      </c>
      <c r="N69" s="68" t="str">
        <f t="shared" si="1022"/>
        <v>U</v>
      </c>
      <c r="O69" s="68" t="str">
        <f t="shared" si="1022"/>
        <v>U</v>
      </c>
      <c r="P69" s="68" t="str">
        <f t="shared" si="1022"/>
        <v>U</v>
      </c>
      <c r="Q69" s="68" t="str">
        <f t="shared" si="1022"/>
        <v>U</v>
      </c>
      <c r="R69" s="68" t="str">
        <f t="shared" si="1022"/>
        <v>U</v>
      </c>
      <c r="S69" s="68" t="str">
        <f t="shared" si="1022"/>
        <v>U</v>
      </c>
      <c r="T69" s="68" t="str">
        <f t="shared" si="1022"/>
        <v>U</v>
      </c>
      <c r="U69" s="68" t="str">
        <f t="shared" si="1022"/>
        <v>U</v>
      </c>
      <c r="V69" s="68" t="str">
        <f t="shared" si="1022"/>
        <v>U</v>
      </c>
      <c r="W69" s="68" t="str">
        <f t="shared" si="1022"/>
        <v>U</v>
      </c>
      <c r="X69" s="68" t="str">
        <f t="shared" si="1022"/>
        <v>U</v>
      </c>
      <c r="Y69" s="68" t="str">
        <f t="shared" si="1022"/>
        <v>U</v>
      </c>
      <c r="Z69" s="68" t="str">
        <f t="shared" si="1022"/>
        <v>U</v>
      </c>
      <c r="AA69" s="68" t="str">
        <f t="shared" si="1022"/>
        <v>U</v>
      </c>
      <c r="AB69" s="68" t="str">
        <f t="shared" si="1022"/>
        <v>U</v>
      </c>
      <c r="AC69" s="68" t="str">
        <f t="shared" si="1022"/>
        <v>U</v>
      </c>
      <c r="AD69" s="69" t="str">
        <f t="shared" si="1022"/>
        <v>U</v>
      </c>
      <c r="AF69" s="57" t="str">
        <f>LOWER(E68)&amp;UPPER(E69)</f>
        <v>aU</v>
      </c>
      <c r="AG69" s="58" t="str">
        <f>LOWER(F68)&amp;UPPER(F69)</f>
        <v>bU</v>
      </c>
      <c r="AH69" s="58" t="str">
        <f>LOWER(G68)&amp;UPPER(G69)</f>
        <v>cU</v>
      </c>
      <c r="AI69" s="58" t="str">
        <f t="shared" ref="AI69" si="1023">LOWER(H68)&amp;UPPER(H69)</f>
        <v>dU</v>
      </c>
      <c r="AJ69" s="58" t="str">
        <f t="shared" ref="AJ69" si="1024">LOWER(I68)&amp;UPPER(I69)</f>
        <v>eU</v>
      </c>
      <c r="AK69" s="68" t="str">
        <f t="shared" ref="AK69" si="1025">LOWER(J68)&amp;UPPER(J69)</f>
        <v>fU</v>
      </c>
      <c r="AL69" s="58" t="str">
        <f t="shared" ref="AL69" si="1026">LOWER(K68)&amp;UPPER(K69)</f>
        <v>gU</v>
      </c>
      <c r="AM69" s="58" t="str">
        <f t="shared" ref="AM69" si="1027">LOWER(L68)&amp;UPPER(L69)</f>
        <v>hU</v>
      </c>
      <c r="AN69" s="68" t="str">
        <f t="shared" ref="AN69" si="1028">LOWER(M68)&amp;UPPER(M69)</f>
        <v>iU</v>
      </c>
      <c r="AO69" s="68" t="str">
        <f t="shared" ref="AO69" si="1029">LOWER(N68)&amp;UPPER(N69)</f>
        <v>jU</v>
      </c>
      <c r="AP69" s="68" t="str">
        <f t="shared" ref="AP69" si="1030">LOWER(O68)&amp;UPPER(O69)</f>
        <v>kU</v>
      </c>
      <c r="AQ69" s="68" t="str">
        <f t="shared" ref="AQ69" si="1031">LOWER(P68)&amp;UPPER(P69)</f>
        <v>lU</v>
      </c>
      <c r="AR69" s="68" t="str">
        <f t="shared" ref="AR69" si="1032">LOWER(Q68)&amp;UPPER(Q69)</f>
        <v>mU</v>
      </c>
      <c r="AS69" s="68" t="str">
        <f t="shared" ref="AS69" si="1033">LOWER(R68)&amp;UPPER(R69)</f>
        <v>nU</v>
      </c>
      <c r="AT69" s="68" t="str">
        <f t="shared" ref="AT69" si="1034">LOWER(S68)&amp;UPPER(S69)</f>
        <v>oU</v>
      </c>
      <c r="AU69" s="68" t="str">
        <f t="shared" ref="AU69" si="1035">LOWER(T68)&amp;UPPER(T69)</f>
        <v>pU</v>
      </c>
      <c r="AV69" s="68" t="str">
        <f t="shared" ref="AV69" si="1036">LOWER(U68)&amp;UPPER(U69)</f>
        <v>qU</v>
      </c>
      <c r="AW69" s="68" t="str">
        <f t="shared" ref="AW69" si="1037">LOWER(V68)&amp;UPPER(V69)</f>
        <v>rU</v>
      </c>
      <c r="AX69" s="68" t="str">
        <f t="shared" ref="AX69" si="1038">LOWER(W68)&amp;UPPER(W69)</f>
        <v>sU</v>
      </c>
      <c r="AY69" s="68" t="str">
        <f t="shared" ref="AY69" si="1039">LOWER(X68)&amp;UPPER(X69)</f>
        <v>tU</v>
      </c>
      <c r="AZ69" s="68" t="str">
        <f t="shared" ref="AZ69" si="1040">LOWER(Y68)&amp;UPPER(Y69)</f>
        <v>uU</v>
      </c>
      <c r="BA69" s="68" t="str">
        <f t="shared" ref="BA69" si="1041">LOWER(Z68)&amp;UPPER(Z69)</f>
        <v>vU</v>
      </c>
      <c r="BB69" s="68" t="str">
        <f t="shared" ref="BB69" si="1042">LOWER(AA68)&amp;UPPER(AA69)</f>
        <v>wU</v>
      </c>
      <c r="BC69" s="68" t="str">
        <f t="shared" ref="BC69" si="1043">LOWER(AB68)&amp;UPPER(AB69)</f>
        <v>xU</v>
      </c>
      <c r="BD69" s="68" t="str">
        <f t="shared" ref="BD69" si="1044">LOWER(AC68)&amp;UPPER(AC69)</f>
        <v>yU</v>
      </c>
      <c r="BE69" s="69" t="str">
        <f t="shared" ref="BE69" si="1045">LOWER(AD68)&amp;UPPER(AD69)</f>
        <v>zU</v>
      </c>
      <c r="BG69" s="67"/>
      <c r="BH69" s="68"/>
      <c r="BI69" s="68"/>
      <c r="BJ69" s="68"/>
      <c r="BK69" s="68"/>
      <c r="BL69" s="68"/>
      <c r="BM69" s="68"/>
      <c r="BN69" s="68"/>
      <c r="BO69" s="68"/>
      <c r="BP69" s="68"/>
      <c r="BQ69" s="68"/>
      <c r="BR69" s="68"/>
      <c r="BS69" s="68"/>
      <c r="BT69" s="68"/>
      <c r="BU69" s="68"/>
      <c r="BV69" s="68"/>
      <c r="BW69" s="68"/>
      <c r="BX69" s="68"/>
      <c r="BY69" s="68"/>
      <c r="BZ69" s="68"/>
      <c r="CA69" s="68"/>
      <c r="CB69" s="68"/>
      <c r="CC69" s="68"/>
      <c r="CD69" s="68"/>
      <c r="CE69" s="68"/>
      <c r="CF69" s="69"/>
    </row>
    <row r="70" spans="1:84" x14ac:dyDescent="0.35">
      <c r="A70" s="35" t="s">
        <v>586</v>
      </c>
      <c r="B70" s="36" t="s">
        <v>395</v>
      </c>
      <c r="D70" s="73"/>
      <c r="E70" s="64" t="s">
        <v>397</v>
      </c>
      <c r="F70" s="65" t="s">
        <v>398</v>
      </c>
      <c r="G70" s="65" t="s">
        <v>399</v>
      </c>
      <c r="H70" s="65" t="s">
        <v>400</v>
      </c>
      <c r="I70" s="65" t="s">
        <v>401</v>
      </c>
      <c r="J70" s="65" t="s">
        <v>402</v>
      </c>
      <c r="K70" s="65" t="s">
        <v>403</v>
      </c>
      <c r="L70" s="65" t="s">
        <v>404</v>
      </c>
      <c r="M70" s="65" t="s">
        <v>405</v>
      </c>
      <c r="N70" s="65" t="s">
        <v>406</v>
      </c>
      <c r="O70" s="65" t="s">
        <v>407</v>
      </c>
      <c r="P70" s="65" t="s">
        <v>408</v>
      </c>
      <c r="Q70" s="65" t="s">
        <v>409</v>
      </c>
      <c r="R70" s="65" t="s">
        <v>410</v>
      </c>
      <c r="S70" s="65" t="s">
        <v>411</v>
      </c>
      <c r="T70" s="65" t="s">
        <v>412</v>
      </c>
      <c r="U70" s="65" t="s">
        <v>413</v>
      </c>
      <c r="V70" s="65" t="s">
        <v>414</v>
      </c>
      <c r="W70" s="65" t="s">
        <v>415</v>
      </c>
      <c r="X70" s="65" t="s">
        <v>416</v>
      </c>
      <c r="Y70" s="65" t="s">
        <v>417</v>
      </c>
      <c r="Z70" s="65" t="s">
        <v>418</v>
      </c>
      <c r="AA70" s="65" t="s">
        <v>419</v>
      </c>
      <c r="AB70" s="65" t="s">
        <v>420</v>
      </c>
      <c r="AC70" s="65" t="s">
        <v>421</v>
      </c>
      <c r="AD70" s="66" t="s">
        <v>422</v>
      </c>
      <c r="AF70" s="54" t="str">
        <f>LOWER(E71)&amp;UPPER(E70)</f>
        <v>vA</v>
      </c>
      <c r="AG70" s="55" t="str">
        <f>LOWER(F71)&amp;UPPER(F70)</f>
        <v>vB</v>
      </c>
      <c r="AH70" s="71" t="str">
        <f>LOWER(G71)&amp;UPPER(G70)</f>
        <v>vC</v>
      </c>
      <c r="AI70" s="55" t="str">
        <f t="shared" ref="AI70" si="1046">LOWER(H71)&amp;UPPER(H70)</f>
        <v>vD</v>
      </c>
      <c r="AJ70" s="55" t="str">
        <f t="shared" ref="AJ70" si="1047">LOWER(I71)&amp;UPPER(I70)</f>
        <v>vE</v>
      </c>
      <c r="AK70" s="71" t="str">
        <f t="shared" ref="AK70" si="1048">LOWER(J71)&amp;UPPER(J70)</f>
        <v>vF</v>
      </c>
      <c r="AL70" s="71" t="str">
        <f t="shared" ref="AL70" si="1049">LOWER(K71)&amp;UPPER(K70)</f>
        <v>vG</v>
      </c>
      <c r="AM70" s="55" t="str">
        <f t="shared" ref="AM70" si="1050">LOWER(L71)&amp;UPPER(L70)</f>
        <v>vH</v>
      </c>
      <c r="AN70" s="71" t="str">
        <f t="shared" ref="AN70" si="1051">LOWER(M71)&amp;UPPER(M70)</f>
        <v>vI</v>
      </c>
      <c r="AO70" s="71" t="str">
        <f t="shared" ref="AO70" si="1052">LOWER(N71)&amp;UPPER(N70)</f>
        <v>vJ</v>
      </c>
      <c r="AP70" s="71" t="str">
        <f t="shared" ref="AP70" si="1053">LOWER(O71)&amp;UPPER(O70)</f>
        <v>vK</v>
      </c>
      <c r="AQ70" s="71" t="str">
        <f t="shared" ref="AQ70" si="1054">LOWER(P71)&amp;UPPER(P70)</f>
        <v>vL</v>
      </c>
      <c r="AR70" s="71" t="str">
        <f t="shared" ref="AR70" si="1055">LOWER(Q71)&amp;UPPER(Q70)</f>
        <v>vM</v>
      </c>
      <c r="AS70" s="71" t="str">
        <f t="shared" ref="AS70" si="1056">LOWER(R71)&amp;UPPER(R70)</f>
        <v>vN</v>
      </c>
      <c r="AT70" s="71" t="str">
        <f t="shared" ref="AT70" si="1057">LOWER(S71)&amp;UPPER(S70)</f>
        <v>vO</v>
      </c>
      <c r="AU70" s="71" t="str">
        <f t="shared" ref="AU70" si="1058">LOWER(T71)&amp;UPPER(T70)</f>
        <v>vP</v>
      </c>
      <c r="AV70" s="71" t="str">
        <f t="shared" ref="AV70" si="1059">LOWER(U71)&amp;UPPER(U70)</f>
        <v>vQ</v>
      </c>
      <c r="AW70" s="71" t="str">
        <f t="shared" ref="AW70" si="1060">LOWER(V71)&amp;UPPER(V70)</f>
        <v>vR</v>
      </c>
      <c r="AX70" s="71" t="str">
        <f t="shared" ref="AX70" si="1061">LOWER(W71)&amp;UPPER(W70)</f>
        <v>vS</v>
      </c>
      <c r="AY70" s="71" t="str">
        <f t="shared" ref="AY70" si="1062">LOWER(X71)&amp;UPPER(X70)</f>
        <v>vT</v>
      </c>
      <c r="AZ70" s="71" t="str">
        <f t="shared" ref="AZ70" si="1063">LOWER(Y71)&amp;UPPER(Y70)</f>
        <v>vU</v>
      </c>
      <c r="BA70" s="71" t="str">
        <f t="shared" ref="BA70" si="1064">LOWER(Z71)&amp;UPPER(Z70)</f>
        <v>vV</v>
      </c>
      <c r="BB70" s="71" t="str">
        <f t="shared" ref="BB70" si="1065">LOWER(AA71)&amp;UPPER(AA70)</f>
        <v>vW</v>
      </c>
      <c r="BC70" s="71" t="str">
        <f t="shared" ref="BC70" si="1066">LOWER(AB71)&amp;UPPER(AB70)</f>
        <v>vX</v>
      </c>
      <c r="BD70" s="71" t="str">
        <f t="shared" ref="BD70" si="1067">LOWER(AC71)&amp;UPPER(AC70)</f>
        <v>vY</v>
      </c>
      <c r="BE70" s="72" t="str">
        <f t="shared" ref="BE70" si="1068">LOWER(AD71)&amp;UPPER(AD70)</f>
        <v>vZ</v>
      </c>
      <c r="BG70" s="70"/>
      <c r="BH70" s="71"/>
      <c r="BI70" s="71"/>
      <c r="BJ70" s="71"/>
      <c r="BK70" s="71"/>
      <c r="BL70" s="71"/>
      <c r="BM70" s="71"/>
      <c r="BN70" s="71"/>
      <c r="BO70" s="71"/>
      <c r="BP70" s="71"/>
      <c r="BQ70" s="71"/>
      <c r="BR70" s="71"/>
      <c r="BS70" s="71"/>
      <c r="BT70" s="71"/>
      <c r="BU70" s="71"/>
      <c r="BV70" s="71"/>
      <c r="BW70" s="71"/>
      <c r="BX70" s="71"/>
      <c r="BY70" s="71"/>
      <c r="BZ70" s="71"/>
      <c r="CA70" s="71"/>
      <c r="CB70" s="71"/>
      <c r="CC70" s="71"/>
      <c r="CD70" s="71"/>
      <c r="CE70" s="71"/>
      <c r="CF70" s="72"/>
    </row>
    <row r="71" spans="1:84" x14ac:dyDescent="0.35">
      <c r="A71" s="37" t="s">
        <v>586</v>
      </c>
      <c r="B71" s="36" t="s">
        <v>396</v>
      </c>
      <c r="D71" s="74" t="s">
        <v>21</v>
      </c>
      <c r="E71" s="67" t="str">
        <f>D71</f>
        <v>V</v>
      </c>
      <c r="F71" s="68" t="str">
        <f t="shared" ref="F71:AD71" si="1069">E71</f>
        <v>V</v>
      </c>
      <c r="G71" s="68" t="str">
        <f t="shared" si="1069"/>
        <v>V</v>
      </c>
      <c r="H71" s="68" t="str">
        <f t="shared" si="1069"/>
        <v>V</v>
      </c>
      <c r="I71" s="68" t="str">
        <f t="shared" si="1069"/>
        <v>V</v>
      </c>
      <c r="J71" s="68" t="str">
        <f t="shared" si="1069"/>
        <v>V</v>
      </c>
      <c r="K71" s="68" t="str">
        <f t="shared" si="1069"/>
        <v>V</v>
      </c>
      <c r="L71" s="68" t="str">
        <f t="shared" si="1069"/>
        <v>V</v>
      </c>
      <c r="M71" s="68" t="str">
        <f t="shared" si="1069"/>
        <v>V</v>
      </c>
      <c r="N71" s="68" t="str">
        <f t="shared" si="1069"/>
        <v>V</v>
      </c>
      <c r="O71" s="68" t="str">
        <f t="shared" si="1069"/>
        <v>V</v>
      </c>
      <c r="P71" s="68" t="str">
        <f t="shared" si="1069"/>
        <v>V</v>
      </c>
      <c r="Q71" s="68" t="str">
        <f t="shared" si="1069"/>
        <v>V</v>
      </c>
      <c r="R71" s="68" t="str">
        <f t="shared" si="1069"/>
        <v>V</v>
      </c>
      <c r="S71" s="68" t="str">
        <f t="shared" si="1069"/>
        <v>V</v>
      </c>
      <c r="T71" s="68" t="str">
        <f t="shared" si="1069"/>
        <v>V</v>
      </c>
      <c r="U71" s="68" t="str">
        <f t="shared" si="1069"/>
        <v>V</v>
      </c>
      <c r="V71" s="68" t="str">
        <f t="shared" si="1069"/>
        <v>V</v>
      </c>
      <c r="W71" s="68" t="str">
        <f t="shared" si="1069"/>
        <v>V</v>
      </c>
      <c r="X71" s="68" t="str">
        <f t="shared" si="1069"/>
        <v>V</v>
      </c>
      <c r="Y71" s="68" t="str">
        <f t="shared" si="1069"/>
        <v>V</v>
      </c>
      <c r="Z71" s="68" t="str">
        <f t="shared" si="1069"/>
        <v>V</v>
      </c>
      <c r="AA71" s="68" t="str">
        <f t="shared" si="1069"/>
        <v>V</v>
      </c>
      <c r="AB71" s="68" t="str">
        <f t="shared" si="1069"/>
        <v>V</v>
      </c>
      <c r="AC71" s="68" t="str">
        <f t="shared" si="1069"/>
        <v>V</v>
      </c>
      <c r="AD71" s="69" t="str">
        <f t="shared" si="1069"/>
        <v>V</v>
      </c>
      <c r="AF71" s="57" t="str">
        <f>LOWER(E70)&amp;UPPER(E71)</f>
        <v>aV</v>
      </c>
      <c r="AG71" s="58" t="str">
        <f>LOWER(F70)&amp;UPPER(F71)</f>
        <v>bV</v>
      </c>
      <c r="AH71" s="68" t="str">
        <f>LOWER(G70)&amp;UPPER(G71)</f>
        <v>cV</v>
      </c>
      <c r="AI71" s="58" t="str">
        <f t="shared" ref="AI71" si="1070">LOWER(H70)&amp;UPPER(H71)</f>
        <v>dV</v>
      </c>
      <c r="AJ71" s="58" t="str">
        <f t="shared" ref="AJ71" si="1071">LOWER(I70)&amp;UPPER(I71)</f>
        <v>eV</v>
      </c>
      <c r="AK71" s="68" t="str">
        <f t="shared" ref="AK71" si="1072">LOWER(J70)&amp;UPPER(J71)</f>
        <v>fV</v>
      </c>
      <c r="AL71" s="68" t="str">
        <f t="shared" ref="AL71" si="1073">LOWER(K70)&amp;UPPER(K71)</f>
        <v>gV</v>
      </c>
      <c r="AM71" s="58" t="str">
        <f t="shared" ref="AM71" si="1074">LOWER(L70)&amp;UPPER(L71)</f>
        <v>hV</v>
      </c>
      <c r="AN71" s="68" t="str">
        <f t="shared" ref="AN71" si="1075">LOWER(M70)&amp;UPPER(M71)</f>
        <v>iV</v>
      </c>
      <c r="AO71" s="68" t="str">
        <f t="shared" ref="AO71" si="1076">LOWER(N70)&amp;UPPER(N71)</f>
        <v>jV</v>
      </c>
      <c r="AP71" s="68" t="str">
        <f t="shared" ref="AP71" si="1077">LOWER(O70)&amp;UPPER(O71)</f>
        <v>kV</v>
      </c>
      <c r="AQ71" s="68" t="str">
        <f t="shared" ref="AQ71" si="1078">LOWER(P70)&amp;UPPER(P71)</f>
        <v>lV</v>
      </c>
      <c r="AR71" s="68" t="str">
        <f t="shared" ref="AR71" si="1079">LOWER(Q70)&amp;UPPER(Q71)</f>
        <v>mV</v>
      </c>
      <c r="AS71" s="68" t="str">
        <f t="shared" ref="AS71" si="1080">LOWER(R70)&amp;UPPER(R71)</f>
        <v>nV</v>
      </c>
      <c r="AT71" s="68" t="str">
        <f t="shared" ref="AT71" si="1081">LOWER(S70)&amp;UPPER(S71)</f>
        <v>oV</v>
      </c>
      <c r="AU71" s="68" t="str">
        <f t="shared" ref="AU71" si="1082">LOWER(T70)&amp;UPPER(T71)</f>
        <v>pV</v>
      </c>
      <c r="AV71" s="68" t="str">
        <f t="shared" ref="AV71" si="1083">LOWER(U70)&amp;UPPER(U71)</f>
        <v>qV</v>
      </c>
      <c r="AW71" s="68" t="str">
        <f t="shared" ref="AW71" si="1084">LOWER(V70)&amp;UPPER(V71)</f>
        <v>rV</v>
      </c>
      <c r="AX71" s="68" t="str">
        <f t="shared" ref="AX71" si="1085">LOWER(W70)&amp;UPPER(W71)</f>
        <v>sV</v>
      </c>
      <c r="AY71" s="68" t="str">
        <f t="shared" ref="AY71" si="1086">LOWER(X70)&amp;UPPER(X71)</f>
        <v>tV</v>
      </c>
      <c r="AZ71" s="68" t="str">
        <f t="shared" ref="AZ71" si="1087">LOWER(Y70)&amp;UPPER(Y71)</f>
        <v>uV</v>
      </c>
      <c r="BA71" s="68" t="str">
        <f t="shared" ref="BA71" si="1088">LOWER(Z70)&amp;UPPER(Z71)</f>
        <v>vV</v>
      </c>
      <c r="BB71" s="68" t="str">
        <f t="shared" ref="BB71" si="1089">LOWER(AA70)&amp;UPPER(AA71)</f>
        <v>wV</v>
      </c>
      <c r="BC71" s="68" t="str">
        <f t="shared" ref="BC71" si="1090">LOWER(AB70)&amp;UPPER(AB71)</f>
        <v>xV</v>
      </c>
      <c r="BD71" s="68" t="str">
        <f t="shared" ref="BD71" si="1091">LOWER(AC70)&amp;UPPER(AC71)</f>
        <v>yV</v>
      </c>
      <c r="BE71" s="69" t="str">
        <f t="shared" ref="BE71" si="1092">LOWER(AD70)&amp;UPPER(AD71)</f>
        <v>zV</v>
      </c>
      <c r="BG71" s="67"/>
      <c r="BH71" s="68"/>
      <c r="BI71" s="68"/>
      <c r="BJ71" s="68"/>
      <c r="BK71" s="68"/>
      <c r="BL71" s="68"/>
      <c r="BM71" s="68"/>
      <c r="BN71" s="68"/>
      <c r="BO71" s="68"/>
      <c r="BP71" s="68"/>
      <c r="BQ71" s="68"/>
      <c r="BR71" s="68"/>
      <c r="BS71" s="68"/>
      <c r="BT71" s="68"/>
      <c r="BU71" s="68"/>
      <c r="BV71" s="68"/>
      <c r="BW71" s="68"/>
      <c r="BX71" s="68"/>
      <c r="BY71" s="68"/>
      <c r="BZ71" s="68"/>
      <c r="CA71" s="68"/>
      <c r="CB71" s="68"/>
      <c r="CC71" s="68"/>
      <c r="CD71" s="68"/>
      <c r="CE71" s="68"/>
      <c r="CF71" s="69"/>
    </row>
    <row r="72" spans="1:84" x14ac:dyDescent="0.35">
      <c r="A72" s="35" t="s">
        <v>586</v>
      </c>
      <c r="B72" s="36" t="s">
        <v>395</v>
      </c>
      <c r="D72" s="73"/>
      <c r="E72" s="64" t="s">
        <v>397</v>
      </c>
      <c r="F72" s="65" t="s">
        <v>398</v>
      </c>
      <c r="G72" s="65" t="s">
        <v>399</v>
      </c>
      <c r="H72" s="65" t="s">
        <v>400</v>
      </c>
      <c r="I72" s="65" t="s">
        <v>401</v>
      </c>
      <c r="J72" s="65" t="s">
        <v>402</v>
      </c>
      <c r="K72" s="65" t="s">
        <v>403</v>
      </c>
      <c r="L72" s="65" t="s">
        <v>404</v>
      </c>
      <c r="M72" s="65" t="s">
        <v>405</v>
      </c>
      <c r="N72" s="65" t="s">
        <v>406</v>
      </c>
      <c r="O72" s="65" t="s">
        <v>407</v>
      </c>
      <c r="P72" s="65" t="s">
        <v>408</v>
      </c>
      <c r="Q72" s="65" t="s">
        <v>409</v>
      </c>
      <c r="R72" s="65" t="s">
        <v>410</v>
      </c>
      <c r="S72" s="65" t="s">
        <v>411</v>
      </c>
      <c r="T72" s="65" t="s">
        <v>412</v>
      </c>
      <c r="U72" s="65" t="s">
        <v>413</v>
      </c>
      <c r="V72" s="65" t="s">
        <v>414</v>
      </c>
      <c r="W72" s="65" t="s">
        <v>415</v>
      </c>
      <c r="X72" s="65" t="s">
        <v>416</v>
      </c>
      <c r="Y72" s="65" t="s">
        <v>417</v>
      </c>
      <c r="Z72" s="65" t="s">
        <v>418</v>
      </c>
      <c r="AA72" s="65" t="s">
        <v>419</v>
      </c>
      <c r="AB72" s="65" t="s">
        <v>420</v>
      </c>
      <c r="AC72" s="65" t="s">
        <v>421</v>
      </c>
      <c r="AD72" s="66" t="s">
        <v>422</v>
      </c>
      <c r="AF72" s="54" t="str">
        <f>LOWER(E73)&amp;UPPER(E72)</f>
        <v>wA</v>
      </c>
      <c r="AG72" s="55" t="str">
        <f>LOWER(F73)&amp;UPPER(F72)</f>
        <v>wB</v>
      </c>
      <c r="AH72" s="71" t="str">
        <f>LOWER(G73)&amp;UPPER(G72)</f>
        <v>wC</v>
      </c>
      <c r="AI72" s="55" t="str">
        <f t="shared" ref="AI72" si="1093">LOWER(H73)&amp;UPPER(H72)</f>
        <v>wD</v>
      </c>
      <c r="AJ72" s="55" t="str">
        <f t="shared" ref="AJ72" si="1094">LOWER(I73)&amp;UPPER(I72)</f>
        <v>wE</v>
      </c>
      <c r="AK72" s="71" t="str">
        <f t="shared" ref="AK72" si="1095">LOWER(J73)&amp;UPPER(J72)</f>
        <v>wF</v>
      </c>
      <c r="AL72" s="71" t="str">
        <f t="shared" ref="AL72" si="1096">LOWER(K73)&amp;UPPER(K72)</f>
        <v>wG</v>
      </c>
      <c r="AM72" s="55" t="str">
        <f t="shared" ref="AM72" si="1097">LOWER(L73)&amp;UPPER(L72)</f>
        <v>wH</v>
      </c>
      <c r="AN72" s="71" t="str">
        <f t="shared" ref="AN72" si="1098">LOWER(M73)&amp;UPPER(M72)</f>
        <v>wI</v>
      </c>
      <c r="AO72" s="71" t="str">
        <f t="shared" ref="AO72" si="1099">LOWER(N73)&amp;UPPER(N72)</f>
        <v>wJ</v>
      </c>
      <c r="AP72" s="71" t="str">
        <f t="shared" ref="AP72" si="1100">LOWER(O73)&amp;UPPER(O72)</f>
        <v>wK</v>
      </c>
      <c r="AQ72" s="71" t="str">
        <f t="shared" ref="AQ72" si="1101">LOWER(P73)&amp;UPPER(P72)</f>
        <v>wL</v>
      </c>
      <c r="AR72" s="71" t="str">
        <f t="shared" ref="AR72" si="1102">LOWER(Q73)&amp;UPPER(Q72)</f>
        <v>wM</v>
      </c>
      <c r="AS72" s="71" t="str">
        <f t="shared" ref="AS72" si="1103">LOWER(R73)&amp;UPPER(R72)</f>
        <v>wN</v>
      </c>
      <c r="AT72" s="71" t="str">
        <f t="shared" ref="AT72" si="1104">LOWER(S73)&amp;UPPER(S72)</f>
        <v>wO</v>
      </c>
      <c r="AU72" s="71" t="str">
        <f t="shared" ref="AU72" si="1105">LOWER(T73)&amp;UPPER(T72)</f>
        <v>wP</v>
      </c>
      <c r="AV72" s="71" t="str">
        <f t="shared" ref="AV72" si="1106">LOWER(U73)&amp;UPPER(U72)</f>
        <v>wQ</v>
      </c>
      <c r="AW72" s="71" t="str">
        <f t="shared" ref="AW72" si="1107">LOWER(V73)&amp;UPPER(V72)</f>
        <v>wR</v>
      </c>
      <c r="AX72" s="71" t="str">
        <f t="shared" ref="AX72" si="1108">LOWER(W73)&amp;UPPER(W72)</f>
        <v>wS</v>
      </c>
      <c r="AY72" s="71" t="str">
        <f t="shared" ref="AY72" si="1109">LOWER(X73)&amp;UPPER(X72)</f>
        <v>wT</v>
      </c>
      <c r="AZ72" s="71" t="str">
        <f t="shared" ref="AZ72" si="1110">LOWER(Y73)&amp;UPPER(Y72)</f>
        <v>wU</v>
      </c>
      <c r="BA72" s="71" t="str">
        <f t="shared" ref="BA72" si="1111">LOWER(Z73)&amp;UPPER(Z72)</f>
        <v>wV</v>
      </c>
      <c r="BB72" s="71" t="str">
        <f t="shared" ref="BB72" si="1112">LOWER(AA73)&amp;UPPER(AA72)</f>
        <v>wW</v>
      </c>
      <c r="BC72" s="71" t="str">
        <f t="shared" ref="BC72" si="1113">LOWER(AB73)&amp;UPPER(AB72)</f>
        <v>wX</v>
      </c>
      <c r="BD72" s="71" t="str">
        <f t="shared" ref="BD72" si="1114">LOWER(AC73)&amp;UPPER(AC72)</f>
        <v>wY</v>
      </c>
      <c r="BE72" s="72" t="str">
        <f t="shared" ref="BE72" si="1115">LOWER(AD73)&amp;UPPER(AD72)</f>
        <v>wZ</v>
      </c>
      <c r="BG72" s="70"/>
      <c r="BH72" s="71"/>
      <c r="BI72" s="71"/>
      <c r="BJ72" s="71"/>
      <c r="BK72" s="71"/>
      <c r="BL72" s="71"/>
      <c r="BM72" s="71"/>
      <c r="BN72" s="71"/>
      <c r="BO72" s="71"/>
      <c r="BP72" s="71"/>
      <c r="BQ72" s="71"/>
      <c r="BR72" s="71"/>
      <c r="BS72" s="71"/>
      <c r="BT72" s="71"/>
      <c r="BU72" s="71"/>
      <c r="BV72" s="71"/>
      <c r="BW72" s="71"/>
      <c r="BX72" s="71"/>
      <c r="BY72" s="71"/>
      <c r="BZ72" s="71"/>
      <c r="CA72" s="71"/>
      <c r="CB72" s="71"/>
      <c r="CC72" s="71"/>
      <c r="CD72" s="71"/>
      <c r="CE72" s="71"/>
      <c r="CF72" s="72"/>
    </row>
    <row r="73" spans="1:84" x14ac:dyDescent="0.35">
      <c r="A73" s="37" t="s">
        <v>586</v>
      </c>
      <c r="B73" s="36" t="s">
        <v>396</v>
      </c>
      <c r="D73" s="74" t="s">
        <v>22</v>
      </c>
      <c r="E73" s="67" t="str">
        <f>D73</f>
        <v>W</v>
      </c>
      <c r="F73" s="68" t="str">
        <f t="shared" ref="F73:AD73" si="1116">E73</f>
        <v>W</v>
      </c>
      <c r="G73" s="68" t="str">
        <f t="shared" si="1116"/>
        <v>W</v>
      </c>
      <c r="H73" s="68" t="str">
        <f t="shared" si="1116"/>
        <v>W</v>
      </c>
      <c r="I73" s="68" t="str">
        <f t="shared" si="1116"/>
        <v>W</v>
      </c>
      <c r="J73" s="68" t="str">
        <f t="shared" si="1116"/>
        <v>W</v>
      </c>
      <c r="K73" s="68" t="str">
        <f t="shared" si="1116"/>
        <v>W</v>
      </c>
      <c r="L73" s="68" t="str">
        <f t="shared" si="1116"/>
        <v>W</v>
      </c>
      <c r="M73" s="68" t="str">
        <f t="shared" si="1116"/>
        <v>W</v>
      </c>
      <c r="N73" s="68" t="str">
        <f t="shared" si="1116"/>
        <v>W</v>
      </c>
      <c r="O73" s="68" t="str">
        <f t="shared" si="1116"/>
        <v>W</v>
      </c>
      <c r="P73" s="68" t="str">
        <f t="shared" si="1116"/>
        <v>W</v>
      </c>
      <c r="Q73" s="68" t="str">
        <f t="shared" si="1116"/>
        <v>W</v>
      </c>
      <c r="R73" s="68" t="str">
        <f t="shared" si="1116"/>
        <v>W</v>
      </c>
      <c r="S73" s="68" t="str">
        <f t="shared" si="1116"/>
        <v>W</v>
      </c>
      <c r="T73" s="68" t="str">
        <f t="shared" si="1116"/>
        <v>W</v>
      </c>
      <c r="U73" s="68" t="str">
        <f t="shared" si="1116"/>
        <v>W</v>
      </c>
      <c r="V73" s="68" t="str">
        <f t="shared" si="1116"/>
        <v>W</v>
      </c>
      <c r="W73" s="68" t="str">
        <f t="shared" si="1116"/>
        <v>W</v>
      </c>
      <c r="X73" s="68" t="str">
        <f t="shared" si="1116"/>
        <v>W</v>
      </c>
      <c r="Y73" s="68" t="str">
        <f t="shared" si="1116"/>
        <v>W</v>
      </c>
      <c r="Z73" s="68" t="str">
        <f t="shared" si="1116"/>
        <v>W</v>
      </c>
      <c r="AA73" s="68" t="str">
        <f t="shared" si="1116"/>
        <v>W</v>
      </c>
      <c r="AB73" s="68" t="str">
        <f t="shared" si="1116"/>
        <v>W</v>
      </c>
      <c r="AC73" s="68" t="str">
        <f t="shared" si="1116"/>
        <v>W</v>
      </c>
      <c r="AD73" s="69" t="str">
        <f t="shared" si="1116"/>
        <v>W</v>
      </c>
      <c r="AF73" s="57" t="str">
        <f>LOWER(E72)&amp;UPPER(E73)</f>
        <v>aW</v>
      </c>
      <c r="AG73" s="58" t="str">
        <f>LOWER(F72)&amp;UPPER(F73)</f>
        <v>bW</v>
      </c>
      <c r="AH73" s="68" t="str">
        <f>LOWER(G72)&amp;UPPER(G73)</f>
        <v>cW</v>
      </c>
      <c r="AI73" s="58" t="str">
        <f t="shared" ref="AI73" si="1117">LOWER(H72)&amp;UPPER(H73)</f>
        <v>dW</v>
      </c>
      <c r="AJ73" s="58" t="str">
        <f t="shared" ref="AJ73" si="1118">LOWER(I72)&amp;UPPER(I73)</f>
        <v>eW</v>
      </c>
      <c r="AK73" s="68" t="str">
        <f t="shared" ref="AK73" si="1119">LOWER(J72)&amp;UPPER(J73)</f>
        <v>fW</v>
      </c>
      <c r="AL73" s="68" t="str">
        <f t="shared" ref="AL73" si="1120">LOWER(K72)&amp;UPPER(K73)</f>
        <v>gW</v>
      </c>
      <c r="AM73" s="58" t="str">
        <f t="shared" ref="AM73" si="1121">LOWER(L72)&amp;UPPER(L73)</f>
        <v>hW</v>
      </c>
      <c r="AN73" s="68" t="str">
        <f t="shared" ref="AN73" si="1122">LOWER(M72)&amp;UPPER(M73)</f>
        <v>iW</v>
      </c>
      <c r="AO73" s="68" t="str">
        <f t="shared" ref="AO73" si="1123">LOWER(N72)&amp;UPPER(N73)</f>
        <v>jW</v>
      </c>
      <c r="AP73" s="68" t="str">
        <f t="shared" ref="AP73" si="1124">LOWER(O72)&amp;UPPER(O73)</f>
        <v>kW</v>
      </c>
      <c r="AQ73" s="68" t="str">
        <f t="shared" ref="AQ73" si="1125">LOWER(P72)&amp;UPPER(P73)</f>
        <v>lW</v>
      </c>
      <c r="AR73" s="68" t="str">
        <f t="shared" ref="AR73" si="1126">LOWER(Q72)&amp;UPPER(Q73)</f>
        <v>mW</v>
      </c>
      <c r="AS73" s="68" t="str">
        <f t="shared" ref="AS73" si="1127">LOWER(R72)&amp;UPPER(R73)</f>
        <v>nW</v>
      </c>
      <c r="AT73" s="68" t="str">
        <f t="shared" ref="AT73" si="1128">LOWER(S72)&amp;UPPER(S73)</f>
        <v>oW</v>
      </c>
      <c r="AU73" s="68" t="str">
        <f t="shared" ref="AU73" si="1129">LOWER(T72)&amp;UPPER(T73)</f>
        <v>pW</v>
      </c>
      <c r="AV73" s="68" t="str">
        <f t="shared" ref="AV73" si="1130">LOWER(U72)&amp;UPPER(U73)</f>
        <v>qW</v>
      </c>
      <c r="AW73" s="68" t="str">
        <f t="shared" ref="AW73" si="1131">LOWER(V72)&amp;UPPER(V73)</f>
        <v>rW</v>
      </c>
      <c r="AX73" s="68" t="str">
        <f t="shared" ref="AX73" si="1132">LOWER(W72)&amp;UPPER(W73)</f>
        <v>sW</v>
      </c>
      <c r="AY73" s="68" t="str">
        <f t="shared" ref="AY73" si="1133">LOWER(X72)&amp;UPPER(X73)</f>
        <v>tW</v>
      </c>
      <c r="AZ73" s="68" t="str">
        <f t="shared" ref="AZ73" si="1134">LOWER(Y72)&amp;UPPER(Y73)</f>
        <v>uW</v>
      </c>
      <c r="BA73" s="68" t="str">
        <f t="shared" ref="BA73" si="1135">LOWER(Z72)&amp;UPPER(Z73)</f>
        <v>vW</v>
      </c>
      <c r="BB73" s="68" t="str">
        <f t="shared" ref="BB73" si="1136">LOWER(AA72)&amp;UPPER(AA73)</f>
        <v>wW</v>
      </c>
      <c r="BC73" s="68" t="str">
        <f t="shared" ref="BC73" si="1137">LOWER(AB72)&amp;UPPER(AB73)</f>
        <v>xW</v>
      </c>
      <c r="BD73" s="68" t="str">
        <f t="shared" ref="BD73" si="1138">LOWER(AC72)&amp;UPPER(AC73)</f>
        <v>yW</v>
      </c>
      <c r="BE73" s="69" t="str">
        <f t="shared" ref="BE73" si="1139">LOWER(AD72)&amp;UPPER(AD73)</f>
        <v>zW</v>
      </c>
      <c r="BG73" s="67"/>
      <c r="BH73" s="68"/>
      <c r="BI73" s="68"/>
      <c r="BJ73" s="68"/>
      <c r="BK73" s="68"/>
      <c r="BL73" s="68"/>
      <c r="BM73" s="68"/>
      <c r="BN73" s="68"/>
      <c r="BO73" s="68"/>
      <c r="BP73" s="68"/>
      <c r="BQ73" s="68"/>
      <c r="BR73" s="68"/>
      <c r="BS73" s="68"/>
      <c r="BT73" s="68"/>
      <c r="BU73" s="68"/>
      <c r="BV73" s="68"/>
      <c r="BW73" s="68"/>
      <c r="BX73" s="68"/>
      <c r="BY73" s="68"/>
      <c r="BZ73" s="68"/>
      <c r="CA73" s="68"/>
      <c r="CB73" s="68"/>
      <c r="CC73" s="68"/>
      <c r="CD73" s="68"/>
      <c r="CE73" s="68"/>
      <c r="CF73" s="69"/>
    </row>
    <row r="74" spans="1:84" x14ac:dyDescent="0.35">
      <c r="A74" s="35" t="s">
        <v>586</v>
      </c>
      <c r="B74" s="36" t="s">
        <v>395</v>
      </c>
      <c r="D74" s="73"/>
      <c r="E74" s="64" t="s">
        <v>397</v>
      </c>
      <c r="F74" s="65" t="s">
        <v>398</v>
      </c>
      <c r="G74" s="65" t="s">
        <v>399</v>
      </c>
      <c r="H74" s="65" t="s">
        <v>400</v>
      </c>
      <c r="I74" s="65" t="s">
        <v>401</v>
      </c>
      <c r="J74" s="65" t="s">
        <v>402</v>
      </c>
      <c r="K74" s="65" t="s">
        <v>403</v>
      </c>
      <c r="L74" s="65" t="s">
        <v>404</v>
      </c>
      <c r="M74" s="65" t="s">
        <v>405</v>
      </c>
      <c r="N74" s="65" t="s">
        <v>406</v>
      </c>
      <c r="O74" s="65" t="s">
        <v>407</v>
      </c>
      <c r="P74" s="65" t="s">
        <v>408</v>
      </c>
      <c r="Q74" s="65" t="s">
        <v>409</v>
      </c>
      <c r="R74" s="65" t="s">
        <v>410</v>
      </c>
      <c r="S74" s="65" t="s">
        <v>411</v>
      </c>
      <c r="T74" s="65" t="s">
        <v>412</v>
      </c>
      <c r="U74" s="65" t="s">
        <v>413</v>
      </c>
      <c r="V74" s="65" t="s">
        <v>414</v>
      </c>
      <c r="W74" s="65" t="s">
        <v>415</v>
      </c>
      <c r="X74" s="65" t="s">
        <v>416</v>
      </c>
      <c r="Y74" s="65" t="s">
        <v>417</v>
      </c>
      <c r="Z74" s="65" t="s">
        <v>418</v>
      </c>
      <c r="AA74" s="65" t="s">
        <v>419</v>
      </c>
      <c r="AB74" s="65" t="s">
        <v>420</v>
      </c>
      <c r="AC74" s="65" t="s">
        <v>421</v>
      </c>
      <c r="AD74" s="66" t="s">
        <v>422</v>
      </c>
      <c r="AF74" s="54" t="str">
        <f>LOWER(E75)&amp;UPPER(E74)</f>
        <v>xA</v>
      </c>
      <c r="AG74" s="55" t="str">
        <f>LOWER(F75)&amp;UPPER(F74)</f>
        <v>xB</v>
      </c>
      <c r="AH74" s="71" t="str">
        <f>LOWER(G75)&amp;UPPER(G74)</f>
        <v>xC</v>
      </c>
      <c r="AI74" s="55" t="str">
        <f t="shared" ref="AI74" si="1140">LOWER(H75)&amp;UPPER(H74)</f>
        <v>xD</v>
      </c>
      <c r="AJ74" s="55" t="str">
        <f t="shared" ref="AJ74" si="1141">LOWER(I75)&amp;UPPER(I74)</f>
        <v>xE</v>
      </c>
      <c r="AK74" s="71" t="str">
        <f t="shared" ref="AK74" si="1142">LOWER(J75)&amp;UPPER(J74)</f>
        <v>xF</v>
      </c>
      <c r="AL74" s="71" t="str">
        <f t="shared" ref="AL74" si="1143">LOWER(K75)&amp;UPPER(K74)</f>
        <v>xG</v>
      </c>
      <c r="AM74" s="55" t="str">
        <f t="shared" ref="AM74" si="1144">LOWER(L75)&amp;UPPER(L74)</f>
        <v>xH</v>
      </c>
      <c r="AN74" s="71" t="str">
        <f t="shared" ref="AN74" si="1145">LOWER(M75)&amp;UPPER(M74)</f>
        <v>xI</v>
      </c>
      <c r="AO74" s="71" t="str">
        <f t="shared" ref="AO74" si="1146">LOWER(N75)&amp;UPPER(N74)</f>
        <v>xJ</v>
      </c>
      <c r="AP74" s="71" t="str">
        <f t="shared" ref="AP74" si="1147">LOWER(O75)&amp;UPPER(O74)</f>
        <v>xK</v>
      </c>
      <c r="AQ74" s="71" t="str">
        <f t="shared" ref="AQ74" si="1148">LOWER(P75)&amp;UPPER(P74)</f>
        <v>xL</v>
      </c>
      <c r="AR74" s="71" t="str">
        <f t="shared" ref="AR74" si="1149">LOWER(Q75)&amp;UPPER(Q74)</f>
        <v>xM</v>
      </c>
      <c r="AS74" s="71" t="str">
        <f t="shared" ref="AS74" si="1150">LOWER(R75)&amp;UPPER(R74)</f>
        <v>xN</v>
      </c>
      <c r="AT74" s="71" t="str">
        <f t="shared" ref="AT74" si="1151">LOWER(S75)&amp;UPPER(S74)</f>
        <v>xO</v>
      </c>
      <c r="AU74" s="71" t="str">
        <f t="shared" ref="AU74" si="1152">LOWER(T75)&amp;UPPER(T74)</f>
        <v>xP</v>
      </c>
      <c r="AV74" s="71" t="str">
        <f t="shared" ref="AV74" si="1153">LOWER(U75)&amp;UPPER(U74)</f>
        <v>xQ</v>
      </c>
      <c r="AW74" s="71" t="str">
        <f t="shared" ref="AW74" si="1154">LOWER(V75)&amp;UPPER(V74)</f>
        <v>xR</v>
      </c>
      <c r="AX74" s="71" t="str">
        <f t="shared" ref="AX74" si="1155">LOWER(W75)&amp;UPPER(W74)</f>
        <v>xS</v>
      </c>
      <c r="AY74" s="71" t="str">
        <f t="shared" ref="AY74" si="1156">LOWER(X75)&amp;UPPER(X74)</f>
        <v>xT</v>
      </c>
      <c r="AZ74" s="71" t="str">
        <f t="shared" ref="AZ74" si="1157">LOWER(Y75)&amp;UPPER(Y74)</f>
        <v>xU</v>
      </c>
      <c r="BA74" s="71" t="str">
        <f t="shared" ref="BA74" si="1158">LOWER(Z75)&amp;UPPER(Z74)</f>
        <v>xV</v>
      </c>
      <c r="BB74" s="71" t="str">
        <f t="shared" ref="BB74" si="1159">LOWER(AA75)&amp;UPPER(AA74)</f>
        <v>xW</v>
      </c>
      <c r="BC74" s="71" t="str">
        <f t="shared" ref="BC74" si="1160">LOWER(AB75)&amp;UPPER(AB74)</f>
        <v>xX</v>
      </c>
      <c r="BD74" s="71" t="str">
        <f t="shared" ref="BD74" si="1161">LOWER(AC75)&amp;UPPER(AC74)</f>
        <v>xY</v>
      </c>
      <c r="BE74" s="72" t="str">
        <f t="shared" ref="BE74" si="1162">LOWER(AD75)&amp;UPPER(AD74)</f>
        <v>xZ</v>
      </c>
      <c r="BG74" s="70"/>
      <c r="BH74" s="71"/>
      <c r="BI74" s="71"/>
      <c r="BJ74" s="71"/>
      <c r="BK74" s="71"/>
      <c r="BL74" s="71"/>
      <c r="BM74" s="71"/>
      <c r="BN74" s="71"/>
      <c r="BO74" s="71"/>
      <c r="BP74" s="71"/>
      <c r="BQ74" s="71"/>
      <c r="BR74" s="71"/>
      <c r="BS74" s="71"/>
      <c r="BT74" s="71"/>
      <c r="BU74" s="71"/>
      <c r="BV74" s="71"/>
      <c r="BW74" s="71"/>
      <c r="BX74" s="71"/>
      <c r="BY74" s="71"/>
      <c r="BZ74" s="71"/>
      <c r="CA74" s="71"/>
      <c r="CB74" s="71"/>
      <c r="CC74" s="71"/>
      <c r="CD74" s="71"/>
      <c r="CE74" s="71"/>
      <c r="CF74" s="72"/>
    </row>
    <row r="75" spans="1:84" x14ac:dyDescent="0.35">
      <c r="A75" s="37" t="s">
        <v>586</v>
      </c>
      <c r="B75" s="36" t="s">
        <v>396</v>
      </c>
      <c r="D75" s="74" t="s">
        <v>23</v>
      </c>
      <c r="E75" s="67" t="str">
        <f>D75</f>
        <v>X</v>
      </c>
      <c r="F75" s="68" t="str">
        <f t="shared" ref="F75:AD75" si="1163">E75</f>
        <v>X</v>
      </c>
      <c r="G75" s="68" t="str">
        <f t="shared" si="1163"/>
        <v>X</v>
      </c>
      <c r="H75" s="68" t="str">
        <f t="shared" si="1163"/>
        <v>X</v>
      </c>
      <c r="I75" s="68" t="str">
        <f t="shared" si="1163"/>
        <v>X</v>
      </c>
      <c r="J75" s="68" t="str">
        <f t="shared" si="1163"/>
        <v>X</v>
      </c>
      <c r="K75" s="68" t="str">
        <f t="shared" si="1163"/>
        <v>X</v>
      </c>
      <c r="L75" s="68" t="str">
        <f t="shared" si="1163"/>
        <v>X</v>
      </c>
      <c r="M75" s="68" t="str">
        <f t="shared" si="1163"/>
        <v>X</v>
      </c>
      <c r="N75" s="68" t="str">
        <f t="shared" si="1163"/>
        <v>X</v>
      </c>
      <c r="O75" s="68" t="str">
        <f t="shared" si="1163"/>
        <v>X</v>
      </c>
      <c r="P75" s="68" t="str">
        <f t="shared" si="1163"/>
        <v>X</v>
      </c>
      <c r="Q75" s="68" t="str">
        <f t="shared" si="1163"/>
        <v>X</v>
      </c>
      <c r="R75" s="68" t="str">
        <f t="shared" si="1163"/>
        <v>X</v>
      </c>
      <c r="S75" s="68" t="str">
        <f t="shared" si="1163"/>
        <v>X</v>
      </c>
      <c r="T75" s="68" t="str">
        <f t="shared" si="1163"/>
        <v>X</v>
      </c>
      <c r="U75" s="68" t="str">
        <f t="shared" si="1163"/>
        <v>X</v>
      </c>
      <c r="V75" s="68" t="str">
        <f t="shared" si="1163"/>
        <v>X</v>
      </c>
      <c r="W75" s="68" t="str">
        <f t="shared" si="1163"/>
        <v>X</v>
      </c>
      <c r="X75" s="68" t="str">
        <f t="shared" si="1163"/>
        <v>X</v>
      </c>
      <c r="Y75" s="68" t="str">
        <f t="shared" si="1163"/>
        <v>X</v>
      </c>
      <c r="Z75" s="68" t="str">
        <f t="shared" si="1163"/>
        <v>X</v>
      </c>
      <c r="AA75" s="68" t="str">
        <f t="shared" si="1163"/>
        <v>X</v>
      </c>
      <c r="AB75" s="68" t="str">
        <f t="shared" si="1163"/>
        <v>X</v>
      </c>
      <c r="AC75" s="68" t="str">
        <f t="shared" si="1163"/>
        <v>X</v>
      </c>
      <c r="AD75" s="69" t="str">
        <f t="shared" si="1163"/>
        <v>X</v>
      </c>
      <c r="AF75" s="57" t="str">
        <f>LOWER(E74)&amp;UPPER(E75)</f>
        <v>aX</v>
      </c>
      <c r="AG75" s="58" t="str">
        <f>LOWER(F74)&amp;UPPER(F75)</f>
        <v>bX</v>
      </c>
      <c r="AH75" s="68" t="str">
        <f>LOWER(G74)&amp;UPPER(G75)</f>
        <v>cX</v>
      </c>
      <c r="AI75" s="58" t="str">
        <f t="shared" ref="AI75" si="1164">LOWER(H74)&amp;UPPER(H75)</f>
        <v>dX</v>
      </c>
      <c r="AJ75" s="58" t="str">
        <f t="shared" ref="AJ75" si="1165">LOWER(I74)&amp;UPPER(I75)</f>
        <v>eX</v>
      </c>
      <c r="AK75" s="68" t="str">
        <f t="shared" ref="AK75" si="1166">LOWER(J74)&amp;UPPER(J75)</f>
        <v>fX</v>
      </c>
      <c r="AL75" s="68" t="str">
        <f t="shared" ref="AL75" si="1167">LOWER(K74)&amp;UPPER(K75)</f>
        <v>gX</v>
      </c>
      <c r="AM75" s="58" t="str">
        <f t="shared" ref="AM75" si="1168">LOWER(L74)&amp;UPPER(L75)</f>
        <v>hX</v>
      </c>
      <c r="AN75" s="68" t="str">
        <f t="shared" ref="AN75" si="1169">LOWER(M74)&amp;UPPER(M75)</f>
        <v>iX</v>
      </c>
      <c r="AO75" s="68" t="str">
        <f t="shared" ref="AO75" si="1170">LOWER(N74)&amp;UPPER(N75)</f>
        <v>jX</v>
      </c>
      <c r="AP75" s="68" t="str">
        <f t="shared" ref="AP75" si="1171">LOWER(O74)&amp;UPPER(O75)</f>
        <v>kX</v>
      </c>
      <c r="AQ75" s="68" t="str">
        <f t="shared" ref="AQ75" si="1172">LOWER(P74)&amp;UPPER(P75)</f>
        <v>lX</v>
      </c>
      <c r="AR75" s="68" t="str">
        <f t="shared" ref="AR75" si="1173">LOWER(Q74)&amp;UPPER(Q75)</f>
        <v>mX</v>
      </c>
      <c r="AS75" s="68" t="str">
        <f t="shared" ref="AS75" si="1174">LOWER(R74)&amp;UPPER(R75)</f>
        <v>nX</v>
      </c>
      <c r="AT75" s="68" t="str">
        <f t="shared" ref="AT75" si="1175">LOWER(S74)&amp;UPPER(S75)</f>
        <v>oX</v>
      </c>
      <c r="AU75" s="68" t="str">
        <f t="shared" ref="AU75" si="1176">LOWER(T74)&amp;UPPER(T75)</f>
        <v>pX</v>
      </c>
      <c r="AV75" s="68" t="str">
        <f t="shared" ref="AV75" si="1177">LOWER(U74)&amp;UPPER(U75)</f>
        <v>qX</v>
      </c>
      <c r="AW75" s="68" t="str">
        <f t="shared" ref="AW75" si="1178">LOWER(V74)&amp;UPPER(V75)</f>
        <v>rX</v>
      </c>
      <c r="AX75" s="68" t="str">
        <f t="shared" ref="AX75" si="1179">LOWER(W74)&amp;UPPER(W75)</f>
        <v>sX</v>
      </c>
      <c r="AY75" s="68" t="str">
        <f t="shared" ref="AY75" si="1180">LOWER(X74)&amp;UPPER(X75)</f>
        <v>tX</v>
      </c>
      <c r="AZ75" s="68" t="str">
        <f t="shared" ref="AZ75" si="1181">LOWER(Y74)&amp;UPPER(Y75)</f>
        <v>uX</v>
      </c>
      <c r="BA75" s="68" t="str">
        <f t="shared" ref="BA75" si="1182">LOWER(Z74)&amp;UPPER(Z75)</f>
        <v>vX</v>
      </c>
      <c r="BB75" s="68" t="str">
        <f t="shared" ref="BB75" si="1183">LOWER(AA74)&amp;UPPER(AA75)</f>
        <v>wX</v>
      </c>
      <c r="BC75" s="68" t="str">
        <f t="shared" ref="BC75" si="1184">LOWER(AB74)&amp;UPPER(AB75)</f>
        <v>xX</v>
      </c>
      <c r="BD75" s="68" t="str">
        <f t="shared" ref="BD75" si="1185">LOWER(AC74)&amp;UPPER(AC75)</f>
        <v>yX</v>
      </c>
      <c r="BE75" s="69" t="str">
        <f t="shared" ref="BE75" si="1186">LOWER(AD74)&amp;UPPER(AD75)</f>
        <v>zX</v>
      </c>
      <c r="BG75" s="67"/>
      <c r="BH75" s="68"/>
      <c r="BI75" s="68"/>
      <c r="BJ75" s="68"/>
      <c r="BK75" s="68"/>
      <c r="BL75" s="68"/>
      <c r="BM75" s="68"/>
      <c r="BN75" s="68"/>
      <c r="BO75" s="68"/>
      <c r="BP75" s="68"/>
      <c r="BQ75" s="68"/>
      <c r="BR75" s="68"/>
      <c r="BS75" s="68"/>
      <c r="BT75" s="68"/>
      <c r="BU75" s="68"/>
      <c r="BV75" s="68"/>
      <c r="BW75" s="68"/>
      <c r="BX75" s="68"/>
      <c r="BY75" s="68"/>
      <c r="BZ75" s="68"/>
      <c r="CA75" s="68"/>
      <c r="CB75" s="68"/>
      <c r="CC75" s="68"/>
      <c r="CD75" s="68"/>
      <c r="CE75" s="68"/>
      <c r="CF75" s="69"/>
    </row>
    <row r="76" spans="1:84" x14ac:dyDescent="0.35">
      <c r="A76" s="35" t="s">
        <v>586</v>
      </c>
      <c r="B76" s="36" t="s">
        <v>395</v>
      </c>
      <c r="D76" s="73"/>
      <c r="E76" s="64" t="s">
        <v>397</v>
      </c>
      <c r="F76" s="65" t="s">
        <v>398</v>
      </c>
      <c r="G76" s="65" t="s">
        <v>399</v>
      </c>
      <c r="H76" s="65" t="s">
        <v>400</v>
      </c>
      <c r="I76" s="65" t="s">
        <v>401</v>
      </c>
      <c r="J76" s="65" t="s">
        <v>402</v>
      </c>
      <c r="K76" s="65" t="s">
        <v>403</v>
      </c>
      <c r="L76" s="65" t="s">
        <v>404</v>
      </c>
      <c r="M76" s="65" t="s">
        <v>405</v>
      </c>
      <c r="N76" s="65" t="s">
        <v>406</v>
      </c>
      <c r="O76" s="65" t="s">
        <v>407</v>
      </c>
      <c r="P76" s="65" t="s">
        <v>408</v>
      </c>
      <c r="Q76" s="65" t="s">
        <v>409</v>
      </c>
      <c r="R76" s="65" t="s">
        <v>410</v>
      </c>
      <c r="S76" s="65" t="s">
        <v>411</v>
      </c>
      <c r="T76" s="65" t="s">
        <v>412</v>
      </c>
      <c r="U76" s="65" t="s">
        <v>413</v>
      </c>
      <c r="V76" s="65" t="s">
        <v>414</v>
      </c>
      <c r="W76" s="65" t="s">
        <v>415</v>
      </c>
      <c r="X76" s="65" t="s">
        <v>416</v>
      </c>
      <c r="Y76" s="65" t="s">
        <v>417</v>
      </c>
      <c r="Z76" s="65" t="s">
        <v>418</v>
      </c>
      <c r="AA76" s="65" t="s">
        <v>419</v>
      </c>
      <c r="AB76" s="65" t="s">
        <v>420</v>
      </c>
      <c r="AC76" s="65" t="s">
        <v>421</v>
      </c>
      <c r="AD76" s="66" t="s">
        <v>422</v>
      </c>
      <c r="AF76" s="54" t="str">
        <f>LOWER(E77)&amp;UPPER(E76)</f>
        <v>yA</v>
      </c>
      <c r="AG76" s="55" t="str">
        <f>LOWER(F77)&amp;UPPER(F76)</f>
        <v>yB</v>
      </c>
      <c r="AH76" s="71" t="str">
        <f>LOWER(G77)&amp;UPPER(G76)</f>
        <v>yC</v>
      </c>
      <c r="AI76" s="55" t="str">
        <f t="shared" ref="AI76" si="1187">LOWER(H77)&amp;UPPER(H76)</f>
        <v>yD</v>
      </c>
      <c r="AJ76" s="55" t="str">
        <f t="shared" ref="AJ76" si="1188">LOWER(I77)&amp;UPPER(I76)</f>
        <v>yE</v>
      </c>
      <c r="AK76" s="71" t="str">
        <f t="shared" ref="AK76" si="1189">LOWER(J77)&amp;UPPER(J76)</f>
        <v>yF</v>
      </c>
      <c r="AL76" s="71" t="str">
        <f t="shared" ref="AL76" si="1190">LOWER(K77)&amp;UPPER(K76)</f>
        <v>yG</v>
      </c>
      <c r="AM76" s="55" t="str">
        <f t="shared" ref="AM76" si="1191">LOWER(L77)&amp;UPPER(L76)</f>
        <v>yH</v>
      </c>
      <c r="AN76" s="71" t="str">
        <f t="shared" ref="AN76" si="1192">LOWER(M77)&amp;UPPER(M76)</f>
        <v>yI</v>
      </c>
      <c r="AO76" s="71" t="str">
        <f t="shared" ref="AO76" si="1193">LOWER(N77)&amp;UPPER(N76)</f>
        <v>yJ</v>
      </c>
      <c r="AP76" s="71" t="str">
        <f t="shared" ref="AP76" si="1194">LOWER(O77)&amp;UPPER(O76)</f>
        <v>yK</v>
      </c>
      <c r="AQ76" s="71" t="str">
        <f t="shared" ref="AQ76" si="1195">LOWER(P77)&amp;UPPER(P76)</f>
        <v>yL</v>
      </c>
      <c r="AR76" s="71" t="str">
        <f t="shared" ref="AR76" si="1196">LOWER(Q77)&amp;UPPER(Q76)</f>
        <v>yM</v>
      </c>
      <c r="AS76" s="71" t="str">
        <f t="shared" ref="AS76" si="1197">LOWER(R77)&amp;UPPER(R76)</f>
        <v>yN</v>
      </c>
      <c r="AT76" s="71" t="str">
        <f t="shared" ref="AT76" si="1198">LOWER(S77)&amp;UPPER(S76)</f>
        <v>yO</v>
      </c>
      <c r="AU76" s="71" t="str">
        <f t="shared" ref="AU76" si="1199">LOWER(T77)&amp;UPPER(T76)</f>
        <v>yP</v>
      </c>
      <c r="AV76" s="71" t="str">
        <f t="shared" ref="AV76" si="1200">LOWER(U77)&amp;UPPER(U76)</f>
        <v>yQ</v>
      </c>
      <c r="AW76" s="71" t="str">
        <f t="shared" ref="AW76" si="1201">LOWER(V77)&amp;UPPER(V76)</f>
        <v>yR</v>
      </c>
      <c r="AX76" s="71" t="str">
        <f t="shared" ref="AX76" si="1202">LOWER(W77)&amp;UPPER(W76)</f>
        <v>yS</v>
      </c>
      <c r="AY76" s="71" t="str">
        <f t="shared" ref="AY76" si="1203">LOWER(X77)&amp;UPPER(X76)</f>
        <v>yT</v>
      </c>
      <c r="AZ76" s="71" t="str">
        <f t="shared" ref="AZ76" si="1204">LOWER(Y77)&amp;UPPER(Y76)</f>
        <v>yU</v>
      </c>
      <c r="BA76" s="71" t="str">
        <f t="shared" ref="BA76" si="1205">LOWER(Z77)&amp;UPPER(Z76)</f>
        <v>yV</v>
      </c>
      <c r="BB76" s="71" t="str">
        <f t="shared" ref="BB76" si="1206">LOWER(AA77)&amp;UPPER(AA76)</f>
        <v>yW</v>
      </c>
      <c r="BC76" s="71" t="str">
        <f t="shared" ref="BC76" si="1207">LOWER(AB77)&amp;UPPER(AB76)</f>
        <v>yX</v>
      </c>
      <c r="BD76" s="71" t="str">
        <f t="shared" ref="BD76" si="1208">LOWER(AC77)&amp;UPPER(AC76)</f>
        <v>yY</v>
      </c>
      <c r="BE76" s="72" t="str">
        <f t="shared" ref="BE76" si="1209">LOWER(AD77)&amp;UPPER(AD76)</f>
        <v>yZ</v>
      </c>
      <c r="BG76" s="70"/>
      <c r="BH76" s="71"/>
      <c r="BI76" s="71"/>
      <c r="BJ76" s="71"/>
      <c r="BK76" s="71"/>
      <c r="BL76" s="71"/>
      <c r="BM76" s="71"/>
      <c r="BN76" s="71"/>
      <c r="BO76" s="71"/>
      <c r="BP76" s="71"/>
      <c r="BQ76" s="71"/>
      <c r="BR76" s="71"/>
      <c r="BS76" s="71"/>
      <c r="BT76" s="71"/>
      <c r="BU76" s="71"/>
      <c r="BV76" s="71"/>
      <c r="BW76" s="71"/>
      <c r="BX76" s="71"/>
      <c r="BY76" s="71"/>
      <c r="BZ76" s="71"/>
      <c r="CA76" s="71"/>
      <c r="CB76" s="71"/>
      <c r="CC76" s="71"/>
      <c r="CD76" s="71"/>
      <c r="CE76" s="71"/>
      <c r="CF76" s="72"/>
    </row>
    <row r="77" spans="1:84" x14ac:dyDescent="0.35">
      <c r="A77" s="37" t="s">
        <v>586</v>
      </c>
      <c r="B77" s="36" t="s">
        <v>396</v>
      </c>
      <c r="D77" s="74" t="s">
        <v>24</v>
      </c>
      <c r="E77" s="67" t="str">
        <f>D77</f>
        <v>Y</v>
      </c>
      <c r="F77" s="68" t="str">
        <f t="shared" ref="F77:AD77" si="1210">E77</f>
        <v>Y</v>
      </c>
      <c r="G77" s="68" t="str">
        <f t="shared" si="1210"/>
        <v>Y</v>
      </c>
      <c r="H77" s="68" t="str">
        <f t="shared" si="1210"/>
        <v>Y</v>
      </c>
      <c r="I77" s="68" t="str">
        <f t="shared" si="1210"/>
        <v>Y</v>
      </c>
      <c r="J77" s="68" t="str">
        <f t="shared" si="1210"/>
        <v>Y</v>
      </c>
      <c r="K77" s="68" t="str">
        <f t="shared" si="1210"/>
        <v>Y</v>
      </c>
      <c r="L77" s="68" t="str">
        <f t="shared" si="1210"/>
        <v>Y</v>
      </c>
      <c r="M77" s="68" t="str">
        <f t="shared" si="1210"/>
        <v>Y</v>
      </c>
      <c r="N77" s="68" t="str">
        <f t="shared" si="1210"/>
        <v>Y</v>
      </c>
      <c r="O77" s="68" t="str">
        <f t="shared" si="1210"/>
        <v>Y</v>
      </c>
      <c r="P77" s="68" t="str">
        <f t="shared" si="1210"/>
        <v>Y</v>
      </c>
      <c r="Q77" s="68" t="str">
        <f t="shared" si="1210"/>
        <v>Y</v>
      </c>
      <c r="R77" s="68" t="str">
        <f t="shared" si="1210"/>
        <v>Y</v>
      </c>
      <c r="S77" s="68" t="str">
        <f t="shared" si="1210"/>
        <v>Y</v>
      </c>
      <c r="T77" s="68" t="str">
        <f t="shared" si="1210"/>
        <v>Y</v>
      </c>
      <c r="U77" s="68" t="str">
        <f t="shared" si="1210"/>
        <v>Y</v>
      </c>
      <c r="V77" s="68" t="str">
        <f t="shared" si="1210"/>
        <v>Y</v>
      </c>
      <c r="W77" s="68" t="str">
        <f t="shared" si="1210"/>
        <v>Y</v>
      </c>
      <c r="X77" s="68" t="str">
        <f t="shared" si="1210"/>
        <v>Y</v>
      </c>
      <c r="Y77" s="68" t="str">
        <f t="shared" si="1210"/>
        <v>Y</v>
      </c>
      <c r="Z77" s="68" t="str">
        <f t="shared" si="1210"/>
        <v>Y</v>
      </c>
      <c r="AA77" s="68" t="str">
        <f t="shared" si="1210"/>
        <v>Y</v>
      </c>
      <c r="AB77" s="68" t="str">
        <f t="shared" si="1210"/>
        <v>Y</v>
      </c>
      <c r="AC77" s="68" t="str">
        <f t="shared" si="1210"/>
        <v>Y</v>
      </c>
      <c r="AD77" s="69" t="str">
        <f t="shared" si="1210"/>
        <v>Y</v>
      </c>
      <c r="AF77" s="57" t="str">
        <f>LOWER(E76)&amp;UPPER(E77)</f>
        <v>aY</v>
      </c>
      <c r="AG77" s="58" t="str">
        <f>LOWER(F76)&amp;UPPER(F77)</f>
        <v>bY</v>
      </c>
      <c r="AH77" s="68" t="str">
        <f>LOWER(G76)&amp;UPPER(G77)</f>
        <v>cY</v>
      </c>
      <c r="AI77" s="58" t="str">
        <f t="shared" ref="AI77" si="1211">LOWER(H76)&amp;UPPER(H77)</f>
        <v>dY</v>
      </c>
      <c r="AJ77" s="58" t="str">
        <f t="shared" ref="AJ77" si="1212">LOWER(I76)&amp;UPPER(I77)</f>
        <v>eY</v>
      </c>
      <c r="AK77" s="68" t="str">
        <f t="shared" ref="AK77" si="1213">LOWER(J76)&amp;UPPER(J77)</f>
        <v>fY</v>
      </c>
      <c r="AL77" s="68" t="str">
        <f t="shared" ref="AL77" si="1214">LOWER(K76)&amp;UPPER(K77)</f>
        <v>gY</v>
      </c>
      <c r="AM77" s="58" t="str">
        <f t="shared" ref="AM77" si="1215">LOWER(L76)&amp;UPPER(L77)</f>
        <v>hY</v>
      </c>
      <c r="AN77" s="68" t="str">
        <f t="shared" ref="AN77" si="1216">LOWER(M76)&amp;UPPER(M77)</f>
        <v>iY</v>
      </c>
      <c r="AO77" s="68" t="str">
        <f t="shared" ref="AO77" si="1217">LOWER(N76)&amp;UPPER(N77)</f>
        <v>jY</v>
      </c>
      <c r="AP77" s="68" t="str">
        <f t="shared" ref="AP77" si="1218">LOWER(O76)&amp;UPPER(O77)</f>
        <v>kY</v>
      </c>
      <c r="AQ77" s="68" t="str">
        <f t="shared" ref="AQ77" si="1219">LOWER(P76)&amp;UPPER(P77)</f>
        <v>lY</v>
      </c>
      <c r="AR77" s="68" t="str">
        <f t="shared" ref="AR77" si="1220">LOWER(Q76)&amp;UPPER(Q77)</f>
        <v>mY</v>
      </c>
      <c r="AS77" s="68" t="str">
        <f t="shared" ref="AS77" si="1221">LOWER(R76)&amp;UPPER(R77)</f>
        <v>nY</v>
      </c>
      <c r="AT77" s="68" t="str">
        <f t="shared" ref="AT77" si="1222">LOWER(S76)&amp;UPPER(S77)</f>
        <v>oY</v>
      </c>
      <c r="AU77" s="68" t="str">
        <f t="shared" ref="AU77" si="1223">LOWER(T76)&amp;UPPER(T77)</f>
        <v>pY</v>
      </c>
      <c r="AV77" s="68" t="str">
        <f t="shared" ref="AV77" si="1224">LOWER(U76)&amp;UPPER(U77)</f>
        <v>qY</v>
      </c>
      <c r="AW77" s="68" t="str">
        <f t="shared" ref="AW77" si="1225">LOWER(V76)&amp;UPPER(V77)</f>
        <v>rY</v>
      </c>
      <c r="AX77" s="68" t="str">
        <f t="shared" ref="AX77" si="1226">LOWER(W76)&amp;UPPER(W77)</f>
        <v>sY</v>
      </c>
      <c r="AY77" s="68" t="str">
        <f t="shared" ref="AY77" si="1227">LOWER(X76)&amp;UPPER(X77)</f>
        <v>tY</v>
      </c>
      <c r="AZ77" s="68" t="str">
        <f t="shared" ref="AZ77" si="1228">LOWER(Y76)&amp;UPPER(Y77)</f>
        <v>uY</v>
      </c>
      <c r="BA77" s="68" t="str">
        <f t="shared" ref="BA77" si="1229">LOWER(Z76)&amp;UPPER(Z77)</f>
        <v>vY</v>
      </c>
      <c r="BB77" s="68" t="str">
        <f t="shared" ref="BB77" si="1230">LOWER(AA76)&amp;UPPER(AA77)</f>
        <v>wY</v>
      </c>
      <c r="BC77" s="68" t="str">
        <f t="shared" ref="BC77" si="1231">LOWER(AB76)&amp;UPPER(AB77)</f>
        <v>xY</v>
      </c>
      <c r="BD77" s="68" t="str">
        <f t="shared" ref="BD77" si="1232">LOWER(AC76)&amp;UPPER(AC77)</f>
        <v>yY</v>
      </c>
      <c r="BE77" s="69" t="str">
        <f t="shared" ref="BE77" si="1233">LOWER(AD76)&amp;UPPER(AD77)</f>
        <v>zY</v>
      </c>
      <c r="BG77" s="67"/>
      <c r="BH77" s="68"/>
      <c r="BI77" s="68"/>
      <c r="BJ77" s="68"/>
      <c r="BK77" s="68"/>
      <c r="BL77" s="68"/>
      <c r="BM77" s="68"/>
      <c r="BN77" s="68"/>
      <c r="BO77" s="68"/>
      <c r="BP77" s="68"/>
      <c r="BQ77" s="68"/>
      <c r="BR77" s="68"/>
      <c r="BS77" s="68"/>
      <c r="BT77" s="68"/>
      <c r="BU77" s="68"/>
      <c r="BV77" s="68"/>
      <c r="BW77" s="68"/>
      <c r="BX77" s="68"/>
      <c r="BY77" s="68"/>
      <c r="BZ77" s="68"/>
      <c r="CA77" s="68"/>
      <c r="CB77" s="68"/>
      <c r="CC77" s="68"/>
      <c r="CD77" s="68"/>
      <c r="CE77" s="68"/>
      <c r="CF77" s="69"/>
    </row>
    <row r="78" spans="1:84" x14ac:dyDescent="0.35">
      <c r="A78" s="35" t="s">
        <v>586</v>
      </c>
      <c r="B78" s="36" t="s">
        <v>395</v>
      </c>
      <c r="D78" s="73"/>
      <c r="E78" s="64" t="s">
        <v>397</v>
      </c>
      <c r="F78" s="65" t="s">
        <v>398</v>
      </c>
      <c r="G78" s="65" t="s">
        <v>399</v>
      </c>
      <c r="H78" s="65" t="s">
        <v>400</v>
      </c>
      <c r="I78" s="65" t="s">
        <v>401</v>
      </c>
      <c r="J78" s="65" t="s">
        <v>402</v>
      </c>
      <c r="K78" s="65" t="s">
        <v>403</v>
      </c>
      <c r="L78" s="65" t="s">
        <v>404</v>
      </c>
      <c r="M78" s="65" t="s">
        <v>405</v>
      </c>
      <c r="N78" s="65" t="s">
        <v>406</v>
      </c>
      <c r="O78" s="65" t="s">
        <v>407</v>
      </c>
      <c r="P78" s="65" t="s">
        <v>408</v>
      </c>
      <c r="Q78" s="65" t="s">
        <v>409</v>
      </c>
      <c r="R78" s="65" t="s">
        <v>410</v>
      </c>
      <c r="S78" s="65" t="s">
        <v>411</v>
      </c>
      <c r="T78" s="65" t="s">
        <v>412</v>
      </c>
      <c r="U78" s="65" t="s">
        <v>413</v>
      </c>
      <c r="V78" s="65" t="s">
        <v>414</v>
      </c>
      <c r="W78" s="65" t="s">
        <v>415</v>
      </c>
      <c r="X78" s="65" t="s">
        <v>416</v>
      </c>
      <c r="Y78" s="65" t="s">
        <v>417</v>
      </c>
      <c r="Z78" s="65" t="s">
        <v>418</v>
      </c>
      <c r="AA78" s="65" t="s">
        <v>419</v>
      </c>
      <c r="AB78" s="65" t="s">
        <v>420</v>
      </c>
      <c r="AC78" s="65" t="s">
        <v>421</v>
      </c>
      <c r="AD78" s="66" t="s">
        <v>422</v>
      </c>
      <c r="AF78" s="54" t="str">
        <f>LOWER(E79)&amp;UPPER(E78)</f>
        <v>zA</v>
      </c>
      <c r="AG78" s="55" t="str">
        <f>LOWER(F79)&amp;UPPER(F78)</f>
        <v>zB</v>
      </c>
      <c r="AH78" s="71" t="str">
        <f>LOWER(G79)&amp;UPPER(G78)</f>
        <v>zC</v>
      </c>
      <c r="AI78" s="55" t="str">
        <f t="shared" ref="AI78" si="1234">LOWER(H79)&amp;UPPER(H78)</f>
        <v>zD</v>
      </c>
      <c r="AJ78" s="55" t="str">
        <f t="shared" ref="AJ78" si="1235">LOWER(I79)&amp;UPPER(I78)</f>
        <v>zE</v>
      </c>
      <c r="AK78" s="71" t="str">
        <f t="shared" ref="AK78" si="1236">LOWER(J79)&amp;UPPER(J78)</f>
        <v>zF</v>
      </c>
      <c r="AL78" s="71" t="str">
        <f t="shared" ref="AL78" si="1237">LOWER(K79)&amp;UPPER(K78)</f>
        <v>zG</v>
      </c>
      <c r="AM78" s="55" t="str">
        <f t="shared" ref="AM78" si="1238">LOWER(L79)&amp;UPPER(L78)</f>
        <v>zH</v>
      </c>
      <c r="AN78" s="71" t="str">
        <f t="shared" ref="AN78" si="1239">LOWER(M79)&amp;UPPER(M78)</f>
        <v>zI</v>
      </c>
      <c r="AO78" s="71" t="str">
        <f t="shared" ref="AO78" si="1240">LOWER(N79)&amp;UPPER(N78)</f>
        <v>zJ</v>
      </c>
      <c r="AP78" s="71" t="str">
        <f t="shared" ref="AP78" si="1241">LOWER(O79)&amp;UPPER(O78)</f>
        <v>zK</v>
      </c>
      <c r="AQ78" s="71" t="str">
        <f t="shared" ref="AQ78" si="1242">LOWER(P79)&amp;UPPER(P78)</f>
        <v>zL</v>
      </c>
      <c r="AR78" s="71" t="str">
        <f t="shared" ref="AR78" si="1243">LOWER(Q79)&amp;UPPER(Q78)</f>
        <v>zM</v>
      </c>
      <c r="AS78" s="71" t="str">
        <f t="shared" ref="AS78" si="1244">LOWER(R79)&amp;UPPER(R78)</f>
        <v>zN</v>
      </c>
      <c r="AT78" s="71" t="str">
        <f t="shared" ref="AT78" si="1245">LOWER(S79)&amp;UPPER(S78)</f>
        <v>zO</v>
      </c>
      <c r="AU78" s="71" t="str">
        <f t="shared" ref="AU78" si="1246">LOWER(T79)&amp;UPPER(T78)</f>
        <v>zP</v>
      </c>
      <c r="AV78" s="71" t="str">
        <f t="shared" ref="AV78" si="1247">LOWER(U79)&amp;UPPER(U78)</f>
        <v>zQ</v>
      </c>
      <c r="AW78" s="71" t="str">
        <f t="shared" ref="AW78" si="1248">LOWER(V79)&amp;UPPER(V78)</f>
        <v>zR</v>
      </c>
      <c r="AX78" s="71" t="str">
        <f t="shared" ref="AX78" si="1249">LOWER(W79)&amp;UPPER(W78)</f>
        <v>zS</v>
      </c>
      <c r="AY78" s="71" t="str">
        <f t="shared" ref="AY78" si="1250">LOWER(X79)&amp;UPPER(X78)</f>
        <v>zT</v>
      </c>
      <c r="AZ78" s="71" t="str">
        <f t="shared" ref="AZ78" si="1251">LOWER(Y79)&amp;UPPER(Y78)</f>
        <v>zU</v>
      </c>
      <c r="BA78" s="71" t="str">
        <f t="shared" ref="BA78" si="1252">LOWER(Z79)&amp;UPPER(Z78)</f>
        <v>zV</v>
      </c>
      <c r="BB78" s="71" t="str">
        <f t="shared" ref="BB78" si="1253">LOWER(AA79)&amp;UPPER(AA78)</f>
        <v>zW</v>
      </c>
      <c r="BC78" s="71" t="str">
        <f t="shared" ref="BC78" si="1254">LOWER(AB79)&amp;UPPER(AB78)</f>
        <v>zX</v>
      </c>
      <c r="BD78" s="71" t="str">
        <f t="shared" ref="BD78" si="1255">LOWER(AC79)&amp;UPPER(AC78)</f>
        <v>zY</v>
      </c>
      <c r="BE78" s="72" t="str">
        <f t="shared" ref="BE78" si="1256">LOWER(AD79)&amp;UPPER(AD78)</f>
        <v>zZ</v>
      </c>
      <c r="BG78" s="70"/>
      <c r="BH78" s="71"/>
      <c r="BI78" s="71"/>
      <c r="BJ78" s="71"/>
      <c r="BK78" s="71"/>
      <c r="BL78" s="71"/>
      <c r="BM78" s="71"/>
      <c r="BN78" s="71"/>
      <c r="BO78" s="71"/>
      <c r="BP78" s="71"/>
      <c r="BQ78" s="71"/>
      <c r="BR78" s="71"/>
      <c r="BS78" s="71"/>
      <c r="BT78" s="71"/>
      <c r="BU78" s="71"/>
      <c r="BV78" s="71"/>
      <c r="BW78" s="71"/>
      <c r="BX78" s="71"/>
      <c r="BY78" s="71"/>
      <c r="BZ78" s="71"/>
      <c r="CA78" s="71"/>
      <c r="CB78" s="71"/>
      <c r="CC78" s="71"/>
      <c r="CD78" s="71"/>
      <c r="CE78" s="71"/>
      <c r="CF78" s="72"/>
    </row>
    <row r="79" spans="1:84" x14ac:dyDescent="0.35">
      <c r="A79" s="37" t="s">
        <v>586</v>
      </c>
      <c r="B79" s="36" t="s">
        <v>396</v>
      </c>
      <c r="D79" s="74" t="s">
        <v>25</v>
      </c>
      <c r="E79" s="67" t="str">
        <f>D79</f>
        <v>Z</v>
      </c>
      <c r="F79" s="68" t="str">
        <f t="shared" ref="F79:AD79" si="1257">E79</f>
        <v>Z</v>
      </c>
      <c r="G79" s="68" t="str">
        <f t="shared" si="1257"/>
        <v>Z</v>
      </c>
      <c r="H79" s="68" t="str">
        <f t="shared" si="1257"/>
        <v>Z</v>
      </c>
      <c r="I79" s="68" t="str">
        <f t="shared" si="1257"/>
        <v>Z</v>
      </c>
      <c r="J79" s="68" t="str">
        <f t="shared" si="1257"/>
        <v>Z</v>
      </c>
      <c r="K79" s="68" t="str">
        <f t="shared" si="1257"/>
        <v>Z</v>
      </c>
      <c r="L79" s="68" t="str">
        <f t="shared" si="1257"/>
        <v>Z</v>
      </c>
      <c r="M79" s="68" t="str">
        <f t="shared" si="1257"/>
        <v>Z</v>
      </c>
      <c r="N79" s="68" t="str">
        <f t="shared" si="1257"/>
        <v>Z</v>
      </c>
      <c r="O79" s="68" t="str">
        <f t="shared" si="1257"/>
        <v>Z</v>
      </c>
      <c r="P79" s="68" t="str">
        <f t="shared" si="1257"/>
        <v>Z</v>
      </c>
      <c r="Q79" s="68" t="str">
        <f t="shared" si="1257"/>
        <v>Z</v>
      </c>
      <c r="R79" s="68" t="str">
        <f t="shared" si="1257"/>
        <v>Z</v>
      </c>
      <c r="S79" s="68" t="str">
        <f t="shared" si="1257"/>
        <v>Z</v>
      </c>
      <c r="T79" s="68" t="str">
        <f t="shared" si="1257"/>
        <v>Z</v>
      </c>
      <c r="U79" s="68" t="str">
        <f t="shared" si="1257"/>
        <v>Z</v>
      </c>
      <c r="V79" s="68" t="str">
        <f t="shared" si="1257"/>
        <v>Z</v>
      </c>
      <c r="W79" s="68" t="str">
        <f t="shared" si="1257"/>
        <v>Z</v>
      </c>
      <c r="X79" s="68" t="str">
        <f t="shared" si="1257"/>
        <v>Z</v>
      </c>
      <c r="Y79" s="68" t="str">
        <f t="shared" si="1257"/>
        <v>Z</v>
      </c>
      <c r="Z79" s="68" t="str">
        <f t="shared" si="1257"/>
        <v>Z</v>
      </c>
      <c r="AA79" s="68" t="str">
        <f t="shared" si="1257"/>
        <v>Z</v>
      </c>
      <c r="AB79" s="68" t="str">
        <f t="shared" si="1257"/>
        <v>Z</v>
      </c>
      <c r="AC79" s="68" t="str">
        <f t="shared" si="1257"/>
        <v>Z</v>
      </c>
      <c r="AD79" s="69" t="str">
        <f t="shared" si="1257"/>
        <v>Z</v>
      </c>
      <c r="AF79" s="57" t="str">
        <f>LOWER(E78)&amp;UPPER(E79)</f>
        <v>aZ</v>
      </c>
      <c r="AG79" s="58" t="str">
        <f>LOWER(F78)&amp;UPPER(F79)</f>
        <v>bZ</v>
      </c>
      <c r="AH79" s="68" t="str">
        <f>LOWER(G78)&amp;UPPER(G79)</f>
        <v>cZ</v>
      </c>
      <c r="AI79" s="58" t="str">
        <f t="shared" ref="AI79" si="1258">LOWER(H78)&amp;UPPER(H79)</f>
        <v>dZ</v>
      </c>
      <c r="AJ79" s="58" t="str">
        <f t="shared" ref="AJ79" si="1259">LOWER(I78)&amp;UPPER(I79)</f>
        <v>eZ</v>
      </c>
      <c r="AK79" s="68" t="str">
        <f t="shared" ref="AK79" si="1260">LOWER(J78)&amp;UPPER(J79)</f>
        <v>fZ</v>
      </c>
      <c r="AL79" s="68" t="str">
        <f t="shared" ref="AL79" si="1261">LOWER(K78)&amp;UPPER(K79)</f>
        <v>gZ</v>
      </c>
      <c r="AM79" s="58" t="str">
        <f t="shared" ref="AM79" si="1262">LOWER(L78)&amp;UPPER(L79)</f>
        <v>hZ</v>
      </c>
      <c r="AN79" s="68" t="str">
        <f t="shared" ref="AN79" si="1263">LOWER(M78)&amp;UPPER(M79)</f>
        <v>iZ</v>
      </c>
      <c r="AO79" s="68" t="str">
        <f t="shared" ref="AO79" si="1264">LOWER(N78)&amp;UPPER(N79)</f>
        <v>jZ</v>
      </c>
      <c r="AP79" s="68" t="str">
        <f t="shared" ref="AP79" si="1265">LOWER(O78)&amp;UPPER(O79)</f>
        <v>kZ</v>
      </c>
      <c r="AQ79" s="68" t="str">
        <f t="shared" ref="AQ79" si="1266">LOWER(P78)&amp;UPPER(P79)</f>
        <v>lZ</v>
      </c>
      <c r="AR79" s="68" t="str">
        <f t="shared" ref="AR79" si="1267">LOWER(Q78)&amp;UPPER(Q79)</f>
        <v>mZ</v>
      </c>
      <c r="AS79" s="68" t="str">
        <f t="shared" ref="AS79" si="1268">LOWER(R78)&amp;UPPER(R79)</f>
        <v>nZ</v>
      </c>
      <c r="AT79" s="68" t="str">
        <f t="shared" ref="AT79" si="1269">LOWER(S78)&amp;UPPER(S79)</f>
        <v>oZ</v>
      </c>
      <c r="AU79" s="68" t="str">
        <f t="shared" ref="AU79" si="1270">LOWER(T78)&amp;UPPER(T79)</f>
        <v>pZ</v>
      </c>
      <c r="AV79" s="68" t="str">
        <f t="shared" ref="AV79" si="1271">LOWER(U78)&amp;UPPER(U79)</f>
        <v>qZ</v>
      </c>
      <c r="AW79" s="68" t="str">
        <f t="shared" ref="AW79" si="1272">LOWER(V78)&amp;UPPER(V79)</f>
        <v>rZ</v>
      </c>
      <c r="AX79" s="68" t="str">
        <f t="shared" ref="AX79" si="1273">LOWER(W78)&amp;UPPER(W79)</f>
        <v>sZ</v>
      </c>
      <c r="AY79" s="68" t="str">
        <f t="shared" ref="AY79" si="1274">LOWER(X78)&amp;UPPER(X79)</f>
        <v>tZ</v>
      </c>
      <c r="AZ79" s="68" t="str">
        <f t="shared" ref="AZ79" si="1275">LOWER(Y78)&amp;UPPER(Y79)</f>
        <v>uZ</v>
      </c>
      <c r="BA79" s="68" t="str">
        <f t="shared" ref="BA79" si="1276">LOWER(Z78)&amp;UPPER(Z79)</f>
        <v>vZ</v>
      </c>
      <c r="BB79" s="68" t="str">
        <f t="shared" ref="BB79" si="1277">LOWER(AA78)&amp;UPPER(AA79)</f>
        <v>wZ</v>
      </c>
      <c r="BC79" s="68" t="str">
        <f t="shared" ref="BC79" si="1278">LOWER(AB78)&amp;UPPER(AB79)</f>
        <v>xZ</v>
      </c>
      <c r="BD79" s="68" t="str">
        <f t="shared" ref="BD79" si="1279">LOWER(AC78)&amp;UPPER(AC79)</f>
        <v>yZ</v>
      </c>
      <c r="BE79" s="69" t="str">
        <f t="shared" ref="BE79" si="1280">LOWER(AD78)&amp;UPPER(AD79)</f>
        <v>zZ</v>
      </c>
      <c r="BG79" s="67"/>
      <c r="BH79" s="68"/>
      <c r="BI79" s="68"/>
      <c r="BJ79" s="68"/>
      <c r="BK79" s="68"/>
      <c r="BL79" s="68"/>
      <c r="BM79" s="68"/>
      <c r="BN79" s="68"/>
      <c r="BO79" s="68"/>
      <c r="BP79" s="68"/>
      <c r="BQ79" s="68"/>
      <c r="BR79" s="68"/>
      <c r="BS79" s="68"/>
      <c r="BT79" s="68"/>
      <c r="BU79" s="68"/>
      <c r="BV79" s="68"/>
      <c r="BW79" s="68"/>
      <c r="BX79" s="68"/>
      <c r="BY79" s="68"/>
      <c r="BZ79" s="68"/>
      <c r="CA79" s="68"/>
      <c r="CB79" s="68"/>
      <c r="CC79" s="68"/>
      <c r="CD79" s="68"/>
      <c r="CE79" s="68"/>
      <c r="CF79" s="69"/>
    </row>
  </sheetData>
  <sheetProtection sheet="1" objects="1" scenarios="1"/>
  <mergeCells count="3">
    <mergeCell ref="E3:AD3"/>
    <mergeCell ref="AF3:BE3"/>
    <mergeCell ref="BG3:CF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DetermineLiveWires2">
                <anchor moveWithCells="1" sizeWithCells="1">
                  <from>
                    <xdr:col>4</xdr:col>
                    <xdr:colOff>19050</xdr:colOff>
                    <xdr:row>0</xdr:row>
                    <xdr:rowOff>69850</xdr:rowOff>
                  </from>
                  <to>
                    <xdr:col>7</xdr:col>
                    <xdr:colOff>69850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Zoom60Percent">
                <anchor moveWithCells="1" sizeWithCells="1">
                  <from>
                    <xdr:col>8</xdr:col>
                    <xdr:colOff>12700</xdr:colOff>
                    <xdr:row>0</xdr:row>
                    <xdr:rowOff>69850</xdr:rowOff>
                  </from>
                  <to>
                    <xdr:col>11</xdr:col>
                    <xdr:colOff>57150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Zoom100Percent">
                <anchor moveWithCells="1" sizeWithCells="1">
                  <from>
                    <xdr:col>12</xdr:col>
                    <xdr:colOff>12700</xdr:colOff>
                    <xdr:row>0</xdr:row>
                    <xdr:rowOff>69850</xdr:rowOff>
                  </from>
                  <to>
                    <xdr:col>15</xdr:col>
                    <xdr:colOff>57150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GotoSettings">
                <anchor moveWithCells="1" sizeWithCells="1">
                  <from>
                    <xdr:col>15</xdr:col>
                    <xdr:colOff>241300</xdr:colOff>
                    <xdr:row>0</xdr:row>
                    <xdr:rowOff>69850</xdr:rowOff>
                  </from>
                  <to>
                    <xdr:col>20</xdr:col>
                    <xdr:colOff>76200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/>
  <dimension ref="A2:H50"/>
  <sheetViews>
    <sheetView showGridLines="0" showRowColHeaders="0" tabSelected="1" zoomScaleNormal="100" workbookViewId="0"/>
  </sheetViews>
  <sheetFormatPr defaultColWidth="9.1796875" defaultRowHeight="14.5" x14ac:dyDescent="0.35"/>
  <cols>
    <col min="1" max="1" width="11" customWidth="1"/>
    <col min="2" max="2" width="12.1796875" bestFit="1" customWidth="1"/>
    <col min="3" max="3" width="11.7265625" bestFit="1" customWidth="1"/>
    <col min="5" max="5" width="15.54296875" customWidth="1"/>
    <col min="7" max="7" width="14.453125" customWidth="1"/>
  </cols>
  <sheetData>
    <row r="2" spans="1:8" x14ac:dyDescent="0.35">
      <c r="A2" s="81" t="s">
        <v>587</v>
      </c>
      <c r="B2" s="82" t="str">
        <f>Enigma01!E1</f>
        <v>ELP</v>
      </c>
      <c r="C2" s="30" t="s">
        <v>597</v>
      </c>
      <c r="D2" s="88" t="s">
        <v>1</v>
      </c>
      <c r="E2" s="30" t="s">
        <v>598</v>
      </c>
      <c r="F2" s="88" t="s">
        <v>4</v>
      </c>
      <c r="G2" s="30" t="s">
        <v>603</v>
      </c>
      <c r="H2" s="88">
        <v>1</v>
      </c>
    </row>
    <row r="3" spans="1:8" x14ac:dyDescent="0.35">
      <c r="A3" s="81" t="s">
        <v>588</v>
      </c>
      <c r="B3" s="82" t="str">
        <f>Enigma02!E1</f>
        <v>ELQ</v>
      </c>
      <c r="C3" s="30" t="s">
        <v>597</v>
      </c>
      <c r="D3" s="88" t="s">
        <v>4</v>
      </c>
      <c r="E3" s="30" t="s">
        <v>598</v>
      </c>
      <c r="F3" s="88" t="s">
        <v>3</v>
      </c>
      <c r="G3" s="30" t="s">
        <v>603</v>
      </c>
      <c r="H3" s="88">
        <v>2</v>
      </c>
    </row>
    <row r="4" spans="1:8" x14ac:dyDescent="0.35">
      <c r="A4" s="81" t="s">
        <v>589</v>
      </c>
      <c r="B4" s="82" t="str">
        <f>Enigma03!E1</f>
        <v>ELR</v>
      </c>
      <c r="C4" s="30" t="s">
        <v>597</v>
      </c>
      <c r="D4" s="88" t="s">
        <v>0</v>
      </c>
      <c r="E4" s="30" t="s">
        <v>598</v>
      </c>
      <c r="F4" s="88" t="s">
        <v>1</v>
      </c>
      <c r="G4" s="30" t="s">
        <v>603</v>
      </c>
      <c r="H4" s="88">
        <v>3</v>
      </c>
    </row>
    <row r="5" spans="1:8" x14ac:dyDescent="0.35">
      <c r="A5" s="81" t="s">
        <v>590</v>
      </c>
      <c r="B5" s="82" t="str">
        <f>Enigma04!E1</f>
        <v>ELS</v>
      </c>
      <c r="C5" s="30" t="s">
        <v>597</v>
      </c>
      <c r="D5" s="88" t="s">
        <v>2</v>
      </c>
      <c r="E5" s="30" t="s">
        <v>598</v>
      </c>
      <c r="F5" s="88" t="s">
        <v>6</v>
      </c>
      <c r="G5" s="30" t="s">
        <v>603</v>
      </c>
      <c r="H5" s="88">
        <v>4</v>
      </c>
    </row>
    <row r="6" spans="1:8" x14ac:dyDescent="0.35">
      <c r="A6" s="81" t="s">
        <v>591</v>
      </c>
      <c r="B6" s="82" t="str">
        <f>Enigma05!E1</f>
        <v>ELT</v>
      </c>
      <c r="C6" s="30" t="s">
        <v>597</v>
      </c>
      <c r="D6" s="88" t="s">
        <v>7</v>
      </c>
      <c r="E6" s="30" t="s">
        <v>598</v>
      </c>
      <c r="F6" s="88" t="s">
        <v>4</v>
      </c>
      <c r="G6" s="30" t="s">
        <v>603</v>
      </c>
      <c r="H6" s="88">
        <v>5</v>
      </c>
    </row>
    <row r="7" spans="1:8" x14ac:dyDescent="0.35">
      <c r="A7" s="81" t="s">
        <v>592</v>
      </c>
      <c r="B7" s="82" t="str">
        <f>Enigma06!E1</f>
        <v>ELU</v>
      </c>
      <c r="C7" s="30" t="s">
        <v>597</v>
      </c>
      <c r="D7" s="88" t="s">
        <v>7</v>
      </c>
      <c r="E7" s="30" t="s">
        <v>598</v>
      </c>
      <c r="F7" s="88" t="s">
        <v>0</v>
      </c>
      <c r="G7" s="30" t="s">
        <v>603</v>
      </c>
      <c r="H7" s="88">
        <v>6</v>
      </c>
    </row>
    <row r="8" spans="1:8" x14ac:dyDescent="0.35">
      <c r="A8" s="81" t="s">
        <v>593</v>
      </c>
      <c r="B8" s="82" t="str">
        <f>Enigma07!E1</f>
        <v>ELV</v>
      </c>
      <c r="C8" s="30" t="s">
        <v>597</v>
      </c>
      <c r="D8" s="88" t="s">
        <v>4</v>
      </c>
      <c r="E8" s="30" t="s">
        <v>598</v>
      </c>
      <c r="F8" s="88" t="s">
        <v>7</v>
      </c>
      <c r="G8" s="30" t="s">
        <v>603</v>
      </c>
      <c r="H8" s="88">
        <v>7</v>
      </c>
    </row>
    <row r="9" spans="1:8" x14ac:dyDescent="0.35">
      <c r="A9" s="81" t="s">
        <v>594</v>
      </c>
      <c r="B9" s="82" t="str">
        <f>Enigma08!E1</f>
        <v>ELW</v>
      </c>
      <c r="C9" s="30" t="s">
        <v>597</v>
      </c>
      <c r="D9" s="88" t="s">
        <v>0</v>
      </c>
      <c r="E9" s="30" t="s">
        <v>598</v>
      </c>
      <c r="F9" s="88" t="s">
        <v>3</v>
      </c>
      <c r="G9" s="30" t="s">
        <v>603</v>
      </c>
      <c r="H9" s="88">
        <v>8</v>
      </c>
    </row>
    <row r="10" spans="1:8" x14ac:dyDescent="0.35">
      <c r="A10" s="81" t="s">
        <v>595</v>
      </c>
      <c r="B10" s="82" t="str">
        <f>Enigma09!E1</f>
        <v>ELX</v>
      </c>
      <c r="C10" s="30" t="s">
        <v>597</v>
      </c>
      <c r="D10" s="88" t="s">
        <v>3</v>
      </c>
      <c r="E10" s="30" t="s">
        <v>598</v>
      </c>
      <c r="F10" s="88" t="s">
        <v>1</v>
      </c>
      <c r="G10" s="30" t="s">
        <v>603</v>
      </c>
      <c r="H10" s="88">
        <v>9</v>
      </c>
    </row>
    <row r="11" spans="1:8" x14ac:dyDescent="0.35">
      <c r="A11" s="81" t="s">
        <v>424</v>
      </c>
      <c r="B11" s="82" t="str">
        <f>Enigma10!E1</f>
        <v>ELO</v>
      </c>
      <c r="C11" s="30" t="s">
        <v>597</v>
      </c>
      <c r="D11" s="88"/>
      <c r="E11" s="30" t="s">
        <v>598</v>
      </c>
      <c r="F11" s="88"/>
      <c r="G11" s="30" t="s">
        <v>603</v>
      </c>
      <c r="H11" s="88">
        <v>0</v>
      </c>
    </row>
    <row r="12" spans="1:8" x14ac:dyDescent="0.35">
      <c r="A12" s="81" t="s">
        <v>425</v>
      </c>
      <c r="B12" s="82" t="str">
        <f>Enigma11!E1</f>
        <v>ELO</v>
      </c>
      <c r="C12" s="30" t="s">
        <v>597</v>
      </c>
      <c r="D12" s="88"/>
      <c r="E12" s="30" t="s">
        <v>598</v>
      </c>
      <c r="F12" s="88"/>
      <c r="G12" s="30" t="s">
        <v>603</v>
      </c>
      <c r="H12" s="88">
        <v>0</v>
      </c>
    </row>
    <row r="13" spans="1:8" x14ac:dyDescent="0.35">
      <c r="A13" s="81" t="s">
        <v>426</v>
      </c>
      <c r="B13" s="82" t="str">
        <f>Enigma12!E1</f>
        <v>ELO</v>
      </c>
      <c r="C13" s="30" t="s">
        <v>597</v>
      </c>
      <c r="D13" s="88"/>
      <c r="E13" s="30" t="s">
        <v>598</v>
      </c>
      <c r="F13" s="88"/>
      <c r="G13" s="30" t="s">
        <v>603</v>
      </c>
      <c r="H13" s="88">
        <v>0</v>
      </c>
    </row>
    <row r="15" spans="1:8" x14ac:dyDescent="0.35">
      <c r="A15" s="103" t="s">
        <v>30</v>
      </c>
      <c r="B15" s="104"/>
      <c r="C15" s="105"/>
    </row>
    <row r="16" spans="1:8" x14ac:dyDescent="0.35">
      <c r="A16" s="83" t="s">
        <v>599</v>
      </c>
      <c r="B16" s="83" t="s">
        <v>600</v>
      </c>
      <c r="C16" s="83" t="s">
        <v>601</v>
      </c>
    </row>
    <row r="17" spans="1:3" x14ac:dyDescent="0.35">
      <c r="A17" s="89">
        <v>1</v>
      </c>
      <c r="B17" s="89">
        <v>4</v>
      </c>
      <c r="C17" s="89">
        <v>2</v>
      </c>
    </row>
    <row r="19" spans="1:3" x14ac:dyDescent="0.35">
      <c r="A19" s="103" t="s">
        <v>602</v>
      </c>
      <c r="B19" s="104"/>
      <c r="C19" s="105"/>
    </row>
    <row r="20" spans="1:3" x14ac:dyDescent="0.35">
      <c r="A20" s="83" t="s">
        <v>599</v>
      </c>
      <c r="B20" s="83" t="s">
        <v>600</v>
      </c>
      <c r="C20" s="83" t="s">
        <v>601</v>
      </c>
    </row>
    <row r="21" spans="1:3" x14ac:dyDescent="0.35">
      <c r="A21" s="89" t="s">
        <v>0</v>
      </c>
      <c r="B21" s="89" t="s">
        <v>0</v>
      </c>
      <c r="C21" s="89" t="s">
        <v>0</v>
      </c>
    </row>
    <row r="23" spans="1:3" x14ac:dyDescent="0.35">
      <c r="A23" s="84" t="s">
        <v>26</v>
      </c>
      <c r="B23" s="89" t="s">
        <v>1</v>
      </c>
    </row>
    <row r="25" spans="1:3" x14ac:dyDescent="0.35">
      <c r="A25" s="103" t="s">
        <v>605</v>
      </c>
      <c r="B25" s="105"/>
    </row>
    <row r="26" spans="1:3" x14ac:dyDescent="0.35">
      <c r="A26" s="85" t="s">
        <v>604</v>
      </c>
      <c r="B26" s="90" t="s">
        <v>4</v>
      </c>
    </row>
    <row r="27" spans="1:3" x14ac:dyDescent="0.35">
      <c r="A27" s="85" t="s">
        <v>606</v>
      </c>
      <c r="B27" s="89" t="s">
        <v>397</v>
      </c>
    </row>
    <row r="29" spans="1:3" x14ac:dyDescent="0.35">
      <c r="A29" s="103" t="s">
        <v>617</v>
      </c>
      <c r="B29" s="104"/>
      <c r="C29" s="89" t="s">
        <v>618</v>
      </c>
    </row>
    <row r="31" spans="1:3" x14ac:dyDescent="0.35">
      <c r="A31" s="103" t="s">
        <v>622</v>
      </c>
      <c r="B31" s="104"/>
      <c r="C31" s="89">
        <v>60</v>
      </c>
    </row>
    <row r="33" spans="1:3" x14ac:dyDescent="0.35">
      <c r="A33" s="103" t="s">
        <v>621</v>
      </c>
      <c r="B33" s="105"/>
    </row>
    <row r="34" spans="1:3" x14ac:dyDescent="0.35">
      <c r="A34" s="85" t="s">
        <v>609</v>
      </c>
      <c r="B34" s="88">
        <v>3701</v>
      </c>
    </row>
    <row r="35" spans="1:3" x14ac:dyDescent="0.35">
      <c r="A35" s="85" t="s">
        <v>616</v>
      </c>
      <c r="B35" s="88">
        <v>3720</v>
      </c>
    </row>
    <row r="37" spans="1:3" x14ac:dyDescent="0.35">
      <c r="A37" s="103" t="s">
        <v>28</v>
      </c>
      <c r="B37" s="105"/>
    </row>
    <row r="38" spans="1:3" x14ac:dyDescent="0.35">
      <c r="A38" s="101">
        <v>3707</v>
      </c>
      <c r="B38" s="102"/>
    </row>
    <row r="40" spans="1:3" x14ac:dyDescent="0.35">
      <c r="A40" s="103" t="s">
        <v>610</v>
      </c>
      <c r="B40" s="104"/>
      <c r="C40" s="105"/>
    </row>
    <row r="41" spans="1:3" x14ac:dyDescent="0.35">
      <c r="A41" s="86" t="str">
        <f>VLOOKUP(A46,nNum2Let,2,FALSE)</f>
        <v>E</v>
      </c>
      <c r="B41" s="86" t="str">
        <f>VLOOKUP(B46,nNum2Let,2,FALSE)</f>
        <v>L</v>
      </c>
      <c r="C41" s="86" t="str">
        <f>VLOOKUP(C46,nNum2Let,2,FALSE)</f>
        <v>O</v>
      </c>
    </row>
    <row r="43" spans="1:3" x14ac:dyDescent="0.35">
      <c r="A43" s="43">
        <f>INT(nCounter/A45)</f>
        <v>5</v>
      </c>
      <c r="B43" s="43">
        <f>INT(nCounter/B45)</f>
        <v>142</v>
      </c>
    </row>
    <row r="44" spans="1:3" x14ac:dyDescent="0.35">
      <c r="A44" s="43">
        <f>IF(A43=0,26,A43)</f>
        <v>5</v>
      </c>
      <c r="B44" s="43">
        <f>IF(B43=0,26,B43)</f>
        <v>142</v>
      </c>
      <c r="C44" s="43">
        <f>nCounter</f>
        <v>3707</v>
      </c>
    </row>
    <row r="45" spans="1:3" x14ac:dyDescent="0.35">
      <c r="A45" s="87">
        <v>676</v>
      </c>
      <c r="B45" s="87">
        <v>26</v>
      </c>
      <c r="C45" s="87">
        <v>26</v>
      </c>
    </row>
    <row r="46" spans="1:3" x14ac:dyDescent="0.35">
      <c r="A46" s="43">
        <f>IF(MOD(A44,C45)=0,26,MOD(A44,A45))</f>
        <v>5</v>
      </c>
      <c r="B46" s="43">
        <f>IF(MOD(B44,C45)=0,26,MOD(B44,B45))</f>
        <v>12</v>
      </c>
      <c r="C46" s="43">
        <f>IF(MOD(C44,C45)=0,26,MOD(C44,C45))</f>
        <v>15</v>
      </c>
    </row>
    <row r="48" spans="1:3" x14ac:dyDescent="0.35">
      <c r="A48" s="43" t="str">
        <f>B27&amp;B26</f>
        <v>aE</v>
      </c>
    </row>
    <row r="50" spans="1:1" x14ac:dyDescent="0.35">
      <c r="A50" s="43">
        <v>27</v>
      </c>
    </row>
  </sheetData>
  <sheetProtection sheet="1" objects="1" scenarios="1"/>
  <mergeCells count="9">
    <mergeCell ref="A38:B38"/>
    <mergeCell ref="A40:C40"/>
    <mergeCell ref="A15:C15"/>
    <mergeCell ref="A19:C19"/>
    <mergeCell ref="A25:B25"/>
    <mergeCell ref="A33:B33"/>
    <mergeCell ref="A37:B37"/>
    <mergeCell ref="A29:B29"/>
    <mergeCell ref="A31:B31"/>
  </mergeCells>
  <dataValidations count="11">
    <dataValidation type="list" allowBlank="1" showInputMessage="1" showErrorMessage="1" sqref="D2:D13 F2:F13" xr:uid="{00000000-0002-0000-0E00-000000000000}">
      <formula1>nLettersUppercase</formula1>
    </dataValidation>
    <dataValidation type="list" allowBlank="1" showInputMessage="1" showErrorMessage="1" sqref="A17:C17" xr:uid="{00000000-0002-0000-0E00-000001000000}">
      <formula1>nAvailableRotors</formula1>
    </dataValidation>
    <dataValidation type="list" allowBlank="1" showInputMessage="1" showErrorMessage="1" sqref="A21:C21 B26" xr:uid="{00000000-0002-0000-0E00-000002000000}">
      <formula1>nLetter26Uppercase</formula1>
    </dataValidation>
    <dataValidation type="whole" errorStyle="information" allowBlank="1" showInputMessage="1" showErrorMessage="1" error="Whole number between 0 and 17576" promptTitle="Whole number between 0 and 17576" sqref="H3:H13" xr:uid="{00000000-0002-0000-0E00-000003000000}">
      <formula1>0</formula1>
      <formula2>17576</formula2>
    </dataValidation>
    <dataValidation type="whole" errorStyle="information" allowBlank="1" showInputMessage="1" showErrorMessage="1" error="Whole number between 0 and 17576" promptTitle="Rotor offset" prompt="Whole number between 0 and 17576_x000a_" sqref="H2" xr:uid="{00000000-0002-0000-0E00-000004000000}">
      <formula1>0</formula1>
      <formula2>17576</formula2>
    </dataValidation>
    <dataValidation type="list" allowBlank="1" showInputMessage="1" showErrorMessage="1" sqref="B23" xr:uid="{00000000-0002-0000-0E00-000005000000}">
      <formula1>nAvailableReflectors</formula1>
    </dataValidation>
    <dataValidation type="list" allowBlank="1" showInputMessage="1" showErrorMessage="1" sqref="B27" xr:uid="{00000000-0002-0000-0E00-000006000000}">
      <formula1>nLetter26Lowercase</formula1>
    </dataValidation>
    <dataValidation type="whole" allowBlank="1" showInputMessage="1" showErrorMessage="1" error="Whole number between 0 and 17576" promptTitle="Counter from" prompt="Whole number between 0 and 17576_x000a_" sqref="B34" xr:uid="{00000000-0002-0000-0E00-000007000000}">
      <formula1>0</formula1>
      <formula2>17576</formula2>
    </dataValidation>
    <dataValidation type="whole" allowBlank="1" showInputMessage="1" showErrorMessage="1" error="Whole number between 0 and 17576" promptTitle="Counter to" prompt="Whole number between 0 and 17576_x000a_" sqref="B35" xr:uid="{00000000-0002-0000-0E00-000008000000}">
      <formula1>0</formula1>
      <formula2>17576</formula2>
    </dataValidation>
    <dataValidation type="list" allowBlank="1" showInputMessage="1" showErrorMessage="1" sqref="C29" xr:uid="{00000000-0002-0000-0E00-000009000000}">
      <formula1>nBooleanChoiceYesNo</formula1>
    </dataValidation>
    <dataValidation type="whole" allowBlank="1" showInputMessage="1" showErrorMessage="1" prompt="Whole number between 10 and 100" sqref="C31" xr:uid="{00000000-0002-0000-0E00-00000A000000}">
      <formula1>10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asella di selezione 1">
              <controlPr defaultSize="0" autoPict="0">
                <anchor moveWithCells="1" sizeWithCells="1">
                  <from>
                    <xdr:col>2</xdr:col>
                    <xdr:colOff>12700</xdr:colOff>
                    <xdr:row>36</xdr:row>
                    <xdr:rowOff>12700</xdr:rowOff>
                  </from>
                  <to>
                    <xdr:col>2</xdr:col>
                    <xdr:colOff>203200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SaveSettings">
                <anchor moveWithCells="1" sizeWithCells="1">
                  <from>
                    <xdr:col>3</xdr:col>
                    <xdr:colOff>603250</xdr:colOff>
                    <xdr:row>24</xdr:row>
                    <xdr:rowOff>12700</xdr:rowOff>
                  </from>
                  <to>
                    <xdr:col>5</xdr:col>
                    <xdr:colOff>31750</xdr:colOff>
                    <xdr:row>25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GotoWires">
                <anchor moveWithCells="1" sizeWithCells="1">
                  <from>
                    <xdr:col>3</xdr:col>
                    <xdr:colOff>603250</xdr:colOff>
                    <xdr:row>25</xdr:row>
                    <xdr:rowOff>127000</xdr:rowOff>
                  </from>
                  <to>
                    <xdr:col>5</xdr:col>
                    <xdr:colOff>31750</xdr:colOff>
                    <xdr:row>26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/>
  <dimension ref="A1:U79"/>
  <sheetViews>
    <sheetView showGridLines="0" showRowColHeaders="0" workbookViewId="0">
      <selection sqref="A1:B1"/>
    </sheetView>
  </sheetViews>
  <sheetFormatPr defaultRowHeight="14.5" x14ac:dyDescent="0.35"/>
  <cols>
    <col min="13" max="13" width="13.26953125" customWidth="1"/>
    <col min="15" max="15" width="12.54296875" bestFit="1" customWidth="1"/>
    <col min="19" max="19" width="11.453125" customWidth="1"/>
  </cols>
  <sheetData>
    <row r="1" spans="1:21" x14ac:dyDescent="0.35">
      <c r="A1" s="106" t="s">
        <v>29</v>
      </c>
      <c r="B1" s="107"/>
      <c r="D1" s="106" t="s">
        <v>392</v>
      </c>
      <c r="E1" s="107"/>
      <c r="G1" s="106" t="s">
        <v>393</v>
      </c>
      <c r="H1" s="107"/>
      <c r="J1" s="106" t="s">
        <v>394</v>
      </c>
      <c r="K1" s="107"/>
      <c r="M1" s="83" t="s">
        <v>623</v>
      </c>
      <c r="O1" s="83" t="s">
        <v>624</v>
      </c>
      <c r="Q1" s="83" t="s">
        <v>625</v>
      </c>
      <c r="S1" s="83" t="s">
        <v>626</v>
      </c>
      <c r="U1" s="83" t="s">
        <v>627</v>
      </c>
    </row>
    <row r="2" spans="1:21" x14ac:dyDescent="0.35">
      <c r="A2" s="2" t="s">
        <v>0</v>
      </c>
      <c r="B2" s="2">
        <v>1</v>
      </c>
      <c r="D2" s="2">
        <v>1</v>
      </c>
      <c r="E2" s="2" t="s">
        <v>0</v>
      </c>
      <c r="G2" s="2" t="s">
        <v>0</v>
      </c>
      <c r="H2" s="2" t="s">
        <v>1</v>
      </c>
      <c r="J2" s="2" t="s">
        <v>0</v>
      </c>
      <c r="K2" s="2">
        <v>0</v>
      </c>
      <c r="M2" s="2"/>
      <c r="O2" s="2"/>
      <c r="Q2" s="2">
        <v>1</v>
      </c>
      <c r="S2" s="2" t="s">
        <v>0</v>
      </c>
      <c r="U2" s="2" t="s">
        <v>618</v>
      </c>
    </row>
    <row r="3" spans="1:21" x14ac:dyDescent="0.35">
      <c r="A3" s="2" t="s">
        <v>1</v>
      </c>
      <c r="B3" s="2">
        <v>2</v>
      </c>
      <c r="D3" s="2">
        <v>2</v>
      </c>
      <c r="E3" s="2" t="s">
        <v>1</v>
      </c>
      <c r="G3" s="2" t="s">
        <v>1</v>
      </c>
      <c r="H3" s="2" t="s">
        <v>2</v>
      </c>
      <c r="J3" s="2" t="s">
        <v>1</v>
      </c>
      <c r="K3" s="2">
        <v>25</v>
      </c>
      <c r="M3" s="2" t="s">
        <v>0</v>
      </c>
      <c r="O3" s="2" t="s">
        <v>397</v>
      </c>
      <c r="Q3" s="2">
        <v>2</v>
      </c>
      <c r="S3" s="2" t="s">
        <v>1</v>
      </c>
      <c r="U3" s="2" t="s">
        <v>619</v>
      </c>
    </row>
    <row r="4" spans="1:21" x14ac:dyDescent="0.35">
      <c r="A4" s="2" t="s">
        <v>2</v>
      </c>
      <c r="B4" s="2">
        <v>3</v>
      </c>
      <c r="D4" s="2">
        <v>3</v>
      </c>
      <c r="E4" s="2" t="s">
        <v>2</v>
      </c>
      <c r="G4" s="2" t="s">
        <v>2</v>
      </c>
      <c r="H4" s="2" t="s">
        <v>3</v>
      </c>
      <c r="J4" s="2" t="s">
        <v>2</v>
      </c>
      <c r="K4" s="2">
        <v>24</v>
      </c>
      <c r="M4" s="2" t="s">
        <v>1</v>
      </c>
      <c r="O4" s="2" t="s">
        <v>398</v>
      </c>
      <c r="Q4" s="2">
        <v>3</v>
      </c>
      <c r="S4" s="2" t="s">
        <v>2</v>
      </c>
    </row>
    <row r="5" spans="1:21" x14ac:dyDescent="0.35">
      <c r="A5" s="2" t="s">
        <v>3</v>
      </c>
      <c r="B5" s="2">
        <v>4</v>
      </c>
      <c r="D5" s="2">
        <v>4</v>
      </c>
      <c r="E5" s="2" t="s">
        <v>3</v>
      </c>
      <c r="G5" s="2" t="s">
        <v>3</v>
      </c>
      <c r="H5" s="2" t="s">
        <v>4</v>
      </c>
      <c r="J5" s="2" t="s">
        <v>3</v>
      </c>
      <c r="K5" s="2">
        <v>23</v>
      </c>
      <c r="M5" s="2" t="s">
        <v>2</v>
      </c>
      <c r="O5" s="2" t="s">
        <v>399</v>
      </c>
      <c r="Q5" s="2">
        <v>4</v>
      </c>
    </row>
    <row r="6" spans="1:21" x14ac:dyDescent="0.35">
      <c r="A6" s="2" t="s">
        <v>4</v>
      </c>
      <c r="B6" s="2">
        <v>5</v>
      </c>
      <c r="D6" s="2">
        <v>5</v>
      </c>
      <c r="E6" s="2" t="s">
        <v>4</v>
      </c>
      <c r="G6" s="2" t="s">
        <v>4</v>
      </c>
      <c r="H6" s="2" t="s">
        <v>5</v>
      </c>
      <c r="J6" s="2" t="s">
        <v>4</v>
      </c>
      <c r="K6" s="2">
        <v>22</v>
      </c>
      <c r="M6" s="2" t="s">
        <v>3</v>
      </c>
      <c r="O6" s="2" t="s">
        <v>400</v>
      </c>
      <c r="Q6" s="2">
        <v>5</v>
      </c>
    </row>
    <row r="7" spans="1:21" x14ac:dyDescent="0.35">
      <c r="A7" s="2" t="s">
        <v>5</v>
      </c>
      <c r="B7" s="2">
        <v>6</v>
      </c>
      <c r="D7" s="2">
        <v>6</v>
      </c>
      <c r="E7" s="2" t="s">
        <v>5</v>
      </c>
      <c r="G7" s="2" t="s">
        <v>5</v>
      </c>
      <c r="H7" s="2" t="s">
        <v>6</v>
      </c>
      <c r="J7" s="2" t="s">
        <v>5</v>
      </c>
      <c r="K7" s="2">
        <v>21</v>
      </c>
      <c r="M7" s="2" t="s">
        <v>4</v>
      </c>
      <c r="O7" s="2" t="s">
        <v>401</v>
      </c>
      <c r="Q7" s="2">
        <v>6</v>
      </c>
    </row>
    <row r="8" spans="1:21" x14ac:dyDescent="0.35">
      <c r="A8" s="2" t="s">
        <v>6</v>
      </c>
      <c r="B8" s="2">
        <v>7</v>
      </c>
      <c r="D8" s="2">
        <v>7</v>
      </c>
      <c r="E8" s="2" t="s">
        <v>6</v>
      </c>
      <c r="G8" s="2" t="s">
        <v>6</v>
      </c>
      <c r="H8" s="2" t="s">
        <v>7</v>
      </c>
      <c r="J8" s="2" t="s">
        <v>6</v>
      </c>
      <c r="K8" s="2">
        <v>20</v>
      </c>
      <c r="M8" s="2" t="s">
        <v>5</v>
      </c>
      <c r="O8" s="2" t="s">
        <v>402</v>
      </c>
      <c r="Q8" s="2">
        <v>7</v>
      </c>
    </row>
    <row r="9" spans="1:21" x14ac:dyDescent="0.35">
      <c r="A9" s="2" t="s">
        <v>7</v>
      </c>
      <c r="B9" s="2">
        <v>8</v>
      </c>
      <c r="D9" s="2">
        <v>8</v>
      </c>
      <c r="E9" s="2" t="s">
        <v>7</v>
      </c>
      <c r="G9" s="2" t="s">
        <v>7</v>
      </c>
      <c r="H9" s="2" t="s">
        <v>8</v>
      </c>
      <c r="J9" s="2" t="s">
        <v>7</v>
      </c>
      <c r="K9" s="2">
        <v>19</v>
      </c>
      <c r="M9" s="2" t="s">
        <v>6</v>
      </c>
      <c r="O9" s="2" t="s">
        <v>403</v>
      </c>
      <c r="Q9" s="2">
        <v>8</v>
      </c>
    </row>
    <row r="10" spans="1:21" x14ac:dyDescent="0.35">
      <c r="A10" s="2" t="s">
        <v>8</v>
      </c>
      <c r="B10" s="2">
        <v>9</v>
      </c>
      <c r="D10" s="2">
        <v>9</v>
      </c>
      <c r="E10" s="2" t="s">
        <v>8</v>
      </c>
      <c r="G10" s="2" t="s">
        <v>8</v>
      </c>
      <c r="H10" s="2" t="s">
        <v>9</v>
      </c>
      <c r="J10" s="2" t="s">
        <v>8</v>
      </c>
      <c r="K10" s="2">
        <v>18</v>
      </c>
      <c r="M10" s="2" t="s">
        <v>7</v>
      </c>
      <c r="O10" s="2" t="s">
        <v>404</v>
      </c>
    </row>
    <row r="11" spans="1:21" x14ac:dyDescent="0.35">
      <c r="A11" s="2" t="s">
        <v>9</v>
      </c>
      <c r="B11" s="2">
        <v>10</v>
      </c>
      <c r="D11" s="2">
        <v>10</v>
      </c>
      <c r="E11" s="2" t="s">
        <v>9</v>
      </c>
      <c r="G11" s="2" t="s">
        <v>9</v>
      </c>
      <c r="H11" s="2" t="s">
        <v>10</v>
      </c>
      <c r="J11" s="2" t="s">
        <v>9</v>
      </c>
      <c r="K11" s="2">
        <v>17</v>
      </c>
      <c r="M11" s="2" t="s">
        <v>8</v>
      </c>
      <c r="O11" s="2" t="s">
        <v>405</v>
      </c>
    </row>
    <row r="12" spans="1:21" x14ac:dyDescent="0.35">
      <c r="A12" s="2" t="s">
        <v>10</v>
      </c>
      <c r="B12" s="2">
        <v>11</v>
      </c>
      <c r="D12" s="2">
        <v>11</v>
      </c>
      <c r="E12" s="2" t="s">
        <v>10</v>
      </c>
      <c r="G12" s="2" t="s">
        <v>10</v>
      </c>
      <c r="H12" s="2" t="s">
        <v>11</v>
      </c>
      <c r="J12" s="2" t="s">
        <v>10</v>
      </c>
      <c r="K12" s="2">
        <v>16</v>
      </c>
      <c r="M12" s="2" t="s">
        <v>9</v>
      </c>
      <c r="O12" s="2" t="s">
        <v>406</v>
      </c>
    </row>
    <row r="13" spans="1:21" x14ac:dyDescent="0.35">
      <c r="A13" s="2" t="s">
        <v>11</v>
      </c>
      <c r="B13" s="2">
        <v>12</v>
      </c>
      <c r="D13" s="2">
        <v>12</v>
      </c>
      <c r="E13" s="2" t="s">
        <v>11</v>
      </c>
      <c r="G13" s="2" t="s">
        <v>11</v>
      </c>
      <c r="H13" s="2" t="s">
        <v>12</v>
      </c>
      <c r="J13" s="2" t="s">
        <v>11</v>
      </c>
      <c r="K13" s="2">
        <v>15</v>
      </c>
      <c r="M13" s="2" t="s">
        <v>10</v>
      </c>
      <c r="O13" s="2" t="s">
        <v>407</v>
      </c>
    </row>
    <row r="14" spans="1:21" x14ac:dyDescent="0.35">
      <c r="A14" s="2" t="s">
        <v>12</v>
      </c>
      <c r="B14" s="2">
        <v>13</v>
      </c>
      <c r="D14" s="2">
        <v>13</v>
      </c>
      <c r="E14" s="2" t="s">
        <v>12</v>
      </c>
      <c r="G14" s="2" t="s">
        <v>12</v>
      </c>
      <c r="H14" s="2" t="s">
        <v>13</v>
      </c>
      <c r="J14" s="2" t="s">
        <v>12</v>
      </c>
      <c r="K14" s="2">
        <v>14</v>
      </c>
      <c r="M14" s="2" t="s">
        <v>11</v>
      </c>
      <c r="O14" s="2" t="s">
        <v>408</v>
      </c>
    </row>
    <row r="15" spans="1:21" x14ac:dyDescent="0.35">
      <c r="A15" s="2" t="s">
        <v>13</v>
      </c>
      <c r="B15" s="2">
        <v>14</v>
      </c>
      <c r="D15" s="2">
        <v>14</v>
      </c>
      <c r="E15" s="2" t="s">
        <v>13</v>
      </c>
      <c r="G15" s="2" t="s">
        <v>13</v>
      </c>
      <c r="H15" s="2" t="s">
        <v>14</v>
      </c>
      <c r="J15" s="2" t="s">
        <v>13</v>
      </c>
      <c r="K15" s="2">
        <v>13</v>
      </c>
      <c r="M15" s="2" t="s">
        <v>12</v>
      </c>
      <c r="O15" s="2" t="s">
        <v>409</v>
      </c>
    </row>
    <row r="16" spans="1:21" x14ac:dyDescent="0.35">
      <c r="A16" s="2" t="s">
        <v>14</v>
      </c>
      <c r="B16" s="2">
        <v>15</v>
      </c>
      <c r="D16" s="2">
        <v>15</v>
      </c>
      <c r="E16" s="2" t="s">
        <v>14</v>
      </c>
      <c r="G16" s="2" t="s">
        <v>14</v>
      </c>
      <c r="H16" s="2" t="s">
        <v>15</v>
      </c>
      <c r="J16" s="2" t="s">
        <v>14</v>
      </c>
      <c r="K16" s="2">
        <v>12</v>
      </c>
      <c r="M16" s="2" t="s">
        <v>13</v>
      </c>
      <c r="O16" s="2" t="s">
        <v>410</v>
      </c>
    </row>
    <row r="17" spans="1:15" x14ac:dyDescent="0.35">
      <c r="A17" s="2" t="s">
        <v>15</v>
      </c>
      <c r="B17" s="2">
        <v>16</v>
      </c>
      <c r="D17" s="2">
        <v>16</v>
      </c>
      <c r="E17" s="2" t="s">
        <v>15</v>
      </c>
      <c r="G17" s="2" t="s">
        <v>15</v>
      </c>
      <c r="H17" s="2" t="s">
        <v>16</v>
      </c>
      <c r="J17" s="2" t="s">
        <v>15</v>
      </c>
      <c r="K17" s="2">
        <v>11</v>
      </c>
      <c r="M17" s="2" t="s">
        <v>14</v>
      </c>
      <c r="O17" s="2" t="s">
        <v>411</v>
      </c>
    </row>
    <row r="18" spans="1:15" x14ac:dyDescent="0.35">
      <c r="A18" s="2" t="s">
        <v>16</v>
      </c>
      <c r="B18" s="2">
        <v>17</v>
      </c>
      <c r="D18" s="2">
        <v>17</v>
      </c>
      <c r="E18" s="2" t="s">
        <v>16</v>
      </c>
      <c r="G18" s="2" t="s">
        <v>16</v>
      </c>
      <c r="H18" s="2" t="s">
        <v>17</v>
      </c>
      <c r="J18" s="2" t="s">
        <v>16</v>
      </c>
      <c r="K18" s="2">
        <v>10</v>
      </c>
      <c r="M18" s="2" t="s">
        <v>15</v>
      </c>
      <c r="O18" s="2" t="s">
        <v>412</v>
      </c>
    </row>
    <row r="19" spans="1:15" x14ac:dyDescent="0.35">
      <c r="A19" s="2" t="s">
        <v>17</v>
      </c>
      <c r="B19" s="2">
        <v>18</v>
      </c>
      <c r="D19" s="2">
        <v>18</v>
      </c>
      <c r="E19" s="2" t="s">
        <v>17</v>
      </c>
      <c r="G19" s="2" t="s">
        <v>17</v>
      </c>
      <c r="H19" s="2" t="s">
        <v>18</v>
      </c>
      <c r="J19" s="2" t="s">
        <v>17</v>
      </c>
      <c r="K19" s="2">
        <v>9</v>
      </c>
      <c r="M19" s="2" t="s">
        <v>16</v>
      </c>
      <c r="O19" s="2" t="s">
        <v>413</v>
      </c>
    </row>
    <row r="20" spans="1:15" x14ac:dyDescent="0.35">
      <c r="A20" s="2" t="s">
        <v>18</v>
      </c>
      <c r="B20" s="2">
        <v>19</v>
      </c>
      <c r="D20" s="2">
        <v>19</v>
      </c>
      <c r="E20" s="2" t="s">
        <v>18</v>
      </c>
      <c r="G20" s="2" t="s">
        <v>18</v>
      </c>
      <c r="H20" s="2" t="s">
        <v>19</v>
      </c>
      <c r="J20" s="2" t="s">
        <v>18</v>
      </c>
      <c r="K20" s="2">
        <v>8</v>
      </c>
      <c r="M20" s="2" t="s">
        <v>17</v>
      </c>
      <c r="O20" s="2" t="s">
        <v>414</v>
      </c>
    </row>
    <row r="21" spans="1:15" x14ac:dyDescent="0.35">
      <c r="A21" s="2" t="s">
        <v>19</v>
      </c>
      <c r="B21" s="2">
        <v>20</v>
      </c>
      <c r="D21" s="2">
        <v>20</v>
      </c>
      <c r="E21" s="2" t="s">
        <v>19</v>
      </c>
      <c r="G21" s="2" t="s">
        <v>19</v>
      </c>
      <c r="H21" s="2" t="s">
        <v>20</v>
      </c>
      <c r="J21" s="2" t="s">
        <v>19</v>
      </c>
      <c r="K21" s="2">
        <v>7</v>
      </c>
      <c r="M21" s="2" t="s">
        <v>18</v>
      </c>
      <c r="O21" s="2" t="s">
        <v>415</v>
      </c>
    </row>
    <row r="22" spans="1:15" x14ac:dyDescent="0.35">
      <c r="A22" s="2" t="s">
        <v>20</v>
      </c>
      <c r="B22" s="2">
        <v>21</v>
      </c>
      <c r="D22" s="2">
        <v>21</v>
      </c>
      <c r="E22" s="2" t="s">
        <v>20</v>
      </c>
      <c r="G22" s="2" t="s">
        <v>20</v>
      </c>
      <c r="H22" s="2" t="s">
        <v>21</v>
      </c>
      <c r="J22" s="2" t="s">
        <v>20</v>
      </c>
      <c r="K22" s="2">
        <v>6</v>
      </c>
      <c r="M22" s="2" t="s">
        <v>19</v>
      </c>
      <c r="O22" s="2" t="s">
        <v>416</v>
      </c>
    </row>
    <row r="23" spans="1:15" x14ac:dyDescent="0.35">
      <c r="A23" s="2" t="s">
        <v>21</v>
      </c>
      <c r="B23" s="2">
        <v>22</v>
      </c>
      <c r="D23" s="2">
        <v>22</v>
      </c>
      <c r="E23" s="2" t="s">
        <v>21</v>
      </c>
      <c r="G23" s="2" t="s">
        <v>21</v>
      </c>
      <c r="H23" s="2" t="s">
        <v>22</v>
      </c>
      <c r="J23" s="2" t="s">
        <v>21</v>
      </c>
      <c r="K23" s="2">
        <v>5</v>
      </c>
      <c r="M23" s="2" t="s">
        <v>20</v>
      </c>
      <c r="O23" s="2" t="s">
        <v>417</v>
      </c>
    </row>
    <row r="24" spans="1:15" x14ac:dyDescent="0.35">
      <c r="A24" s="2" t="s">
        <v>22</v>
      </c>
      <c r="B24" s="2">
        <v>23</v>
      </c>
      <c r="D24" s="2">
        <v>23</v>
      </c>
      <c r="E24" s="2" t="s">
        <v>22</v>
      </c>
      <c r="G24" s="2" t="s">
        <v>22</v>
      </c>
      <c r="H24" s="2" t="s">
        <v>23</v>
      </c>
      <c r="J24" s="2" t="s">
        <v>22</v>
      </c>
      <c r="K24" s="2">
        <v>4</v>
      </c>
      <c r="M24" s="2" t="s">
        <v>21</v>
      </c>
      <c r="O24" s="2" t="s">
        <v>418</v>
      </c>
    </row>
    <row r="25" spans="1:15" x14ac:dyDescent="0.35">
      <c r="A25" s="2" t="s">
        <v>23</v>
      </c>
      <c r="B25" s="2">
        <v>24</v>
      </c>
      <c r="D25" s="2">
        <v>24</v>
      </c>
      <c r="E25" s="2" t="s">
        <v>23</v>
      </c>
      <c r="G25" s="2" t="s">
        <v>23</v>
      </c>
      <c r="H25" s="2" t="s">
        <v>24</v>
      </c>
      <c r="J25" s="2" t="s">
        <v>23</v>
      </c>
      <c r="K25" s="2">
        <v>3</v>
      </c>
      <c r="M25" s="2" t="s">
        <v>22</v>
      </c>
      <c r="O25" s="2" t="s">
        <v>419</v>
      </c>
    </row>
    <row r="26" spans="1:15" x14ac:dyDescent="0.35">
      <c r="A26" s="2" t="s">
        <v>24</v>
      </c>
      <c r="B26" s="2">
        <v>25</v>
      </c>
      <c r="D26" s="2">
        <v>25</v>
      </c>
      <c r="E26" s="2" t="s">
        <v>24</v>
      </c>
      <c r="G26" s="2" t="s">
        <v>24</v>
      </c>
      <c r="H26" s="2" t="s">
        <v>25</v>
      </c>
      <c r="J26" s="2" t="s">
        <v>24</v>
      </c>
      <c r="K26" s="2">
        <v>2</v>
      </c>
      <c r="M26" s="2" t="s">
        <v>23</v>
      </c>
      <c r="O26" s="2" t="s">
        <v>420</v>
      </c>
    </row>
    <row r="27" spans="1:15" x14ac:dyDescent="0.35">
      <c r="A27" s="2" t="s">
        <v>25</v>
      </c>
      <c r="B27" s="2">
        <v>26</v>
      </c>
      <c r="D27" s="2">
        <v>26</v>
      </c>
      <c r="E27" s="2" t="s">
        <v>25</v>
      </c>
      <c r="G27" s="2" t="s">
        <v>25</v>
      </c>
      <c r="H27" s="2" t="s">
        <v>0</v>
      </c>
      <c r="J27" s="2" t="s">
        <v>25</v>
      </c>
      <c r="K27" s="2">
        <v>1</v>
      </c>
      <c r="M27" s="2" t="s">
        <v>24</v>
      </c>
      <c r="O27" s="2" t="s">
        <v>421</v>
      </c>
    </row>
    <row r="28" spans="1:15" x14ac:dyDescent="0.35">
      <c r="D28" s="2">
        <v>27</v>
      </c>
      <c r="E28" s="2" t="s">
        <v>0</v>
      </c>
      <c r="M28" s="2" t="s">
        <v>25</v>
      </c>
      <c r="O28" s="2" t="s">
        <v>422</v>
      </c>
    </row>
    <row r="29" spans="1:15" x14ac:dyDescent="0.35">
      <c r="D29" s="2">
        <v>28</v>
      </c>
      <c r="E29" s="2" t="s">
        <v>1</v>
      </c>
    </row>
    <row r="30" spans="1:15" x14ac:dyDescent="0.35">
      <c r="D30" s="2">
        <v>29</v>
      </c>
      <c r="E30" s="2" t="s">
        <v>2</v>
      </c>
    </row>
    <row r="31" spans="1:15" x14ac:dyDescent="0.35">
      <c r="D31" s="2">
        <v>30</v>
      </c>
      <c r="E31" s="2" t="s">
        <v>3</v>
      </c>
    </row>
    <row r="32" spans="1:15" x14ac:dyDescent="0.35">
      <c r="D32" s="2">
        <v>31</v>
      </c>
      <c r="E32" s="2" t="s">
        <v>4</v>
      </c>
    </row>
    <row r="33" spans="4:5" x14ac:dyDescent="0.35">
      <c r="D33" s="2">
        <v>32</v>
      </c>
      <c r="E33" s="2" t="s">
        <v>5</v>
      </c>
    </row>
    <row r="34" spans="4:5" x14ac:dyDescent="0.35">
      <c r="D34" s="2">
        <v>33</v>
      </c>
      <c r="E34" s="2" t="s">
        <v>6</v>
      </c>
    </row>
    <row r="35" spans="4:5" x14ac:dyDescent="0.35">
      <c r="D35" s="2">
        <v>34</v>
      </c>
      <c r="E35" s="2" t="s">
        <v>7</v>
      </c>
    </row>
    <row r="36" spans="4:5" x14ac:dyDescent="0.35">
      <c r="D36" s="2">
        <v>35</v>
      </c>
      <c r="E36" s="2" t="s">
        <v>8</v>
      </c>
    </row>
    <row r="37" spans="4:5" x14ac:dyDescent="0.35">
      <c r="D37" s="2">
        <v>36</v>
      </c>
      <c r="E37" s="2" t="s">
        <v>9</v>
      </c>
    </row>
    <row r="38" spans="4:5" x14ac:dyDescent="0.35">
      <c r="D38" s="2">
        <v>37</v>
      </c>
      <c r="E38" s="2" t="s">
        <v>10</v>
      </c>
    </row>
    <row r="39" spans="4:5" x14ac:dyDescent="0.35">
      <c r="D39" s="2">
        <v>38</v>
      </c>
      <c r="E39" s="2" t="s">
        <v>11</v>
      </c>
    </row>
    <row r="40" spans="4:5" x14ac:dyDescent="0.35">
      <c r="D40" s="2">
        <v>39</v>
      </c>
      <c r="E40" s="2" t="s">
        <v>12</v>
      </c>
    </row>
    <row r="41" spans="4:5" x14ac:dyDescent="0.35">
      <c r="D41" s="2">
        <v>40</v>
      </c>
      <c r="E41" s="2" t="s">
        <v>13</v>
      </c>
    </row>
    <row r="42" spans="4:5" x14ac:dyDescent="0.35">
      <c r="D42" s="2">
        <v>41</v>
      </c>
      <c r="E42" s="2" t="s">
        <v>14</v>
      </c>
    </row>
    <row r="43" spans="4:5" x14ac:dyDescent="0.35">
      <c r="D43" s="2">
        <v>42</v>
      </c>
      <c r="E43" s="2" t="s">
        <v>15</v>
      </c>
    </row>
    <row r="44" spans="4:5" x14ac:dyDescent="0.35">
      <c r="D44" s="2">
        <v>43</v>
      </c>
      <c r="E44" s="2" t="s">
        <v>16</v>
      </c>
    </row>
    <row r="45" spans="4:5" x14ac:dyDescent="0.35">
      <c r="D45" s="2">
        <v>44</v>
      </c>
      <c r="E45" s="2" t="s">
        <v>17</v>
      </c>
    </row>
    <row r="46" spans="4:5" x14ac:dyDescent="0.35">
      <c r="D46" s="2">
        <v>45</v>
      </c>
      <c r="E46" s="2" t="s">
        <v>18</v>
      </c>
    </row>
    <row r="47" spans="4:5" x14ac:dyDescent="0.35">
      <c r="D47" s="2">
        <v>46</v>
      </c>
      <c r="E47" s="2" t="s">
        <v>19</v>
      </c>
    </row>
    <row r="48" spans="4:5" x14ac:dyDescent="0.35">
      <c r="D48" s="2">
        <v>47</v>
      </c>
      <c r="E48" s="2" t="s">
        <v>20</v>
      </c>
    </row>
    <row r="49" spans="4:5" x14ac:dyDescent="0.35">
      <c r="D49" s="2">
        <v>48</v>
      </c>
      <c r="E49" s="2" t="s">
        <v>21</v>
      </c>
    </row>
    <row r="50" spans="4:5" x14ac:dyDescent="0.35">
      <c r="D50" s="2">
        <v>49</v>
      </c>
      <c r="E50" s="2" t="s">
        <v>22</v>
      </c>
    </row>
    <row r="51" spans="4:5" x14ac:dyDescent="0.35">
      <c r="D51" s="2">
        <v>50</v>
      </c>
      <c r="E51" s="2" t="s">
        <v>23</v>
      </c>
    </row>
    <row r="52" spans="4:5" x14ac:dyDescent="0.35">
      <c r="D52" s="2">
        <v>51</v>
      </c>
      <c r="E52" s="2" t="s">
        <v>24</v>
      </c>
    </row>
    <row r="53" spans="4:5" x14ac:dyDescent="0.35">
      <c r="D53" s="2">
        <v>52</v>
      </c>
      <c r="E53" s="2" t="s">
        <v>25</v>
      </c>
    </row>
    <row r="54" spans="4:5" x14ac:dyDescent="0.35">
      <c r="D54" s="2">
        <v>53</v>
      </c>
      <c r="E54" s="2" t="s">
        <v>0</v>
      </c>
    </row>
    <row r="55" spans="4:5" x14ac:dyDescent="0.35">
      <c r="D55" s="2">
        <v>54</v>
      </c>
      <c r="E55" s="2" t="s">
        <v>1</v>
      </c>
    </row>
    <row r="56" spans="4:5" x14ac:dyDescent="0.35">
      <c r="D56" s="2">
        <v>55</v>
      </c>
      <c r="E56" s="2" t="s">
        <v>2</v>
      </c>
    </row>
    <row r="57" spans="4:5" x14ac:dyDescent="0.35">
      <c r="D57" s="2">
        <v>56</v>
      </c>
      <c r="E57" s="2" t="s">
        <v>3</v>
      </c>
    </row>
    <row r="58" spans="4:5" x14ac:dyDescent="0.35">
      <c r="D58" s="2">
        <v>57</v>
      </c>
      <c r="E58" s="2" t="s">
        <v>4</v>
      </c>
    </row>
    <row r="59" spans="4:5" x14ac:dyDescent="0.35">
      <c r="D59" s="2">
        <v>58</v>
      </c>
      <c r="E59" s="2" t="s">
        <v>5</v>
      </c>
    </row>
    <row r="60" spans="4:5" x14ac:dyDescent="0.35">
      <c r="D60" s="2">
        <v>59</v>
      </c>
      <c r="E60" s="2" t="s">
        <v>6</v>
      </c>
    </row>
    <row r="61" spans="4:5" x14ac:dyDescent="0.35">
      <c r="D61" s="2">
        <v>60</v>
      </c>
      <c r="E61" s="2" t="s">
        <v>7</v>
      </c>
    </row>
    <row r="62" spans="4:5" x14ac:dyDescent="0.35">
      <c r="D62" s="2">
        <v>61</v>
      </c>
      <c r="E62" s="2" t="s">
        <v>8</v>
      </c>
    </row>
    <row r="63" spans="4:5" x14ac:dyDescent="0.35">
      <c r="D63" s="2">
        <v>62</v>
      </c>
      <c r="E63" s="2" t="s">
        <v>9</v>
      </c>
    </row>
    <row r="64" spans="4:5" x14ac:dyDescent="0.35">
      <c r="D64" s="2">
        <v>63</v>
      </c>
      <c r="E64" s="2" t="s">
        <v>10</v>
      </c>
    </row>
    <row r="65" spans="4:5" x14ac:dyDescent="0.35">
      <c r="D65" s="2">
        <v>64</v>
      </c>
      <c r="E65" s="2" t="s">
        <v>11</v>
      </c>
    </row>
    <row r="66" spans="4:5" x14ac:dyDescent="0.35">
      <c r="D66" s="2">
        <v>65</v>
      </c>
      <c r="E66" s="2" t="s">
        <v>12</v>
      </c>
    </row>
    <row r="67" spans="4:5" x14ac:dyDescent="0.35">
      <c r="D67" s="2">
        <v>66</v>
      </c>
      <c r="E67" s="2" t="s">
        <v>13</v>
      </c>
    </row>
    <row r="68" spans="4:5" x14ac:dyDescent="0.35">
      <c r="D68" s="2">
        <v>67</v>
      </c>
      <c r="E68" s="2" t="s">
        <v>14</v>
      </c>
    </row>
    <row r="69" spans="4:5" x14ac:dyDescent="0.35">
      <c r="D69" s="2">
        <v>68</v>
      </c>
      <c r="E69" s="2" t="s">
        <v>15</v>
      </c>
    </row>
    <row r="70" spans="4:5" x14ac:dyDescent="0.35">
      <c r="D70" s="2">
        <v>69</v>
      </c>
      <c r="E70" s="2" t="s">
        <v>16</v>
      </c>
    </row>
    <row r="71" spans="4:5" x14ac:dyDescent="0.35">
      <c r="D71" s="2">
        <v>70</v>
      </c>
      <c r="E71" s="2" t="s">
        <v>17</v>
      </c>
    </row>
    <row r="72" spans="4:5" x14ac:dyDescent="0.35">
      <c r="D72" s="2">
        <v>71</v>
      </c>
      <c r="E72" s="2" t="s">
        <v>18</v>
      </c>
    </row>
    <row r="73" spans="4:5" x14ac:dyDescent="0.35">
      <c r="D73" s="2">
        <v>72</v>
      </c>
      <c r="E73" s="2" t="s">
        <v>19</v>
      </c>
    </row>
    <row r="74" spans="4:5" x14ac:dyDescent="0.35">
      <c r="D74" s="2">
        <v>73</v>
      </c>
      <c r="E74" s="2" t="s">
        <v>20</v>
      </c>
    </row>
    <row r="75" spans="4:5" x14ac:dyDescent="0.35">
      <c r="D75" s="2">
        <v>74</v>
      </c>
      <c r="E75" s="2" t="s">
        <v>21</v>
      </c>
    </row>
    <row r="76" spans="4:5" x14ac:dyDescent="0.35">
      <c r="D76" s="2">
        <v>75</v>
      </c>
      <c r="E76" s="2" t="s">
        <v>22</v>
      </c>
    </row>
    <row r="77" spans="4:5" x14ac:dyDescent="0.35">
      <c r="D77" s="2">
        <v>76</v>
      </c>
      <c r="E77" s="2" t="s">
        <v>23</v>
      </c>
    </row>
    <row r="78" spans="4:5" x14ac:dyDescent="0.35">
      <c r="D78" s="2">
        <v>77</v>
      </c>
      <c r="E78" s="2" t="s">
        <v>24</v>
      </c>
    </row>
    <row r="79" spans="4:5" x14ac:dyDescent="0.35">
      <c r="D79" s="2">
        <v>78</v>
      </c>
      <c r="E79" s="2" t="s">
        <v>25</v>
      </c>
    </row>
  </sheetData>
  <sheetProtection sheet="1" objects="1" scenarios="1"/>
  <mergeCells count="4">
    <mergeCell ref="A1:B1"/>
    <mergeCell ref="D1:E1"/>
    <mergeCell ref="G1:H1"/>
    <mergeCell ref="J1:K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E209"/>
  <sheetViews>
    <sheetView showGridLines="0" showRowColHeaders="0" workbookViewId="0">
      <selection sqref="A1:E1"/>
    </sheetView>
  </sheetViews>
  <sheetFormatPr defaultRowHeight="14.5" x14ac:dyDescent="0.35"/>
  <cols>
    <col min="1" max="5" width="9.1796875" customWidth="1"/>
  </cols>
  <sheetData>
    <row r="1" spans="1:5" x14ac:dyDescent="0.35">
      <c r="A1" s="108" t="s">
        <v>30</v>
      </c>
      <c r="B1" s="109"/>
      <c r="C1" s="109"/>
      <c r="D1" s="109"/>
      <c r="E1" s="110"/>
    </row>
    <row r="2" spans="1:5" x14ac:dyDescent="0.35">
      <c r="A2" s="29" t="s">
        <v>40</v>
      </c>
      <c r="B2" s="30">
        <v>1</v>
      </c>
      <c r="C2" s="29" t="s">
        <v>0</v>
      </c>
      <c r="D2" s="29" t="s">
        <v>4</v>
      </c>
      <c r="E2" s="31">
        <v>5</v>
      </c>
    </row>
    <row r="3" spans="1:5" x14ac:dyDescent="0.35">
      <c r="A3" s="29" t="s">
        <v>41</v>
      </c>
      <c r="B3" s="30">
        <v>1</v>
      </c>
      <c r="C3" s="29" t="s">
        <v>1</v>
      </c>
      <c r="D3" s="29" t="s">
        <v>10</v>
      </c>
      <c r="E3" s="31">
        <v>10</v>
      </c>
    </row>
    <row r="4" spans="1:5" x14ac:dyDescent="0.35">
      <c r="A4" s="29" t="s">
        <v>42</v>
      </c>
      <c r="B4" s="30">
        <v>1</v>
      </c>
      <c r="C4" s="29" t="s">
        <v>2</v>
      </c>
      <c r="D4" s="29" t="s">
        <v>12</v>
      </c>
      <c r="E4" s="31">
        <v>11</v>
      </c>
    </row>
    <row r="5" spans="1:5" x14ac:dyDescent="0.35">
      <c r="A5" s="29" t="s">
        <v>43</v>
      </c>
      <c r="B5" s="30">
        <v>1</v>
      </c>
      <c r="C5" s="29" t="s">
        <v>3</v>
      </c>
      <c r="D5" s="29" t="s">
        <v>5</v>
      </c>
      <c r="E5" s="31">
        <v>3</v>
      </c>
    </row>
    <row r="6" spans="1:5" x14ac:dyDescent="0.35">
      <c r="A6" s="29" t="s">
        <v>44</v>
      </c>
      <c r="B6" s="30">
        <v>1</v>
      </c>
      <c r="C6" s="29" t="s">
        <v>4</v>
      </c>
      <c r="D6" s="29" t="s">
        <v>11</v>
      </c>
      <c r="E6" s="31">
        <v>8</v>
      </c>
    </row>
    <row r="7" spans="1:5" x14ac:dyDescent="0.35">
      <c r="A7" s="29" t="s">
        <v>45</v>
      </c>
      <c r="B7" s="30">
        <v>1</v>
      </c>
      <c r="C7" s="29" t="s">
        <v>5</v>
      </c>
      <c r="D7" s="29" t="s">
        <v>6</v>
      </c>
      <c r="E7" s="31">
        <v>2</v>
      </c>
    </row>
    <row r="8" spans="1:5" x14ac:dyDescent="0.35">
      <c r="A8" s="29" t="s">
        <v>46</v>
      </c>
      <c r="B8" s="30">
        <v>1</v>
      </c>
      <c r="C8" s="29" t="s">
        <v>6</v>
      </c>
      <c r="D8" s="29" t="s">
        <v>3</v>
      </c>
      <c r="E8" s="31">
        <v>24</v>
      </c>
    </row>
    <row r="9" spans="1:5" x14ac:dyDescent="0.35">
      <c r="A9" s="29" t="s">
        <v>47</v>
      </c>
      <c r="B9" s="30">
        <v>1</v>
      </c>
      <c r="C9" s="29" t="s">
        <v>7</v>
      </c>
      <c r="D9" s="29" t="s">
        <v>16</v>
      </c>
      <c r="E9" s="31">
        <v>10</v>
      </c>
    </row>
    <row r="10" spans="1:5" x14ac:dyDescent="0.35">
      <c r="A10" s="29" t="s">
        <v>48</v>
      </c>
      <c r="B10" s="30">
        <v>1</v>
      </c>
      <c r="C10" s="29" t="s">
        <v>8</v>
      </c>
      <c r="D10" s="29" t="s">
        <v>21</v>
      </c>
      <c r="E10" s="31">
        <v>14</v>
      </c>
    </row>
    <row r="11" spans="1:5" x14ac:dyDescent="0.35">
      <c r="A11" s="29" t="s">
        <v>49</v>
      </c>
      <c r="B11" s="30">
        <v>1</v>
      </c>
      <c r="C11" s="29" t="s">
        <v>9</v>
      </c>
      <c r="D11" s="29" t="s">
        <v>25</v>
      </c>
      <c r="E11" s="31">
        <v>17</v>
      </c>
    </row>
    <row r="12" spans="1:5" x14ac:dyDescent="0.35">
      <c r="A12" s="29" t="s">
        <v>50</v>
      </c>
      <c r="B12" s="30">
        <v>1</v>
      </c>
      <c r="C12" s="29" t="s">
        <v>10</v>
      </c>
      <c r="D12" s="29" t="s">
        <v>13</v>
      </c>
      <c r="E12" s="31">
        <v>4</v>
      </c>
    </row>
    <row r="13" spans="1:5" x14ac:dyDescent="0.35">
      <c r="A13" s="29" t="s">
        <v>51</v>
      </c>
      <c r="B13" s="30">
        <v>1</v>
      </c>
      <c r="C13" s="29" t="s">
        <v>11</v>
      </c>
      <c r="D13" s="29" t="s">
        <v>19</v>
      </c>
      <c r="E13" s="31">
        <v>9</v>
      </c>
    </row>
    <row r="14" spans="1:5" x14ac:dyDescent="0.35">
      <c r="A14" s="29" t="s">
        <v>52</v>
      </c>
      <c r="B14" s="30">
        <v>1</v>
      </c>
      <c r="C14" s="29" t="s">
        <v>12</v>
      </c>
      <c r="D14" s="29" t="s">
        <v>14</v>
      </c>
      <c r="E14" s="31">
        <v>3</v>
      </c>
    </row>
    <row r="15" spans="1:5" x14ac:dyDescent="0.35">
      <c r="A15" s="29" t="s">
        <v>53</v>
      </c>
      <c r="B15" s="30">
        <v>1</v>
      </c>
      <c r="C15" s="29" t="s">
        <v>13</v>
      </c>
      <c r="D15" s="29" t="s">
        <v>22</v>
      </c>
      <c r="E15" s="31">
        <v>10</v>
      </c>
    </row>
    <row r="16" spans="1:5" x14ac:dyDescent="0.35">
      <c r="A16" s="29" t="s">
        <v>54</v>
      </c>
      <c r="B16" s="30">
        <v>1</v>
      </c>
      <c r="C16" s="29" t="s">
        <v>14</v>
      </c>
      <c r="D16" s="29" t="s">
        <v>24</v>
      </c>
      <c r="E16" s="31">
        <v>11</v>
      </c>
    </row>
    <row r="17" spans="1:5" x14ac:dyDescent="0.35">
      <c r="A17" s="29" t="s">
        <v>55</v>
      </c>
      <c r="B17" s="30">
        <v>1</v>
      </c>
      <c r="C17" s="29" t="s">
        <v>15</v>
      </c>
      <c r="D17" s="29" t="s">
        <v>7</v>
      </c>
      <c r="E17" s="31">
        <v>19</v>
      </c>
    </row>
    <row r="18" spans="1:5" x14ac:dyDescent="0.35">
      <c r="A18" s="29" t="s">
        <v>56</v>
      </c>
      <c r="B18" s="30">
        <v>1</v>
      </c>
      <c r="C18" s="29" t="s">
        <v>16</v>
      </c>
      <c r="D18" s="29" t="s">
        <v>23</v>
      </c>
      <c r="E18" s="31">
        <v>8</v>
      </c>
    </row>
    <row r="19" spans="1:5" x14ac:dyDescent="0.35">
      <c r="A19" s="29" t="s">
        <v>57</v>
      </c>
      <c r="B19" s="30">
        <v>1</v>
      </c>
      <c r="C19" s="29" t="s">
        <v>17</v>
      </c>
      <c r="D19" s="29" t="s">
        <v>20</v>
      </c>
      <c r="E19" s="31">
        <v>4</v>
      </c>
    </row>
    <row r="20" spans="1:5" x14ac:dyDescent="0.35">
      <c r="A20" s="29" t="s">
        <v>58</v>
      </c>
      <c r="B20" s="30">
        <v>1</v>
      </c>
      <c r="C20" s="29" t="s">
        <v>18</v>
      </c>
      <c r="D20" s="29" t="s">
        <v>18</v>
      </c>
      <c r="E20" s="31">
        <v>1</v>
      </c>
    </row>
    <row r="21" spans="1:5" x14ac:dyDescent="0.35">
      <c r="A21" s="29" t="s">
        <v>59</v>
      </c>
      <c r="B21" s="30">
        <v>1</v>
      </c>
      <c r="C21" s="29" t="s">
        <v>19</v>
      </c>
      <c r="D21" s="29" t="s">
        <v>15</v>
      </c>
      <c r="E21" s="31">
        <v>23</v>
      </c>
    </row>
    <row r="22" spans="1:5" x14ac:dyDescent="0.35">
      <c r="A22" s="29" t="s">
        <v>60</v>
      </c>
      <c r="B22" s="30">
        <v>1</v>
      </c>
      <c r="C22" s="29" t="s">
        <v>20</v>
      </c>
      <c r="D22" s="29" t="s">
        <v>0</v>
      </c>
      <c r="E22" s="31">
        <v>7</v>
      </c>
    </row>
    <row r="23" spans="1:5" x14ac:dyDescent="0.35">
      <c r="A23" s="29" t="s">
        <v>61</v>
      </c>
      <c r="B23" s="30">
        <v>1</v>
      </c>
      <c r="C23" s="29" t="s">
        <v>21</v>
      </c>
      <c r="D23" s="29" t="s">
        <v>8</v>
      </c>
      <c r="E23" s="31">
        <v>14</v>
      </c>
    </row>
    <row r="24" spans="1:5" x14ac:dyDescent="0.35">
      <c r="A24" s="29" t="s">
        <v>62</v>
      </c>
      <c r="B24" s="30">
        <v>1</v>
      </c>
      <c r="C24" s="29" t="s">
        <v>22</v>
      </c>
      <c r="D24" s="29" t="s">
        <v>1</v>
      </c>
      <c r="E24" s="31">
        <v>6</v>
      </c>
    </row>
    <row r="25" spans="1:5" x14ac:dyDescent="0.35">
      <c r="A25" s="29" t="s">
        <v>63</v>
      </c>
      <c r="B25" s="30">
        <v>1</v>
      </c>
      <c r="C25" s="29" t="s">
        <v>23</v>
      </c>
      <c r="D25" s="29" t="s">
        <v>17</v>
      </c>
      <c r="E25" s="31">
        <v>21</v>
      </c>
    </row>
    <row r="26" spans="1:5" x14ac:dyDescent="0.35">
      <c r="A26" s="29" t="s">
        <v>64</v>
      </c>
      <c r="B26" s="30">
        <v>1</v>
      </c>
      <c r="C26" s="29" t="s">
        <v>24</v>
      </c>
      <c r="D26" s="29" t="s">
        <v>2</v>
      </c>
      <c r="E26" s="31">
        <v>5</v>
      </c>
    </row>
    <row r="27" spans="1:5" x14ac:dyDescent="0.35">
      <c r="A27" s="29" t="s">
        <v>65</v>
      </c>
      <c r="B27" s="30">
        <v>1</v>
      </c>
      <c r="C27" s="29" t="s">
        <v>25</v>
      </c>
      <c r="D27" s="29" t="s">
        <v>9</v>
      </c>
      <c r="E27" s="31">
        <v>11</v>
      </c>
    </row>
    <row r="28" spans="1:5" x14ac:dyDescent="0.35">
      <c r="A28" s="29" t="s">
        <v>66</v>
      </c>
      <c r="B28" s="30">
        <v>2</v>
      </c>
      <c r="C28" s="29" t="s">
        <v>0</v>
      </c>
      <c r="D28" s="29" t="s">
        <v>0</v>
      </c>
      <c r="E28" s="31">
        <v>1</v>
      </c>
    </row>
    <row r="29" spans="1:5" x14ac:dyDescent="0.35">
      <c r="A29" s="29" t="s">
        <v>67</v>
      </c>
      <c r="B29" s="30">
        <v>2</v>
      </c>
      <c r="C29" s="29" t="s">
        <v>1</v>
      </c>
      <c r="D29" s="29" t="s">
        <v>9</v>
      </c>
      <c r="E29" s="31">
        <v>9</v>
      </c>
    </row>
    <row r="30" spans="1:5" x14ac:dyDescent="0.35">
      <c r="A30" s="29" t="s">
        <v>68</v>
      </c>
      <c r="B30" s="30">
        <v>2</v>
      </c>
      <c r="C30" s="29" t="s">
        <v>2</v>
      </c>
      <c r="D30" s="29" t="s">
        <v>3</v>
      </c>
      <c r="E30" s="31">
        <v>2</v>
      </c>
    </row>
    <row r="31" spans="1:5" x14ac:dyDescent="0.35">
      <c r="A31" s="29" t="s">
        <v>69</v>
      </c>
      <c r="B31" s="30">
        <v>2</v>
      </c>
      <c r="C31" s="29" t="s">
        <v>3</v>
      </c>
      <c r="D31" s="29" t="s">
        <v>10</v>
      </c>
      <c r="E31" s="31">
        <v>8</v>
      </c>
    </row>
    <row r="32" spans="1:5" x14ac:dyDescent="0.35">
      <c r="A32" s="29" t="s">
        <v>70</v>
      </c>
      <c r="B32" s="30">
        <v>2</v>
      </c>
      <c r="C32" s="29" t="s">
        <v>4</v>
      </c>
      <c r="D32" s="29" t="s">
        <v>18</v>
      </c>
      <c r="E32" s="31">
        <v>15</v>
      </c>
    </row>
    <row r="33" spans="1:5" x14ac:dyDescent="0.35">
      <c r="A33" s="29" t="s">
        <v>71</v>
      </c>
      <c r="B33" s="30">
        <v>2</v>
      </c>
      <c r="C33" s="29" t="s">
        <v>5</v>
      </c>
      <c r="D33" s="29" t="s">
        <v>8</v>
      </c>
      <c r="E33" s="31">
        <v>4</v>
      </c>
    </row>
    <row r="34" spans="1:5" x14ac:dyDescent="0.35">
      <c r="A34" s="29" t="s">
        <v>72</v>
      </c>
      <c r="B34" s="30">
        <v>2</v>
      </c>
      <c r="C34" s="29" t="s">
        <v>6</v>
      </c>
      <c r="D34" s="29" t="s">
        <v>17</v>
      </c>
      <c r="E34" s="31">
        <v>12</v>
      </c>
    </row>
    <row r="35" spans="1:5" x14ac:dyDescent="0.35">
      <c r="A35" s="29" t="s">
        <v>73</v>
      </c>
      <c r="B35" s="30">
        <v>2</v>
      </c>
      <c r="C35" s="29" t="s">
        <v>7</v>
      </c>
      <c r="D35" s="29" t="s">
        <v>20</v>
      </c>
      <c r="E35" s="31">
        <v>14</v>
      </c>
    </row>
    <row r="36" spans="1:5" x14ac:dyDescent="0.35">
      <c r="A36" s="29" t="s">
        <v>74</v>
      </c>
      <c r="B36" s="30">
        <v>2</v>
      </c>
      <c r="C36" s="29" t="s">
        <v>8</v>
      </c>
      <c r="D36" s="29" t="s">
        <v>23</v>
      </c>
      <c r="E36" s="31">
        <v>16</v>
      </c>
    </row>
    <row r="37" spans="1:5" x14ac:dyDescent="0.35">
      <c r="A37" s="29" t="s">
        <v>75</v>
      </c>
      <c r="B37" s="30">
        <v>2</v>
      </c>
      <c r="C37" s="29" t="s">
        <v>9</v>
      </c>
      <c r="D37" s="29" t="s">
        <v>1</v>
      </c>
      <c r="E37" s="31">
        <v>19</v>
      </c>
    </row>
    <row r="38" spans="1:5" x14ac:dyDescent="0.35">
      <c r="A38" s="29" t="s">
        <v>76</v>
      </c>
      <c r="B38" s="30">
        <v>2</v>
      </c>
      <c r="C38" s="29" t="s">
        <v>10</v>
      </c>
      <c r="D38" s="29" t="s">
        <v>11</v>
      </c>
      <c r="E38" s="31">
        <v>2</v>
      </c>
    </row>
    <row r="39" spans="1:5" x14ac:dyDescent="0.35">
      <c r="A39" s="29" t="s">
        <v>77</v>
      </c>
      <c r="B39" s="30">
        <v>2</v>
      </c>
      <c r="C39" s="29" t="s">
        <v>11</v>
      </c>
      <c r="D39" s="29" t="s">
        <v>7</v>
      </c>
      <c r="E39" s="31">
        <v>23</v>
      </c>
    </row>
    <row r="40" spans="1:5" x14ac:dyDescent="0.35">
      <c r="A40" s="29" t="s">
        <v>78</v>
      </c>
      <c r="B40" s="30">
        <v>2</v>
      </c>
      <c r="C40" s="29" t="s">
        <v>12</v>
      </c>
      <c r="D40" s="29" t="s">
        <v>22</v>
      </c>
      <c r="E40" s="31">
        <v>11</v>
      </c>
    </row>
    <row r="41" spans="1:5" x14ac:dyDescent="0.35">
      <c r="A41" s="29" t="s">
        <v>79</v>
      </c>
      <c r="B41" s="30">
        <v>2</v>
      </c>
      <c r="C41" s="29" t="s">
        <v>13</v>
      </c>
      <c r="D41" s="29" t="s">
        <v>19</v>
      </c>
      <c r="E41" s="31">
        <v>7</v>
      </c>
    </row>
    <row r="42" spans="1:5" x14ac:dyDescent="0.35">
      <c r="A42" s="29" t="s">
        <v>80</v>
      </c>
      <c r="B42" s="30">
        <v>2</v>
      </c>
      <c r="C42" s="29" t="s">
        <v>14</v>
      </c>
      <c r="D42" s="29" t="s">
        <v>12</v>
      </c>
      <c r="E42" s="31">
        <v>25</v>
      </c>
    </row>
    <row r="43" spans="1:5" x14ac:dyDescent="0.35">
      <c r="A43" s="29" t="s">
        <v>81</v>
      </c>
      <c r="B43" s="30">
        <v>2</v>
      </c>
      <c r="C43" s="29" t="s">
        <v>15</v>
      </c>
      <c r="D43" s="29" t="s">
        <v>2</v>
      </c>
      <c r="E43" s="31">
        <v>14</v>
      </c>
    </row>
    <row r="44" spans="1:5" x14ac:dyDescent="0.35">
      <c r="A44" s="29" t="s">
        <v>82</v>
      </c>
      <c r="B44" s="30">
        <v>2</v>
      </c>
      <c r="C44" s="29" t="s">
        <v>16</v>
      </c>
      <c r="D44" s="29" t="s">
        <v>16</v>
      </c>
      <c r="E44" s="31">
        <v>1</v>
      </c>
    </row>
    <row r="45" spans="1:5" x14ac:dyDescent="0.35">
      <c r="A45" s="29" t="s">
        <v>83</v>
      </c>
      <c r="B45" s="30">
        <v>2</v>
      </c>
      <c r="C45" s="29" t="s">
        <v>17</v>
      </c>
      <c r="D45" s="29" t="s">
        <v>6</v>
      </c>
      <c r="E45" s="31">
        <v>16</v>
      </c>
    </row>
    <row r="46" spans="1:5" x14ac:dyDescent="0.35">
      <c r="A46" s="29" t="s">
        <v>84</v>
      </c>
      <c r="B46" s="30">
        <v>2</v>
      </c>
      <c r="C46" s="29" t="s">
        <v>18</v>
      </c>
      <c r="D46" s="29" t="s">
        <v>25</v>
      </c>
      <c r="E46" s="31">
        <v>8</v>
      </c>
    </row>
    <row r="47" spans="1:5" x14ac:dyDescent="0.35">
      <c r="A47" s="29" t="s">
        <v>85</v>
      </c>
      <c r="B47" s="30">
        <v>2</v>
      </c>
      <c r="C47" s="29" t="s">
        <v>19</v>
      </c>
      <c r="D47" s="29" t="s">
        <v>13</v>
      </c>
      <c r="E47" s="31">
        <v>21</v>
      </c>
    </row>
    <row r="48" spans="1:5" x14ac:dyDescent="0.35">
      <c r="A48" s="29" t="s">
        <v>86</v>
      </c>
      <c r="B48" s="30">
        <v>2</v>
      </c>
      <c r="C48" s="29" t="s">
        <v>20</v>
      </c>
      <c r="D48" s="29" t="s">
        <v>15</v>
      </c>
      <c r="E48" s="31">
        <v>22</v>
      </c>
    </row>
    <row r="49" spans="1:5" x14ac:dyDescent="0.35">
      <c r="A49" s="29" t="s">
        <v>87</v>
      </c>
      <c r="B49" s="30">
        <v>2</v>
      </c>
      <c r="C49" s="29" t="s">
        <v>21</v>
      </c>
      <c r="D49" s="29" t="s">
        <v>24</v>
      </c>
      <c r="E49" s="31">
        <v>4</v>
      </c>
    </row>
    <row r="50" spans="1:5" x14ac:dyDescent="0.35">
      <c r="A50" s="29" t="s">
        <v>88</v>
      </c>
      <c r="B50" s="30">
        <v>2</v>
      </c>
      <c r="C50" s="29" t="s">
        <v>22</v>
      </c>
      <c r="D50" s="29" t="s">
        <v>5</v>
      </c>
      <c r="E50" s="31">
        <v>10</v>
      </c>
    </row>
    <row r="51" spans="1:5" x14ac:dyDescent="0.35">
      <c r="A51" s="29" t="s">
        <v>89</v>
      </c>
      <c r="B51" s="30">
        <v>2</v>
      </c>
      <c r="C51" s="29" t="s">
        <v>23</v>
      </c>
      <c r="D51" s="29" t="s">
        <v>21</v>
      </c>
      <c r="E51" s="31">
        <v>25</v>
      </c>
    </row>
    <row r="52" spans="1:5" x14ac:dyDescent="0.35">
      <c r="A52" s="29" t="s">
        <v>90</v>
      </c>
      <c r="B52" s="30">
        <v>2</v>
      </c>
      <c r="C52" s="29" t="s">
        <v>24</v>
      </c>
      <c r="D52" s="29" t="s">
        <v>14</v>
      </c>
      <c r="E52" s="31">
        <v>17</v>
      </c>
    </row>
    <row r="53" spans="1:5" x14ac:dyDescent="0.35">
      <c r="A53" s="29" t="s">
        <v>91</v>
      </c>
      <c r="B53" s="30">
        <v>2</v>
      </c>
      <c r="C53" s="29" t="s">
        <v>25</v>
      </c>
      <c r="D53" s="29" t="s">
        <v>4</v>
      </c>
      <c r="E53" s="31">
        <v>6</v>
      </c>
    </row>
    <row r="54" spans="1:5" x14ac:dyDescent="0.35">
      <c r="A54" s="29" t="s">
        <v>92</v>
      </c>
      <c r="B54" s="30">
        <v>3</v>
      </c>
      <c r="C54" s="29" t="s">
        <v>0</v>
      </c>
      <c r="D54" s="29" t="s">
        <v>1</v>
      </c>
      <c r="E54" s="31">
        <v>2</v>
      </c>
    </row>
    <row r="55" spans="1:5" x14ac:dyDescent="0.35">
      <c r="A55" s="29" t="s">
        <v>93</v>
      </c>
      <c r="B55" s="30">
        <v>3</v>
      </c>
      <c r="C55" s="29" t="s">
        <v>1</v>
      </c>
      <c r="D55" s="29" t="s">
        <v>3</v>
      </c>
      <c r="E55" s="31">
        <v>3</v>
      </c>
    </row>
    <row r="56" spans="1:5" x14ac:dyDescent="0.35">
      <c r="A56" s="29" t="s">
        <v>94</v>
      </c>
      <c r="B56" s="30">
        <v>3</v>
      </c>
      <c r="C56" s="29" t="s">
        <v>2</v>
      </c>
      <c r="D56" s="29" t="s">
        <v>5</v>
      </c>
      <c r="E56" s="31">
        <v>4</v>
      </c>
    </row>
    <row r="57" spans="1:5" x14ac:dyDescent="0.35">
      <c r="A57" s="29" t="s">
        <v>95</v>
      </c>
      <c r="B57" s="30">
        <v>3</v>
      </c>
      <c r="C57" s="29" t="s">
        <v>3</v>
      </c>
      <c r="D57" s="29" t="s">
        <v>7</v>
      </c>
      <c r="E57" s="31">
        <v>5</v>
      </c>
    </row>
    <row r="58" spans="1:5" x14ac:dyDescent="0.35">
      <c r="A58" s="29" t="s">
        <v>96</v>
      </c>
      <c r="B58" s="30">
        <v>3</v>
      </c>
      <c r="C58" s="29" t="s">
        <v>4</v>
      </c>
      <c r="D58" s="29" t="s">
        <v>9</v>
      </c>
      <c r="E58" s="31">
        <v>6</v>
      </c>
    </row>
    <row r="59" spans="1:5" x14ac:dyDescent="0.35">
      <c r="A59" s="29" t="s">
        <v>97</v>
      </c>
      <c r="B59" s="30">
        <v>3</v>
      </c>
      <c r="C59" s="29" t="s">
        <v>5</v>
      </c>
      <c r="D59" s="29" t="s">
        <v>11</v>
      </c>
      <c r="E59" s="31">
        <v>7</v>
      </c>
    </row>
    <row r="60" spans="1:5" x14ac:dyDescent="0.35">
      <c r="A60" s="29" t="s">
        <v>98</v>
      </c>
      <c r="B60" s="30">
        <v>3</v>
      </c>
      <c r="C60" s="29" t="s">
        <v>6</v>
      </c>
      <c r="D60" s="29" t="s">
        <v>2</v>
      </c>
      <c r="E60" s="31">
        <v>23</v>
      </c>
    </row>
    <row r="61" spans="1:5" x14ac:dyDescent="0.35">
      <c r="A61" s="29" t="s">
        <v>99</v>
      </c>
      <c r="B61" s="30">
        <v>3</v>
      </c>
      <c r="C61" s="29" t="s">
        <v>7</v>
      </c>
      <c r="D61" s="29" t="s">
        <v>15</v>
      </c>
      <c r="E61" s="31">
        <v>9</v>
      </c>
    </row>
    <row r="62" spans="1:5" x14ac:dyDescent="0.35">
      <c r="A62" s="29" t="s">
        <v>100</v>
      </c>
      <c r="B62" s="30">
        <v>3</v>
      </c>
      <c r="C62" s="29" t="s">
        <v>8</v>
      </c>
      <c r="D62" s="29" t="s">
        <v>17</v>
      </c>
      <c r="E62" s="31">
        <v>10</v>
      </c>
    </row>
    <row r="63" spans="1:5" x14ac:dyDescent="0.35">
      <c r="A63" s="29" t="s">
        <v>101</v>
      </c>
      <c r="B63" s="30">
        <v>3</v>
      </c>
      <c r="C63" s="29" t="s">
        <v>9</v>
      </c>
      <c r="D63" s="29" t="s">
        <v>19</v>
      </c>
      <c r="E63" s="31">
        <v>11</v>
      </c>
    </row>
    <row r="64" spans="1:5" x14ac:dyDescent="0.35">
      <c r="A64" s="29" t="s">
        <v>102</v>
      </c>
      <c r="B64" s="30">
        <v>3</v>
      </c>
      <c r="C64" s="29" t="s">
        <v>10</v>
      </c>
      <c r="D64" s="29" t="s">
        <v>23</v>
      </c>
      <c r="E64" s="31">
        <v>14</v>
      </c>
    </row>
    <row r="65" spans="1:5" x14ac:dyDescent="0.35">
      <c r="A65" s="29" t="s">
        <v>103</v>
      </c>
      <c r="B65" s="30">
        <v>3</v>
      </c>
      <c r="C65" s="29" t="s">
        <v>11</v>
      </c>
      <c r="D65" s="29" t="s">
        <v>21</v>
      </c>
      <c r="E65" s="31">
        <v>11</v>
      </c>
    </row>
    <row r="66" spans="1:5" x14ac:dyDescent="0.35">
      <c r="A66" s="29" t="s">
        <v>104</v>
      </c>
      <c r="B66" s="30">
        <v>3</v>
      </c>
      <c r="C66" s="29" t="s">
        <v>12</v>
      </c>
      <c r="D66" s="29" t="s">
        <v>25</v>
      </c>
      <c r="E66" s="31">
        <v>14</v>
      </c>
    </row>
    <row r="67" spans="1:5" x14ac:dyDescent="0.35">
      <c r="A67" s="29" t="s">
        <v>105</v>
      </c>
      <c r="B67" s="30">
        <v>3</v>
      </c>
      <c r="C67" s="29" t="s">
        <v>13</v>
      </c>
      <c r="D67" s="29" t="s">
        <v>13</v>
      </c>
      <c r="E67" s="31">
        <v>1</v>
      </c>
    </row>
    <row r="68" spans="1:5" x14ac:dyDescent="0.35">
      <c r="A68" s="29" t="s">
        <v>106</v>
      </c>
      <c r="B68" s="30">
        <v>3</v>
      </c>
      <c r="C68" s="29" t="s">
        <v>14</v>
      </c>
      <c r="D68" s="29" t="s">
        <v>24</v>
      </c>
      <c r="E68" s="31">
        <v>11</v>
      </c>
    </row>
    <row r="69" spans="1:5" x14ac:dyDescent="0.35">
      <c r="A69" s="29" t="s">
        <v>107</v>
      </c>
      <c r="B69" s="30">
        <v>3</v>
      </c>
      <c r="C69" s="29" t="s">
        <v>15</v>
      </c>
      <c r="D69" s="29" t="s">
        <v>4</v>
      </c>
      <c r="E69" s="31">
        <v>16</v>
      </c>
    </row>
    <row r="70" spans="1:5" x14ac:dyDescent="0.35">
      <c r="A70" s="29" t="s">
        <v>108</v>
      </c>
      <c r="B70" s="30">
        <v>3</v>
      </c>
      <c r="C70" s="29" t="s">
        <v>16</v>
      </c>
      <c r="D70" s="29" t="s">
        <v>8</v>
      </c>
      <c r="E70" s="31">
        <v>19</v>
      </c>
    </row>
    <row r="71" spans="1:5" x14ac:dyDescent="0.35">
      <c r="A71" s="29" t="s">
        <v>109</v>
      </c>
      <c r="B71" s="30">
        <v>3</v>
      </c>
      <c r="C71" s="29" t="s">
        <v>17</v>
      </c>
      <c r="D71" s="29" t="s">
        <v>22</v>
      </c>
      <c r="E71" s="31">
        <v>6</v>
      </c>
    </row>
    <row r="72" spans="1:5" x14ac:dyDescent="0.35">
      <c r="A72" s="29" t="s">
        <v>110</v>
      </c>
      <c r="B72" s="30">
        <v>3</v>
      </c>
      <c r="C72" s="29" t="s">
        <v>18</v>
      </c>
      <c r="D72" s="29" t="s">
        <v>6</v>
      </c>
      <c r="E72" s="31">
        <v>15</v>
      </c>
    </row>
    <row r="73" spans="1:5" x14ac:dyDescent="0.35">
      <c r="A73" s="29" t="s">
        <v>111</v>
      </c>
      <c r="B73" s="30">
        <v>3</v>
      </c>
      <c r="C73" s="29" t="s">
        <v>19</v>
      </c>
      <c r="D73" s="29" t="s">
        <v>0</v>
      </c>
      <c r="E73" s="31">
        <v>8</v>
      </c>
    </row>
    <row r="74" spans="1:5" x14ac:dyDescent="0.35">
      <c r="A74" s="29" t="s">
        <v>112</v>
      </c>
      <c r="B74" s="30">
        <v>3</v>
      </c>
      <c r="C74" s="29" t="s">
        <v>20</v>
      </c>
      <c r="D74" s="29" t="s">
        <v>10</v>
      </c>
      <c r="E74" s="31">
        <v>17</v>
      </c>
    </row>
    <row r="75" spans="1:5" x14ac:dyDescent="0.35">
      <c r="A75" s="29" t="s">
        <v>113</v>
      </c>
      <c r="B75" s="30">
        <v>3</v>
      </c>
      <c r="C75" s="29" t="s">
        <v>21</v>
      </c>
      <c r="D75" s="29" t="s">
        <v>12</v>
      </c>
      <c r="E75" s="31">
        <v>18</v>
      </c>
    </row>
    <row r="76" spans="1:5" x14ac:dyDescent="0.35">
      <c r="A76" s="29" t="s">
        <v>114</v>
      </c>
      <c r="B76" s="30">
        <v>3</v>
      </c>
      <c r="C76" s="29" t="s">
        <v>22</v>
      </c>
      <c r="D76" s="29" t="s">
        <v>20</v>
      </c>
      <c r="E76" s="31">
        <v>25</v>
      </c>
    </row>
    <row r="77" spans="1:5" x14ac:dyDescent="0.35">
      <c r="A77" s="29" t="s">
        <v>115</v>
      </c>
      <c r="B77" s="30">
        <v>3</v>
      </c>
      <c r="C77" s="29" t="s">
        <v>23</v>
      </c>
      <c r="D77" s="29" t="s">
        <v>18</v>
      </c>
      <c r="E77" s="31">
        <v>22</v>
      </c>
    </row>
    <row r="78" spans="1:5" x14ac:dyDescent="0.35">
      <c r="A78" s="29" t="s">
        <v>116</v>
      </c>
      <c r="B78" s="30">
        <v>3</v>
      </c>
      <c r="C78" s="29" t="s">
        <v>24</v>
      </c>
      <c r="D78" s="29" t="s">
        <v>16</v>
      </c>
      <c r="E78" s="31">
        <v>19</v>
      </c>
    </row>
    <row r="79" spans="1:5" x14ac:dyDescent="0.35">
      <c r="A79" s="29" t="s">
        <v>117</v>
      </c>
      <c r="B79" s="30">
        <v>3</v>
      </c>
      <c r="C79" s="29" t="s">
        <v>25</v>
      </c>
      <c r="D79" s="29" t="s">
        <v>14</v>
      </c>
      <c r="E79" s="31">
        <v>16</v>
      </c>
    </row>
    <row r="80" spans="1:5" x14ac:dyDescent="0.35">
      <c r="A80" s="29" t="s">
        <v>118</v>
      </c>
      <c r="B80" s="30">
        <v>4</v>
      </c>
      <c r="C80" s="29" t="s">
        <v>0</v>
      </c>
      <c r="D80" s="29" t="s">
        <v>4</v>
      </c>
      <c r="E80" s="31">
        <v>5</v>
      </c>
    </row>
    <row r="81" spans="1:5" x14ac:dyDescent="0.35">
      <c r="A81" s="29" t="s">
        <v>119</v>
      </c>
      <c r="B81" s="30">
        <v>4</v>
      </c>
      <c r="C81" s="29" t="s">
        <v>1</v>
      </c>
      <c r="D81" s="29" t="s">
        <v>18</v>
      </c>
      <c r="E81" s="31">
        <v>18</v>
      </c>
    </row>
    <row r="82" spans="1:5" x14ac:dyDescent="0.35">
      <c r="A82" s="29" t="s">
        <v>120</v>
      </c>
      <c r="B82" s="30">
        <v>4</v>
      </c>
      <c r="C82" s="29" t="s">
        <v>2</v>
      </c>
      <c r="D82" s="29" t="s">
        <v>14</v>
      </c>
      <c r="E82" s="31">
        <v>13</v>
      </c>
    </row>
    <row r="83" spans="1:5" x14ac:dyDescent="0.35">
      <c r="A83" s="29" t="s">
        <v>121</v>
      </c>
      <c r="B83" s="30">
        <v>4</v>
      </c>
      <c r="C83" s="29" t="s">
        <v>3</v>
      </c>
      <c r="D83" s="29" t="s">
        <v>21</v>
      </c>
      <c r="E83" s="31">
        <v>19</v>
      </c>
    </row>
    <row r="84" spans="1:5" x14ac:dyDescent="0.35">
      <c r="A84" s="29" t="s">
        <v>122</v>
      </c>
      <c r="B84" s="30">
        <v>4</v>
      </c>
      <c r="C84" s="29" t="s">
        <v>4</v>
      </c>
      <c r="D84" s="29" t="s">
        <v>15</v>
      </c>
      <c r="E84" s="31">
        <v>12</v>
      </c>
    </row>
    <row r="85" spans="1:5" x14ac:dyDescent="0.35">
      <c r="A85" s="29" t="s">
        <v>123</v>
      </c>
      <c r="B85" s="30">
        <v>4</v>
      </c>
      <c r="C85" s="29" t="s">
        <v>5</v>
      </c>
      <c r="D85" s="29" t="s">
        <v>25</v>
      </c>
      <c r="E85" s="31">
        <v>21</v>
      </c>
    </row>
    <row r="86" spans="1:5" x14ac:dyDescent="0.35">
      <c r="A86" s="29" t="s">
        <v>124</v>
      </c>
      <c r="B86" s="30">
        <v>4</v>
      </c>
      <c r="C86" s="29" t="s">
        <v>6</v>
      </c>
      <c r="D86" s="29" t="s">
        <v>9</v>
      </c>
      <c r="E86" s="31">
        <v>4</v>
      </c>
    </row>
    <row r="87" spans="1:5" x14ac:dyDescent="0.35">
      <c r="A87" s="29" t="s">
        <v>125</v>
      </c>
      <c r="B87" s="30">
        <v>4</v>
      </c>
      <c r="C87" s="29" t="s">
        <v>7</v>
      </c>
      <c r="D87" s="29" t="s">
        <v>0</v>
      </c>
      <c r="E87" s="31">
        <v>20</v>
      </c>
    </row>
    <row r="88" spans="1:5" x14ac:dyDescent="0.35">
      <c r="A88" s="29" t="s">
        <v>126</v>
      </c>
      <c r="B88" s="30">
        <v>4</v>
      </c>
      <c r="C88" s="29" t="s">
        <v>8</v>
      </c>
      <c r="D88" s="29" t="s">
        <v>24</v>
      </c>
      <c r="E88" s="31">
        <v>17</v>
      </c>
    </row>
    <row r="89" spans="1:5" x14ac:dyDescent="0.35">
      <c r="A89" s="29" t="s">
        <v>127</v>
      </c>
      <c r="B89" s="30">
        <v>4</v>
      </c>
      <c r="C89" s="29" t="s">
        <v>9</v>
      </c>
      <c r="D89" s="29" t="s">
        <v>16</v>
      </c>
      <c r="E89" s="31">
        <v>8</v>
      </c>
    </row>
    <row r="90" spans="1:5" x14ac:dyDescent="0.35">
      <c r="A90" s="29" t="s">
        <v>128</v>
      </c>
      <c r="B90" s="30">
        <v>4</v>
      </c>
      <c r="C90" s="29" t="s">
        <v>10</v>
      </c>
      <c r="D90" s="29" t="s">
        <v>20</v>
      </c>
      <c r="E90" s="31">
        <v>11</v>
      </c>
    </row>
    <row r="91" spans="1:5" x14ac:dyDescent="0.35">
      <c r="A91" s="29" t="s">
        <v>129</v>
      </c>
      <c r="B91" s="30">
        <v>4</v>
      </c>
      <c r="C91" s="29" t="s">
        <v>11</v>
      </c>
      <c r="D91" s="29" t="s">
        <v>8</v>
      </c>
      <c r="E91" s="31">
        <v>24</v>
      </c>
    </row>
    <row r="92" spans="1:5" x14ac:dyDescent="0.35">
      <c r="A92" s="29" t="s">
        <v>130</v>
      </c>
      <c r="B92" s="30">
        <v>4</v>
      </c>
      <c r="C92" s="29" t="s">
        <v>12</v>
      </c>
      <c r="D92" s="29" t="s">
        <v>17</v>
      </c>
      <c r="E92" s="31">
        <v>6</v>
      </c>
    </row>
    <row r="93" spans="1:5" x14ac:dyDescent="0.35">
      <c r="A93" s="29" t="s">
        <v>131</v>
      </c>
      <c r="B93" s="30">
        <v>4</v>
      </c>
      <c r="C93" s="29" t="s">
        <v>13</v>
      </c>
      <c r="D93" s="29" t="s">
        <v>7</v>
      </c>
      <c r="E93" s="31">
        <v>21</v>
      </c>
    </row>
    <row r="94" spans="1:5" x14ac:dyDescent="0.35">
      <c r="A94" s="29" t="s">
        <v>132</v>
      </c>
      <c r="B94" s="30">
        <v>4</v>
      </c>
      <c r="C94" s="29" t="s">
        <v>14</v>
      </c>
      <c r="D94" s="29" t="s">
        <v>23</v>
      </c>
      <c r="E94" s="31">
        <v>10</v>
      </c>
    </row>
    <row r="95" spans="1:5" x14ac:dyDescent="0.35">
      <c r="A95" s="29" t="s">
        <v>133</v>
      </c>
      <c r="B95" s="30">
        <v>4</v>
      </c>
      <c r="C95" s="29" t="s">
        <v>15</v>
      </c>
      <c r="D95" s="29" t="s">
        <v>11</v>
      </c>
      <c r="E95" s="31">
        <v>23</v>
      </c>
    </row>
    <row r="96" spans="1:5" x14ac:dyDescent="0.35">
      <c r="A96" s="29" t="s">
        <v>134</v>
      </c>
      <c r="B96" s="30">
        <v>4</v>
      </c>
      <c r="C96" s="29" t="s">
        <v>16</v>
      </c>
      <c r="D96" s="29" t="s">
        <v>13</v>
      </c>
      <c r="E96" s="31">
        <v>24</v>
      </c>
    </row>
    <row r="97" spans="1:5" x14ac:dyDescent="0.35">
      <c r="A97" s="29" t="s">
        <v>135</v>
      </c>
      <c r="B97" s="30">
        <v>4</v>
      </c>
      <c r="C97" s="29" t="s">
        <v>17</v>
      </c>
      <c r="D97" s="29" t="s">
        <v>5</v>
      </c>
      <c r="E97" s="31">
        <v>15</v>
      </c>
    </row>
    <row r="98" spans="1:5" x14ac:dyDescent="0.35">
      <c r="A98" s="29" t="s">
        <v>136</v>
      </c>
      <c r="B98" s="30">
        <v>4</v>
      </c>
      <c r="C98" s="29" t="s">
        <v>18</v>
      </c>
      <c r="D98" s="29" t="s">
        <v>19</v>
      </c>
      <c r="E98" s="31">
        <v>2</v>
      </c>
    </row>
    <row r="99" spans="1:5" x14ac:dyDescent="0.35">
      <c r="A99" s="29" t="s">
        <v>137</v>
      </c>
      <c r="B99" s="30">
        <v>4</v>
      </c>
      <c r="C99" s="29" t="s">
        <v>19</v>
      </c>
      <c r="D99" s="29" t="s">
        <v>6</v>
      </c>
      <c r="E99" s="31">
        <v>14</v>
      </c>
    </row>
    <row r="100" spans="1:5" x14ac:dyDescent="0.35">
      <c r="A100" s="29" t="s">
        <v>138</v>
      </c>
      <c r="B100" s="30">
        <v>4</v>
      </c>
      <c r="C100" s="29" t="s">
        <v>20</v>
      </c>
      <c r="D100" s="29" t="s">
        <v>10</v>
      </c>
      <c r="E100" s="31">
        <v>17</v>
      </c>
    </row>
    <row r="101" spans="1:5" x14ac:dyDescent="0.35">
      <c r="A101" s="29" t="s">
        <v>139</v>
      </c>
      <c r="B101" s="30">
        <v>4</v>
      </c>
      <c r="C101" s="29" t="s">
        <v>21</v>
      </c>
      <c r="D101" s="29" t="s">
        <v>3</v>
      </c>
      <c r="E101" s="31">
        <v>9</v>
      </c>
    </row>
    <row r="102" spans="1:5" x14ac:dyDescent="0.35">
      <c r="A102" s="29" t="s">
        <v>140</v>
      </c>
      <c r="B102" s="30">
        <v>4</v>
      </c>
      <c r="C102" s="29" t="s">
        <v>22</v>
      </c>
      <c r="D102" s="29" t="s">
        <v>2</v>
      </c>
      <c r="E102" s="31">
        <v>7</v>
      </c>
    </row>
    <row r="103" spans="1:5" x14ac:dyDescent="0.35">
      <c r="A103" s="29" t="s">
        <v>141</v>
      </c>
      <c r="B103" s="30">
        <v>4</v>
      </c>
      <c r="C103" s="29" t="s">
        <v>23</v>
      </c>
      <c r="D103" s="29" t="s">
        <v>12</v>
      </c>
      <c r="E103" s="31">
        <v>16</v>
      </c>
    </row>
    <row r="104" spans="1:5" x14ac:dyDescent="0.35">
      <c r="A104" s="29" t="s">
        <v>142</v>
      </c>
      <c r="B104" s="30">
        <v>4</v>
      </c>
      <c r="C104" s="29" t="s">
        <v>24</v>
      </c>
      <c r="D104" s="29" t="s">
        <v>22</v>
      </c>
      <c r="E104" s="31">
        <v>25</v>
      </c>
    </row>
    <row r="105" spans="1:5" x14ac:dyDescent="0.35">
      <c r="A105" s="29" t="s">
        <v>143</v>
      </c>
      <c r="B105" s="30">
        <v>4</v>
      </c>
      <c r="C105" s="29" t="s">
        <v>25</v>
      </c>
      <c r="D105" s="29" t="s">
        <v>1</v>
      </c>
      <c r="E105" s="31">
        <v>3</v>
      </c>
    </row>
    <row r="106" spans="1:5" x14ac:dyDescent="0.35">
      <c r="A106" s="29" t="s">
        <v>144</v>
      </c>
      <c r="B106" s="30">
        <v>5</v>
      </c>
      <c r="C106" s="29" t="s">
        <v>0</v>
      </c>
      <c r="D106" s="29" t="s">
        <v>21</v>
      </c>
      <c r="E106" s="31">
        <v>22</v>
      </c>
    </row>
    <row r="107" spans="1:5" x14ac:dyDescent="0.35">
      <c r="A107" s="29" t="s">
        <v>145</v>
      </c>
      <c r="B107" s="30">
        <v>5</v>
      </c>
      <c r="C107" s="29" t="s">
        <v>1</v>
      </c>
      <c r="D107" s="29" t="s">
        <v>25</v>
      </c>
      <c r="E107" s="31">
        <v>25</v>
      </c>
    </row>
    <row r="108" spans="1:5" x14ac:dyDescent="0.35">
      <c r="A108" s="29" t="s">
        <v>146</v>
      </c>
      <c r="B108" s="30">
        <v>5</v>
      </c>
      <c r="C108" s="29" t="s">
        <v>2</v>
      </c>
      <c r="D108" s="29" t="s">
        <v>1</v>
      </c>
      <c r="E108" s="31">
        <v>26</v>
      </c>
    </row>
    <row r="109" spans="1:5" x14ac:dyDescent="0.35">
      <c r="A109" s="29" t="s">
        <v>147</v>
      </c>
      <c r="B109" s="30">
        <v>5</v>
      </c>
      <c r="C109" s="29" t="s">
        <v>3</v>
      </c>
      <c r="D109" s="29" t="s">
        <v>17</v>
      </c>
      <c r="E109" s="31">
        <v>15</v>
      </c>
    </row>
    <row r="110" spans="1:5" x14ac:dyDescent="0.35">
      <c r="A110" s="29" t="s">
        <v>148</v>
      </c>
      <c r="B110" s="30">
        <v>5</v>
      </c>
      <c r="C110" s="29" t="s">
        <v>4</v>
      </c>
      <c r="D110" s="29" t="s">
        <v>6</v>
      </c>
      <c r="E110" s="31">
        <v>3</v>
      </c>
    </row>
    <row r="111" spans="1:5" x14ac:dyDescent="0.35">
      <c r="A111" s="29" t="s">
        <v>149</v>
      </c>
      <c r="B111" s="30">
        <v>5</v>
      </c>
      <c r="C111" s="29" t="s">
        <v>5</v>
      </c>
      <c r="D111" s="29" t="s">
        <v>8</v>
      </c>
      <c r="E111" s="31">
        <v>4</v>
      </c>
    </row>
    <row r="112" spans="1:5" x14ac:dyDescent="0.35">
      <c r="A112" s="29" t="s">
        <v>150</v>
      </c>
      <c r="B112" s="30">
        <v>5</v>
      </c>
      <c r="C112" s="29" t="s">
        <v>6</v>
      </c>
      <c r="D112" s="29" t="s">
        <v>19</v>
      </c>
      <c r="E112" s="31">
        <v>14</v>
      </c>
    </row>
    <row r="113" spans="1:5" x14ac:dyDescent="0.35">
      <c r="A113" s="29" t="s">
        <v>151</v>
      </c>
      <c r="B113" s="30">
        <v>5</v>
      </c>
      <c r="C113" s="29" t="s">
        <v>7</v>
      </c>
      <c r="D113" s="29" t="s">
        <v>24</v>
      </c>
      <c r="E113" s="31">
        <v>18</v>
      </c>
    </row>
    <row r="114" spans="1:5" x14ac:dyDescent="0.35">
      <c r="A114" s="29" t="s">
        <v>152</v>
      </c>
      <c r="B114" s="30">
        <v>5</v>
      </c>
      <c r="C114" s="29" t="s">
        <v>8</v>
      </c>
      <c r="D114" s="29" t="s">
        <v>20</v>
      </c>
      <c r="E114" s="31">
        <v>13</v>
      </c>
    </row>
    <row r="115" spans="1:5" x14ac:dyDescent="0.35">
      <c r="A115" s="29" t="s">
        <v>153</v>
      </c>
      <c r="B115" s="30">
        <v>5</v>
      </c>
      <c r="C115" s="29" t="s">
        <v>9</v>
      </c>
      <c r="D115" s="29" t="s">
        <v>15</v>
      </c>
      <c r="E115" s="31">
        <v>7</v>
      </c>
    </row>
    <row r="116" spans="1:5" x14ac:dyDescent="0.35">
      <c r="A116" s="29" t="s">
        <v>154</v>
      </c>
      <c r="B116" s="30">
        <v>5</v>
      </c>
      <c r="C116" s="29" t="s">
        <v>10</v>
      </c>
      <c r="D116" s="29" t="s">
        <v>18</v>
      </c>
      <c r="E116" s="31">
        <v>9</v>
      </c>
    </row>
    <row r="117" spans="1:5" x14ac:dyDescent="0.35">
      <c r="A117" s="29" t="s">
        <v>155</v>
      </c>
      <c r="B117" s="30">
        <v>5</v>
      </c>
      <c r="C117" s="29" t="s">
        <v>11</v>
      </c>
      <c r="D117" s="29" t="s">
        <v>3</v>
      </c>
      <c r="E117" s="31">
        <v>19</v>
      </c>
    </row>
    <row r="118" spans="1:5" x14ac:dyDescent="0.35">
      <c r="A118" s="29" t="s">
        <v>156</v>
      </c>
      <c r="B118" s="30">
        <v>5</v>
      </c>
      <c r="C118" s="29" t="s">
        <v>12</v>
      </c>
      <c r="D118" s="29" t="s">
        <v>13</v>
      </c>
      <c r="E118" s="31">
        <v>2</v>
      </c>
    </row>
    <row r="119" spans="1:5" x14ac:dyDescent="0.35">
      <c r="A119" s="29" t="s">
        <v>157</v>
      </c>
      <c r="B119" s="30">
        <v>5</v>
      </c>
      <c r="C119" s="29" t="s">
        <v>13</v>
      </c>
      <c r="D119" s="29" t="s">
        <v>7</v>
      </c>
      <c r="E119" s="31">
        <v>21</v>
      </c>
    </row>
    <row r="120" spans="1:5" x14ac:dyDescent="0.35">
      <c r="A120" s="29" t="s">
        <v>158</v>
      </c>
      <c r="B120" s="30">
        <v>5</v>
      </c>
      <c r="C120" s="29" t="s">
        <v>14</v>
      </c>
      <c r="D120" s="29" t="s">
        <v>11</v>
      </c>
      <c r="E120" s="31">
        <v>24</v>
      </c>
    </row>
    <row r="121" spans="1:5" x14ac:dyDescent="0.35">
      <c r="A121" s="29" t="s">
        <v>159</v>
      </c>
      <c r="B121" s="30">
        <v>5</v>
      </c>
      <c r="C121" s="29" t="s">
        <v>15</v>
      </c>
      <c r="D121" s="29" t="s">
        <v>23</v>
      </c>
      <c r="E121" s="31">
        <v>9</v>
      </c>
    </row>
    <row r="122" spans="1:5" x14ac:dyDescent="0.35">
      <c r="A122" s="29" t="s">
        <v>160</v>
      </c>
      <c r="B122" s="30">
        <v>5</v>
      </c>
      <c r="C122" s="29" t="s">
        <v>16</v>
      </c>
      <c r="D122" s="29" t="s">
        <v>0</v>
      </c>
      <c r="E122" s="31">
        <v>11</v>
      </c>
    </row>
    <row r="123" spans="1:5" x14ac:dyDescent="0.35">
      <c r="A123" s="29" t="s">
        <v>161</v>
      </c>
      <c r="B123" s="30">
        <v>5</v>
      </c>
      <c r="C123" s="29" t="s">
        <v>17</v>
      </c>
      <c r="D123" s="29" t="s">
        <v>22</v>
      </c>
      <c r="E123" s="31">
        <v>6</v>
      </c>
    </row>
    <row r="124" spans="1:5" x14ac:dyDescent="0.35">
      <c r="A124" s="29" t="s">
        <v>162</v>
      </c>
      <c r="B124" s="30">
        <v>5</v>
      </c>
      <c r="C124" s="29" t="s">
        <v>18</v>
      </c>
      <c r="D124" s="29" t="s">
        <v>12</v>
      </c>
      <c r="E124" s="31">
        <v>21</v>
      </c>
    </row>
    <row r="125" spans="1:5" x14ac:dyDescent="0.35">
      <c r="A125" s="29" t="s">
        <v>163</v>
      </c>
      <c r="B125" s="30">
        <v>5</v>
      </c>
      <c r="C125" s="29" t="s">
        <v>19</v>
      </c>
      <c r="D125" s="29" t="s">
        <v>9</v>
      </c>
      <c r="E125" s="31">
        <v>17</v>
      </c>
    </row>
    <row r="126" spans="1:5" x14ac:dyDescent="0.35">
      <c r="A126" s="29" t="s">
        <v>164</v>
      </c>
      <c r="B126" s="30">
        <v>5</v>
      </c>
      <c r="C126" s="29" t="s">
        <v>20</v>
      </c>
      <c r="D126" s="29" t="s">
        <v>16</v>
      </c>
      <c r="E126" s="31">
        <v>23</v>
      </c>
    </row>
    <row r="127" spans="1:5" x14ac:dyDescent="0.35">
      <c r="A127" s="29" t="s">
        <v>165</v>
      </c>
      <c r="B127" s="30">
        <v>5</v>
      </c>
      <c r="C127" s="29" t="s">
        <v>21</v>
      </c>
      <c r="D127" s="29" t="s">
        <v>14</v>
      </c>
      <c r="E127" s="31">
        <v>20</v>
      </c>
    </row>
    <row r="128" spans="1:5" x14ac:dyDescent="0.35">
      <c r="A128" s="29" t="s">
        <v>166</v>
      </c>
      <c r="B128" s="30">
        <v>5</v>
      </c>
      <c r="C128" s="29" t="s">
        <v>22</v>
      </c>
      <c r="D128" s="29" t="s">
        <v>5</v>
      </c>
      <c r="E128" s="31">
        <v>10</v>
      </c>
    </row>
    <row r="129" spans="1:5" x14ac:dyDescent="0.35">
      <c r="A129" s="29" t="s">
        <v>167</v>
      </c>
      <c r="B129" s="30">
        <v>5</v>
      </c>
      <c r="C129" s="29" t="s">
        <v>23</v>
      </c>
      <c r="D129" s="29" t="s">
        <v>4</v>
      </c>
      <c r="E129" s="31">
        <v>8</v>
      </c>
    </row>
    <row r="130" spans="1:5" x14ac:dyDescent="0.35">
      <c r="A130" s="29" t="s">
        <v>168</v>
      </c>
      <c r="B130" s="30">
        <v>5</v>
      </c>
      <c r="C130" s="29" t="s">
        <v>24</v>
      </c>
      <c r="D130" s="29" t="s">
        <v>2</v>
      </c>
      <c r="E130" s="31">
        <v>5</v>
      </c>
    </row>
    <row r="131" spans="1:5" x14ac:dyDescent="0.35">
      <c r="A131" s="29" t="s">
        <v>169</v>
      </c>
      <c r="B131" s="30">
        <v>5</v>
      </c>
      <c r="C131" s="29" t="s">
        <v>25</v>
      </c>
      <c r="D131" s="29" t="s">
        <v>10</v>
      </c>
      <c r="E131" s="31">
        <v>12</v>
      </c>
    </row>
    <row r="132" spans="1:5" x14ac:dyDescent="0.35">
      <c r="A132" s="29" t="s">
        <v>427</v>
      </c>
      <c r="B132" s="30">
        <v>6</v>
      </c>
      <c r="C132" s="29" t="s">
        <v>0</v>
      </c>
      <c r="D132" s="29" t="s">
        <v>9</v>
      </c>
      <c r="E132" s="31">
        <v>10</v>
      </c>
    </row>
    <row r="133" spans="1:5" x14ac:dyDescent="0.35">
      <c r="A133" s="29" t="s">
        <v>428</v>
      </c>
      <c r="B133" s="30">
        <v>6</v>
      </c>
      <c r="C133" s="29" t="s">
        <v>1</v>
      </c>
      <c r="D133" s="29" t="s">
        <v>15</v>
      </c>
      <c r="E133" s="31">
        <v>15</v>
      </c>
    </row>
    <row r="134" spans="1:5" x14ac:dyDescent="0.35">
      <c r="A134" s="29" t="s">
        <v>429</v>
      </c>
      <c r="B134" s="30">
        <v>6</v>
      </c>
      <c r="C134" s="29" t="s">
        <v>2</v>
      </c>
      <c r="D134" s="29" t="s">
        <v>6</v>
      </c>
      <c r="E134" s="31">
        <v>5</v>
      </c>
    </row>
    <row r="135" spans="1:5" x14ac:dyDescent="0.35">
      <c r="A135" s="29" t="s">
        <v>430</v>
      </c>
      <c r="B135" s="30">
        <v>6</v>
      </c>
      <c r="C135" s="29" t="s">
        <v>3</v>
      </c>
      <c r="D135" s="29" t="s">
        <v>21</v>
      </c>
      <c r="E135" s="31">
        <v>19</v>
      </c>
    </row>
    <row r="136" spans="1:5" x14ac:dyDescent="0.35">
      <c r="A136" s="29" t="s">
        <v>431</v>
      </c>
      <c r="B136" s="30">
        <v>6</v>
      </c>
      <c r="C136" s="29" t="s">
        <v>4</v>
      </c>
      <c r="D136" s="29" t="s">
        <v>14</v>
      </c>
      <c r="E136" s="31">
        <v>11</v>
      </c>
    </row>
    <row r="137" spans="1:5" x14ac:dyDescent="0.35">
      <c r="A137" s="29" t="s">
        <v>432</v>
      </c>
      <c r="B137" s="30">
        <v>6</v>
      </c>
      <c r="C137" s="29" t="s">
        <v>5</v>
      </c>
      <c r="D137" s="29" t="s">
        <v>20</v>
      </c>
      <c r="E137" s="31">
        <v>16</v>
      </c>
    </row>
    <row r="138" spans="1:5" x14ac:dyDescent="0.35">
      <c r="A138" s="29" t="s">
        <v>433</v>
      </c>
      <c r="B138" s="30">
        <v>6</v>
      </c>
      <c r="C138" s="29" t="s">
        <v>6</v>
      </c>
      <c r="D138" s="29" t="s">
        <v>12</v>
      </c>
      <c r="E138" s="31">
        <v>7</v>
      </c>
    </row>
    <row r="139" spans="1:5" x14ac:dyDescent="0.35">
      <c r="A139" s="29" t="s">
        <v>434</v>
      </c>
      <c r="B139" s="30">
        <v>6</v>
      </c>
      <c r="C139" s="29" t="s">
        <v>7</v>
      </c>
      <c r="D139" s="29" t="s">
        <v>5</v>
      </c>
      <c r="E139" s="31">
        <v>25</v>
      </c>
    </row>
    <row r="140" spans="1:5" x14ac:dyDescent="0.35">
      <c r="A140" s="29" t="s">
        <v>435</v>
      </c>
      <c r="B140" s="30">
        <v>6</v>
      </c>
      <c r="C140" s="29" t="s">
        <v>8</v>
      </c>
      <c r="D140" s="29" t="s">
        <v>24</v>
      </c>
      <c r="E140" s="31">
        <v>17</v>
      </c>
    </row>
    <row r="141" spans="1:5" x14ac:dyDescent="0.35">
      <c r="A141" s="29" t="s">
        <v>436</v>
      </c>
      <c r="B141" s="30">
        <v>6</v>
      </c>
      <c r="C141" s="29" t="s">
        <v>9</v>
      </c>
      <c r="D141" s="29" t="s">
        <v>16</v>
      </c>
      <c r="E141" s="31">
        <v>8</v>
      </c>
    </row>
    <row r="142" spans="1:5" x14ac:dyDescent="0.35">
      <c r="A142" s="29" t="s">
        <v>437</v>
      </c>
      <c r="B142" s="30">
        <v>6</v>
      </c>
      <c r="C142" s="29" t="s">
        <v>10</v>
      </c>
      <c r="D142" s="29" t="s">
        <v>1</v>
      </c>
      <c r="E142" s="31">
        <v>18</v>
      </c>
    </row>
    <row r="143" spans="1:5" x14ac:dyDescent="0.35">
      <c r="A143" s="29" t="s">
        <v>438</v>
      </c>
      <c r="B143" s="30">
        <v>6</v>
      </c>
      <c r="C143" s="29" t="s">
        <v>11</v>
      </c>
      <c r="D143" s="29" t="s">
        <v>4</v>
      </c>
      <c r="E143" s="31">
        <v>20</v>
      </c>
    </row>
    <row r="144" spans="1:5" x14ac:dyDescent="0.35">
      <c r="A144" s="29" t="s">
        <v>439</v>
      </c>
      <c r="B144" s="30">
        <v>6</v>
      </c>
      <c r="C144" s="29" t="s">
        <v>12</v>
      </c>
      <c r="D144" s="29" t="s">
        <v>13</v>
      </c>
      <c r="E144" s="31">
        <v>2</v>
      </c>
    </row>
    <row r="145" spans="1:5" x14ac:dyDescent="0.35">
      <c r="A145" s="29" t="s">
        <v>440</v>
      </c>
      <c r="B145" s="30">
        <v>6</v>
      </c>
      <c r="C145" s="29" t="s">
        <v>13</v>
      </c>
      <c r="D145" s="29" t="s">
        <v>7</v>
      </c>
      <c r="E145" s="31">
        <v>21</v>
      </c>
    </row>
    <row r="146" spans="1:5" x14ac:dyDescent="0.35">
      <c r="A146" s="29" t="s">
        <v>441</v>
      </c>
      <c r="B146" s="30">
        <v>6</v>
      </c>
      <c r="C146" s="29" t="s">
        <v>14</v>
      </c>
      <c r="D146" s="29" t="s">
        <v>25</v>
      </c>
      <c r="E146" s="31">
        <v>12</v>
      </c>
    </row>
    <row r="147" spans="1:5" x14ac:dyDescent="0.35">
      <c r="A147" s="29" t="s">
        <v>442</v>
      </c>
      <c r="B147" s="30">
        <v>6</v>
      </c>
      <c r="C147" s="29" t="s">
        <v>15</v>
      </c>
      <c r="D147" s="29" t="s">
        <v>17</v>
      </c>
      <c r="E147" s="31">
        <v>3</v>
      </c>
    </row>
    <row r="148" spans="1:5" x14ac:dyDescent="0.35">
      <c r="A148" s="29" t="s">
        <v>443</v>
      </c>
      <c r="B148" s="30">
        <v>6</v>
      </c>
      <c r="C148" s="29" t="s">
        <v>16</v>
      </c>
      <c r="D148" s="29" t="s">
        <v>3</v>
      </c>
      <c r="E148" s="31">
        <v>14</v>
      </c>
    </row>
    <row r="149" spans="1:5" x14ac:dyDescent="0.35">
      <c r="A149" s="29" t="s">
        <v>444</v>
      </c>
      <c r="B149" s="30">
        <v>6</v>
      </c>
      <c r="C149" s="29" t="s">
        <v>17</v>
      </c>
      <c r="D149" s="29" t="s">
        <v>10</v>
      </c>
      <c r="E149" s="31">
        <v>20</v>
      </c>
    </row>
    <row r="150" spans="1:5" x14ac:dyDescent="0.35">
      <c r="A150" s="29" t="s">
        <v>445</v>
      </c>
      <c r="B150" s="30">
        <v>6</v>
      </c>
      <c r="C150" s="29" t="s">
        <v>18</v>
      </c>
      <c r="D150" s="29" t="s">
        <v>0</v>
      </c>
      <c r="E150" s="31">
        <v>9</v>
      </c>
    </row>
    <row r="151" spans="1:5" x14ac:dyDescent="0.35">
      <c r="A151" s="29" t="s">
        <v>446</v>
      </c>
      <c r="B151" s="30">
        <v>6</v>
      </c>
      <c r="C151" s="29" t="s">
        <v>19</v>
      </c>
      <c r="D151" s="29" t="s">
        <v>18</v>
      </c>
      <c r="E151" s="31">
        <v>26</v>
      </c>
    </row>
    <row r="152" spans="1:5" x14ac:dyDescent="0.35">
      <c r="A152" s="29" t="s">
        <v>447</v>
      </c>
      <c r="B152" s="30">
        <v>6</v>
      </c>
      <c r="C152" s="29" t="s">
        <v>20</v>
      </c>
      <c r="D152" s="29" t="s">
        <v>23</v>
      </c>
      <c r="E152" s="31">
        <v>4</v>
      </c>
    </row>
    <row r="153" spans="1:5" x14ac:dyDescent="0.35">
      <c r="A153" s="29" t="s">
        <v>448</v>
      </c>
      <c r="B153" s="30">
        <v>6</v>
      </c>
      <c r="C153" s="29" t="s">
        <v>21</v>
      </c>
      <c r="D153" s="29" t="s">
        <v>11</v>
      </c>
      <c r="E153" s="31">
        <v>17</v>
      </c>
    </row>
    <row r="154" spans="1:5" x14ac:dyDescent="0.35">
      <c r="A154" s="29" t="s">
        <v>449</v>
      </c>
      <c r="B154" s="30">
        <v>6</v>
      </c>
      <c r="C154" s="29" t="s">
        <v>22</v>
      </c>
      <c r="D154" s="29" t="s">
        <v>8</v>
      </c>
      <c r="E154" s="31">
        <v>13</v>
      </c>
    </row>
    <row r="155" spans="1:5" x14ac:dyDescent="0.35">
      <c r="A155" s="29" t="s">
        <v>450</v>
      </c>
      <c r="B155" s="30">
        <v>6</v>
      </c>
      <c r="C155" s="29" t="s">
        <v>23</v>
      </c>
      <c r="D155" s="29" t="s">
        <v>2</v>
      </c>
      <c r="E155" s="31">
        <v>6</v>
      </c>
    </row>
    <row r="156" spans="1:5" x14ac:dyDescent="0.35">
      <c r="A156" s="29" t="s">
        <v>451</v>
      </c>
      <c r="B156" s="30">
        <v>6</v>
      </c>
      <c r="C156" s="29" t="s">
        <v>24</v>
      </c>
      <c r="D156" s="29" t="s">
        <v>19</v>
      </c>
      <c r="E156" s="31">
        <v>22</v>
      </c>
    </row>
    <row r="157" spans="1:5" x14ac:dyDescent="0.35">
      <c r="A157" s="29" t="s">
        <v>452</v>
      </c>
      <c r="B157" s="30">
        <v>6</v>
      </c>
      <c r="C157" s="29" t="s">
        <v>25</v>
      </c>
      <c r="D157" s="29" t="s">
        <v>22</v>
      </c>
      <c r="E157" s="31">
        <v>24</v>
      </c>
    </row>
    <row r="158" spans="1:5" x14ac:dyDescent="0.35">
      <c r="A158" s="29" t="s">
        <v>453</v>
      </c>
      <c r="B158" s="30">
        <v>7</v>
      </c>
      <c r="C158" s="29" t="s">
        <v>0</v>
      </c>
      <c r="D158" s="29" t="s">
        <v>13</v>
      </c>
      <c r="E158" s="31">
        <v>14</v>
      </c>
    </row>
    <row r="159" spans="1:5" x14ac:dyDescent="0.35">
      <c r="A159" s="29" t="s">
        <v>454</v>
      </c>
      <c r="B159" s="30">
        <v>7</v>
      </c>
      <c r="C159" s="29" t="s">
        <v>1</v>
      </c>
      <c r="D159" s="29" t="s">
        <v>25</v>
      </c>
      <c r="E159" s="31">
        <v>25</v>
      </c>
    </row>
    <row r="160" spans="1:5" x14ac:dyDescent="0.35">
      <c r="A160" s="29" t="s">
        <v>455</v>
      </c>
      <c r="B160" s="30">
        <v>7</v>
      </c>
      <c r="C160" s="29" t="s">
        <v>2</v>
      </c>
      <c r="D160" s="29" t="s">
        <v>9</v>
      </c>
      <c r="E160" s="31">
        <v>8</v>
      </c>
    </row>
    <row r="161" spans="1:5" x14ac:dyDescent="0.35">
      <c r="A161" s="29" t="s">
        <v>456</v>
      </c>
      <c r="B161" s="30">
        <v>7</v>
      </c>
      <c r="C161" s="29" t="s">
        <v>3</v>
      </c>
      <c r="D161" s="29" t="s">
        <v>7</v>
      </c>
      <c r="E161" s="31">
        <v>5</v>
      </c>
    </row>
    <row r="162" spans="1:5" x14ac:dyDescent="0.35">
      <c r="A162" s="29" t="s">
        <v>457</v>
      </c>
      <c r="B162" s="30">
        <v>7</v>
      </c>
      <c r="C162" s="29" t="s">
        <v>4</v>
      </c>
      <c r="D162" s="29" t="s">
        <v>6</v>
      </c>
      <c r="E162" s="31">
        <v>3</v>
      </c>
    </row>
    <row r="163" spans="1:5" x14ac:dyDescent="0.35">
      <c r="A163" s="29" t="s">
        <v>458</v>
      </c>
      <c r="B163" s="30">
        <v>7</v>
      </c>
      <c r="C163" s="29" t="s">
        <v>5</v>
      </c>
      <c r="D163" s="29" t="s">
        <v>17</v>
      </c>
      <c r="E163" s="31">
        <v>13</v>
      </c>
    </row>
    <row r="164" spans="1:5" x14ac:dyDescent="0.35">
      <c r="A164" s="29" t="s">
        <v>459</v>
      </c>
      <c r="B164" s="30">
        <v>7</v>
      </c>
      <c r="C164" s="29" t="s">
        <v>6</v>
      </c>
      <c r="D164" s="29" t="s">
        <v>2</v>
      </c>
      <c r="E164" s="31">
        <v>23</v>
      </c>
    </row>
    <row r="165" spans="1:5" x14ac:dyDescent="0.35">
      <c r="A165" s="29" t="s">
        <v>460</v>
      </c>
      <c r="B165" s="30">
        <v>7</v>
      </c>
      <c r="C165" s="29" t="s">
        <v>7</v>
      </c>
      <c r="D165" s="29" t="s">
        <v>23</v>
      </c>
      <c r="E165" s="31">
        <v>17</v>
      </c>
    </row>
    <row r="166" spans="1:5" x14ac:dyDescent="0.35">
      <c r="A166" s="29" t="s">
        <v>461</v>
      </c>
      <c r="B166" s="30">
        <v>7</v>
      </c>
      <c r="C166" s="29" t="s">
        <v>8</v>
      </c>
      <c r="D166" s="29" t="s">
        <v>12</v>
      </c>
      <c r="E166" s="31">
        <v>5</v>
      </c>
    </row>
    <row r="167" spans="1:5" x14ac:dyDescent="0.35">
      <c r="A167" s="29" t="s">
        <v>462</v>
      </c>
      <c r="B167" s="30">
        <v>7</v>
      </c>
      <c r="C167" s="29" t="s">
        <v>9</v>
      </c>
      <c r="D167" s="29" t="s">
        <v>24</v>
      </c>
      <c r="E167" s="31">
        <v>16</v>
      </c>
    </row>
    <row r="168" spans="1:5" x14ac:dyDescent="0.35">
      <c r="A168" s="29" t="s">
        <v>463</v>
      </c>
      <c r="B168" s="30">
        <v>7</v>
      </c>
      <c r="C168" s="29" t="s">
        <v>10</v>
      </c>
      <c r="D168" s="29" t="s">
        <v>18</v>
      </c>
      <c r="E168" s="31">
        <v>9</v>
      </c>
    </row>
    <row r="169" spans="1:5" x14ac:dyDescent="0.35">
      <c r="A169" s="29" t="s">
        <v>464</v>
      </c>
      <c r="B169" s="30">
        <v>7</v>
      </c>
      <c r="C169" s="29" t="s">
        <v>11</v>
      </c>
      <c r="D169" s="29" t="s">
        <v>22</v>
      </c>
      <c r="E169" s="31">
        <v>12</v>
      </c>
    </row>
    <row r="170" spans="1:5" x14ac:dyDescent="0.35">
      <c r="A170" s="29" t="s">
        <v>465</v>
      </c>
      <c r="B170" s="30">
        <v>7</v>
      </c>
      <c r="C170" s="29" t="s">
        <v>12</v>
      </c>
      <c r="D170" s="29" t="s">
        <v>1</v>
      </c>
      <c r="E170" s="31">
        <v>16</v>
      </c>
    </row>
    <row r="171" spans="1:5" x14ac:dyDescent="0.35">
      <c r="A171" s="29" t="s">
        <v>466</v>
      </c>
      <c r="B171" s="30">
        <v>7</v>
      </c>
      <c r="C171" s="29" t="s">
        <v>13</v>
      </c>
      <c r="D171" s="29" t="s">
        <v>14</v>
      </c>
      <c r="E171" s="31">
        <v>2</v>
      </c>
    </row>
    <row r="172" spans="1:5" x14ac:dyDescent="0.35">
      <c r="A172" s="29" t="s">
        <v>467</v>
      </c>
      <c r="B172" s="30">
        <v>7</v>
      </c>
      <c r="C172" s="29" t="s">
        <v>14</v>
      </c>
      <c r="D172" s="29" t="s">
        <v>20</v>
      </c>
      <c r="E172" s="31">
        <v>7</v>
      </c>
    </row>
    <row r="173" spans="1:5" x14ac:dyDescent="0.35">
      <c r="A173" s="29" t="s">
        <v>468</v>
      </c>
      <c r="B173" s="30">
        <v>7</v>
      </c>
      <c r="C173" s="29" t="s">
        <v>15</v>
      </c>
      <c r="D173" s="29" t="s">
        <v>5</v>
      </c>
      <c r="E173" s="31">
        <v>17</v>
      </c>
    </row>
    <row r="174" spans="1:5" x14ac:dyDescent="0.35">
      <c r="A174" s="29" t="s">
        <v>469</v>
      </c>
      <c r="B174" s="30">
        <v>7</v>
      </c>
      <c r="C174" s="29" t="s">
        <v>16</v>
      </c>
      <c r="D174" s="29" t="s">
        <v>0</v>
      </c>
      <c r="E174" s="31">
        <v>11</v>
      </c>
    </row>
    <row r="175" spans="1:5" x14ac:dyDescent="0.35">
      <c r="A175" s="29" t="s">
        <v>470</v>
      </c>
      <c r="B175" s="30">
        <v>7</v>
      </c>
      <c r="C175" s="29" t="s">
        <v>17</v>
      </c>
      <c r="D175" s="29" t="s">
        <v>8</v>
      </c>
      <c r="E175" s="31">
        <v>18</v>
      </c>
    </row>
    <row r="176" spans="1:5" x14ac:dyDescent="0.35">
      <c r="A176" s="29" t="s">
        <v>471</v>
      </c>
      <c r="B176" s="30">
        <v>7</v>
      </c>
      <c r="C176" s="29" t="s">
        <v>18</v>
      </c>
      <c r="D176" s="29" t="s">
        <v>21</v>
      </c>
      <c r="E176" s="31">
        <v>4</v>
      </c>
    </row>
    <row r="177" spans="1:5" x14ac:dyDescent="0.35">
      <c r="A177" s="29" t="s">
        <v>472</v>
      </c>
      <c r="B177" s="30">
        <v>7</v>
      </c>
      <c r="C177" s="29" t="s">
        <v>19</v>
      </c>
      <c r="D177" s="29" t="s">
        <v>11</v>
      </c>
      <c r="E177" s="31">
        <v>19</v>
      </c>
    </row>
    <row r="178" spans="1:5" x14ac:dyDescent="0.35">
      <c r="A178" s="29" t="s">
        <v>473</v>
      </c>
      <c r="B178" s="30">
        <v>7</v>
      </c>
      <c r="C178" s="29" t="s">
        <v>20</v>
      </c>
      <c r="D178" s="29" t="s">
        <v>15</v>
      </c>
      <c r="E178" s="31">
        <v>22</v>
      </c>
    </row>
    <row r="179" spans="1:5" x14ac:dyDescent="0.35">
      <c r="A179" s="29" t="s">
        <v>474</v>
      </c>
      <c r="B179" s="30">
        <v>7</v>
      </c>
      <c r="C179" s="29" t="s">
        <v>21</v>
      </c>
      <c r="D179" s="29" t="s">
        <v>4</v>
      </c>
      <c r="E179" s="31">
        <v>10</v>
      </c>
    </row>
    <row r="180" spans="1:5" x14ac:dyDescent="0.35">
      <c r="A180" s="29" t="s">
        <v>475</v>
      </c>
      <c r="B180" s="30">
        <v>7</v>
      </c>
      <c r="C180" s="29" t="s">
        <v>22</v>
      </c>
      <c r="D180" s="29" t="s">
        <v>10</v>
      </c>
      <c r="E180" s="31">
        <v>15</v>
      </c>
    </row>
    <row r="181" spans="1:5" x14ac:dyDescent="0.35">
      <c r="A181" s="29" t="s">
        <v>476</v>
      </c>
      <c r="B181" s="30">
        <v>7</v>
      </c>
      <c r="C181" s="29" t="s">
        <v>23</v>
      </c>
      <c r="D181" s="29" t="s">
        <v>16</v>
      </c>
      <c r="E181" s="31">
        <v>20</v>
      </c>
    </row>
    <row r="182" spans="1:5" x14ac:dyDescent="0.35">
      <c r="A182" s="29" t="s">
        <v>477</v>
      </c>
      <c r="B182" s="30">
        <v>7</v>
      </c>
      <c r="C182" s="29" t="s">
        <v>24</v>
      </c>
      <c r="D182" s="29" t="s">
        <v>3</v>
      </c>
      <c r="E182" s="31">
        <v>6</v>
      </c>
    </row>
    <row r="183" spans="1:5" x14ac:dyDescent="0.35">
      <c r="A183" s="29" t="s">
        <v>478</v>
      </c>
      <c r="B183" s="30">
        <v>7</v>
      </c>
      <c r="C183" s="29" t="s">
        <v>25</v>
      </c>
      <c r="D183" s="29" t="s">
        <v>19</v>
      </c>
      <c r="E183" s="31">
        <v>21</v>
      </c>
    </row>
    <row r="184" spans="1:5" x14ac:dyDescent="0.35">
      <c r="A184" s="29" t="s">
        <v>479</v>
      </c>
      <c r="B184" s="30">
        <v>8</v>
      </c>
      <c r="C184" s="29" t="s">
        <v>0</v>
      </c>
      <c r="D184" s="29" t="s">
        <v>5</v>
      </c>
      <c r="E184" s="31">
        <v>6</v>
      </c>
    </row>
    <row r="185" spans="1:5" x14ac:dyDescent="0.35">
      <c r="A185" s="29" t="s">
        <v>480</v>
      </c>
      <c r="B185" s="30">
        <v>8</v>
      </c>
      <c r="C185" s="29" t="s">
        <v>1</v>
      </c>
      <c r="D185" s="29" t="s">
        <v>10</v>
      </c>
      <c r="E185" s="31">
        <v>10</v>
      </c>
    </row>
    <row r="186" spans="1:5" x14ac:dyDescent="0.35">
      <c r="A186" s="29" t="s">
        <v>481</v>
      </c>
      <c r="B186" s="30">
        <v>8</v>
      </c>
      <c r="C186" s="29" t="s">
        <v>2</v>
      </c>
      <c r="D186" s="29" t="s">
        <v>16</v>
      </c>
      <c r="E186" s="31">
        <v>15</v>
      </c>
    </row>
    <row r="187" spans="1:5" x14ac:dyDescent="0.35">
      <c r="A187" s="29" t="s">
        <v>482</v>
      </c>
      <c r="B187" s="30">
        <v>8</v>
      </c>
      <c r="C187" s="29" t="s">
        <v>3</v>
      </c>
      <c r="D187" s="29" t="s">
        <v>7</v>
      </c>
      <c r="E187" s="31">
        <v>5</v>
      </c>
    </row>
    <row r="188" spans="1:5" x14ac:dyDescent="0.35">
      <c r="A188" s="29" t="s">
        <v>483</v>
      </c>
      <c r="B188" s="30">
        <v>8</v>
      </c>
      <c r="C188" s="29" t="s">
        <v>4</v>
      </c>
      <c r="D188" s="29" t="s">
        <v>19</v>
      </c>
      <c r="E188" s="31">
        <v>16</v>
      </c>
    </row>
    <row r="189" spans="1:5" x14ac:dyDescent="0.35">
      <c r="A189" s="29" t="s">
        <v>484</v>
      </c>
      <c r="B189" s="30">
        <v>8</v>
      </c>
      <c r="C189" s="29" t="s">
        <v>5</v>
      </c>
      <c r="D189" s="29" t="s">
        <v>11</v>
      </c>
      <c r="E189" s="31">
        <v>7</v>
      </c>
    </row>
    <row r="190" spans="1:5" x14ac:dyDescent="0.35">
      <c r="A190" s="29" t="s">
        <v>485</v>
      </c>
      <c r="B190" s="30">
        <v>8</v>
      </c>
      <c r="C190" s="29" t="s">
        <v>6</v>
      </c>
      <c r="D190" s="29" t="s">
        <v>23</v>
      </c>
      <c r="E190" s="31">
        <v>18</v>
      </c>
    </row>
    <row r="191" spans="1:5" x14ac:dyDescent="0.35">
      <c r="A191" s="29" t="s">
        <v>486</v>
      </c>
      <c r="B191" s="30">
        <v>8</v>
      </c>
      <c r="C191" s="29" t="s">
        <v>7</v>
      </c>
      <c r="D191" s="29" t="s">
        <v>14</v>
      </c>
      <c r="E191" s="31">
        <v>8</v>
      </c>
    </row>
    <row r="192" spans="1:5" x14ac:dyDescent="0.35">
      <c r="A192" s="29" t="s">
        <v>487</v>
      </c>
      <c r="B192" s="30">
        <v>8</v>
      </c>
      <c r="C192" s="29" t="s">
        <v>8</v>
      </c>
      <c r="D192" s="29" t="s">
        <v>2</v>
      </c>
      <c r="E192" s="31">
        <v>21</v>
      </c>
    </row>
    <row r="193" spans="1:5" x14ac:dyDescent="0.35">
      <c r="A193" s="29" t="s">
        <v>488</v>
      </c>
      <c r="B193" s="30">
        <v>8</v>
      </c>
      <c r="C193" s="29" t="s">
        <v>9</v>
      </c>
      <c r="D193" s="29" t="s">
        <v>1</v>
      </c>
      <c r="E193" s="31">
        <v>19</v>
      </c>
    </row>
    <row r="194" spans="1:5" x14ac:dyDescent="0.35">
      <c r="A194" s="29" t="s">
        <v>489</v>
      </c>
      <c r="B194" s="30">
        <v>8</v>
      </c>
      <c r="C194" s="29" t="s">
        <v>10</v>
      </c>
      <c r="D194" s="29" t="s">
        <v>9</v>
      </c>
      <c r="E194" s="31">
        <v>26</v>
      </c>
    </row>
    <row r="195" spans="1:5" x14ac:dyDescent="0.35">
      <c r="A195" s="29" t="s">
        <v>490</v>
      </c>
      <c r="B195" s="30">
        <v>8</v>
      </c>
      <c r="C195" s="29" t="s">
        <v>11</v>
      </c>
      <c r="D195" s="29" t="s">
        <v>18</v>
      </c>
      <c r="E195" s="31">
        <v>8</v>
      </c>
    </row>
    <row r="196" spans="1:5" x14ac:dyDescent="0.35">
      <c r="A196" s="29" t="s">
        <v>491</v>
      </c>
      <c r="B196" s="30">
        <v>8</v>
      </c>
      <c r="C196" s="29" t="s">
        <v>12</v>
      </c>
      <c r="D196" s="29" t="s">
        <v>15</v>
      </c>
      <c r="E196" s="31">
        <v>4</v>
      </c>
    </row>
    <row r="197" spans="1:5" x14ac:dyDescent="0.35">
      <c r="A197" s="29" t="s">
        <v>492</v>
      </c>
      <c r="B197" s="30">
        <v>8</v>
      </c>
      <c r="C197" s="29" t="s">
        <v>13</v>
      </c>
      <c r="D197" s="29" t="s">
        <v>3</v>
      </c>
      <c r="E197" s="31">
        <v>17</v>
      </c>
    </row>
    <row r="198" spans="1:5" x14ac:dyDescent="0.35">
      <c r="A198" s="29" t="s">
        <v>493</v>
      </c>
      <c r="B198" s="30">
        <v>8</v>
      </c>
      <c r="C198" s="29" t="s">
        <v>14</v>
      </c>
      <c r="D198" s="29" t="s">
        <v>25</v>
      </c>
      <c r="E198" s="31">
        <v>12</v>
      </c>
    </row>
    <row r="199" spans="1:5" x14ac:dyDescent="0.35">
      <c r="A199" s="29" t="s">
        <v>494</v>
      </c>
      <c r="B199" s="30">
        <v>8</v>
      </c>
      <c r="C199" s="29" t="s">
        <v>15</v>
      </c>
      <c r="D199" s="29" t="s">
        <v>17</v>
      </c>
      <c r="E199" s="31">
        <v>3</v>
      </c>
    </row>
    <row r="200" spans="1:5" x14ac:dyDescent="0.35">
      <c r="A200" s="29" t="s">
        <v>495</v>
      </c>
      <c r="B200" s="30">
        <v>8</v>
      </c>
      <c r="C200" s="29" t="s">
        <v>16</v>
      </c>
      <c r="D200" s="29" t="s">
        <v>0</v>
      </c>
      <c r="E200" s="31">
        <v>11</v>
      </c>
    </row>
    <row r="201" spans="1:5" x14ac:dyDescent="0.35">
      <c r="A201" s="29" t="s">
        <v>496</v>
      </c>
      <c r="B201" s="30">
        <v>8</v>
      </c>
      <c r="C201" s="29" t="s">
        <v>17</v>
      </c>
      <c r="D201" s="29" t="s">
        <v>12</v>
      </c>
      <c r="E201" s="31">
        <v>22</v>
      </c>
    </row>
    <row r="202" spans="1:5" x14ac:dyDescent="0.35">
      <c r="A202" s="29" t="s">
        <v>497</v>
      </c>
      <c r="B202" s="30">
        <v>8</v>
      </c>
      <c r="C202" s="29" t="s">
        <v>18</v>
      </c>
      <c r="D202" s="29" t="s">
        <v>4</v>
      </c>
      <c r="E202" s="31">
        <v>13</v>
      </c>
    </row>
    <row r="203" spans="1:5" x14ac:dyDescent="0.35">
      <c r="A203" s="29" t="s">
        <v>498</v>
      </c>
      <c r="B203" s="30">
        <v>8</v>
      </c>
      <c r="C203" s="29" t="s">
        <v>19</v>
      </c>
      <c r="D203" s="29" t="s">
        <v>22</v>
      </c>
      <c r="E203" s="31">
        <v>4</v>
      </c>
    </row>
    <row r="204" spans="1:5" x14ac:dyDescent="0.35">
      <c r="A204" s="29" t="s">
        <v>499</v>
      </c>
      <c r="B204" s="30">
        <v>8</v>
      </c>
      <c r="C204" s="29" t="s">
        <v>20</v>
      </c>
      <c r="D204" s="29" t="s">
        <v>13</v>
      </c>
      <c r="E204" s="31">
        <v>20</v>
      </c>
    </row>
    <row r="205" spans="1:5" x14ac:dyDescent="0.35">
      <c r="A205" s="29" t="s">
        <v>500</v>
      </c>
      <c r="B205" s="30">
        <v>8</v>
      </c>
      <c r="C205" s="29" t="s">
        <v>21</v>
      </c>
      <c r="D205" s="29" t="s">
        <v>8</v>
      </c>
      <c r="E205" s="31">
        <v>14</v>
      </c>
    </row>
    <row r="206" spans="1:5" x14ac:dyDescent="0.35">
      <c r="A206" s="29" t="s">
        <v>501</v>
      </c>
      <c r="B206" s="30">
        <v>8</v>
      </c>
      <c r="C206" s="29" t="s">
        <v>22</v>
      </c>
      <c r="D206" s="29" t="s">
        <v>20</v>
      </c>
      <c r="E206" s="31">
        <v>25</v>
      </c>
    </row>
    <row r="207" spans="1:5" x14ac:dyDescent="0.35">
      <c r="A207" s="29" t="s">
        <v>502</v>
      </c>
      <c r="B207" s="30">
        <v>8</v>
      </c>
      <c r="C207" s="29" t="s">
        <v>23</v>
      </c>
      <c r="D207" s="29" t="s">
        <v>24</v>
      </c>
      <c r="E207" s="31">
        <v>2</v>
      </c>
    </row>
    <row r="208" spans="1:5" x14ac:dyDescent="0.35">
      <c r="A208" s="29" t="s">
        <v>503</v>
      </c>
      <c r="B208" s="30">
        <v>8</v>
      </c>
      <c r="C208" s="29" t="s">
        <v>24</v>
      </c>
      <c r="D208" s="29" t="s">
        <v>6</v>
      </c>
      <c r="E208" s="31">
        <v>9</v>
      </c>
    </row>
    <row r="209" spans="1:5" x14ac:dyDescent="0.35">
      <c r="A209" s="29" t="s">
        <v>504</v>
      </c>
      <c r="B209" s="30">
        <v>8</v>
      </c>
      <c r="C209" s="29" t="s">
        <v>25</v>
      </c>
      <c r="D209" s="29" t="s">
        <v>21</v>
      </c>
      <c r="E209" s="31">
        <v>23</v>
      </c>
    </row>
  </sheetData>
  <sheetProtection sheet="1" objects="1" scenarios="1"/>
  <mergeCells count="1">
    <mergeCell ref="A1:E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"/>
  <dimension ref="A1:E209"/>
  <sheetViews>
    <sheetView showGridLines="0" showRowColHeaders="0" workbookViewId="0">
      <selection sqref="A1:E1"/>
    </sheetView>
  </sheetViews>
  <sheetFormatPr defaultRowHeight="14.5" x14ac:dyDescent="0.35"/>
  <cols>
    <col min="1" max="5" width="9.1796875" customWidth="1"/>
  </cols>
  <sheetData>
    <row r="1" spans="1:5" x14ac:dyDescent="0.35">
      <c r="A1" s="108" t="s">
        <v>31</v>
      </c>
      <c r="B1" s="109"/>
      <c r="C1" s="109"/>
      <c r="D1" s="109"/>
      <c r="E1" s="110"/>
    </row>
    <row r="2" spans="1:5" x14ac:dyDescent="0.35">
      <c r="A2" s="29" t="s">
        <v>170</v>
      </c>
      <c r="B2" s="30" t="s">
        <v>32</v>
      </c>
      <c r="C2" s="29" t="s">
        <v>0</v>
      </c>
      <c r="D2" s="29" t="s">
        <v>20</v>
      </c>
      <c r="E2" s="31">
        <v>21</v>
      </c>
    </row>
    <row r="3" spans="1:5" x14ac:dyDescent="0.35">
      <c r="A3" s="29" t="s">
        <v>171</v>
      </c>
      <c r="B3" s="30" t="s">
        <v>32</v>
      </c>
      <c r="C3" s="29" t="s">
        <v>1</v>
      </c>
      <c r="D3" s="29" t="s">
        <v>22</v>
      </c>
      <c r="E3" s="31">
        <v>22</v>
      </c>
    </row>
    <row r="4" spans="1:5" x14ac:dyDescent="0.35">
      <c r="A4" s="29" t="s">
        <v>172</v>
      </c>
      <c r="B4" s="30" t="s">
        <v>32</v>
      </c>
      <c r="C4" s="29" t="s">
        <v>2</v>
      </c>
      <c r="D4" s="29" t="s">
        <v>24</v>
      </c>
      <c r="E4" s="31">
        <v>23</v>
      </c>
    </row>
    <row r="5" spans="1:5" x14ac:dyDescent="0.35">
      <c r="A5" s="29" t="s">
        <v>173</v>
      </c>
      <c r="B5" s="30" t="s">
        <v>32</v>
      </c>
      <c r="C5" s="29" t="s">
        <v>3</v>
      </c>
      <c r="D5" s="29" t="s">
        <v>6</v>
      </c>
      <c r="E5" s="31">
        <v>4</v>
      </c>
    </row>
    <row r="6" spans="1:5" x14ac:dyDescent="0.35">
      <c r="A6" s="29" t="s">
        <v>174</v>
      </c>
      <c r="B6" s="30" t="s">
        <v>32</v>
      </c>
      <c r="C6" s="29" t="s">
        <v>4</v>
      </c>
      <c r="D6" s="29" t="s">
        <v>0</v>
      </c>
      <c r="E6" s="31">
        <v>23</v>
      </c>
    </row>
    <row r="7" spans="1:5" x14ac:dyDescent="0.35">
      <c r="A7" s="29" t="s">
        <v>175</v>
      </c>
      <c r="B7" s="30" t="s">
        <v>32</v>
      </c>
      <c r="C7" s="29" t="s">
        <v>5</v>
      </c>
      <c r="D7" s="29" t="s">
        <v>3</v>
      </c>
      <c r="E7" s="31">
        <v>25</v>
      </c>
    </row>
    <row r="8" spans="1:5" x14ac:dyDescent="0.35">
      <c r="A8" s="29" t="s">
        <v>176</v>
      </c>
      <c r="B8" s="30" t="s">
        <v>32</v>
      </c>
      <c r="C8" s="29" t="s">
        <v>6</v>
      </c>
      <c r="D8" s="29" t="s">
        <v>5</v>
      </c>
      <c r="E8" s="31">
        <v>26</v>
      </c>
    </row>
    <row r="9" spans="1:5" x14ac:dyDescent="0.35">
      <c r="A9" s="29" t="s">
        <v>177</v>
      </c>
      <c r="B9" s="30" t="s">
        <v>32</v>
      </c>
      <c r="C9" s="29" t="s">
        <v>7</v>
      </c>
      <c r="D9" s="29" t="s">
        <v>15</v>
      </c>
      <c r="E9" s="31">
        <v>9</v>
      </c>
    </row>
    <row r="10" spans="1:5" x14ac:dyDescent="0.35">
      <c r="A10" s="29" t="s">
        <v>178</v>
      </c>
      <c r="B10" s="30" t="s">
        <v>32</v>
      </c>
      <c r="C10" s="29" t="s">
        <v>8</v>
      </c>
      <c r="D10" s="29" t="s">
        <v>21</v>
      </c>
      <c r="E10" s="31">
        <v>14</v>
      </c>
    </row>
    <row r="11" spans="1:5" x14ac:dyDescent="0.35">
      <c r="A11" s="29" t="s">
        <v>179</v>
      </c>
      <c r="B11" s="30" t="s">
        <v>32</v>
      </c>
      <c r="C11" s="29" t="s">
        <v>9</v>
      </c>
      <c r="D11" s="29" t="s">
        <v>25</v>
      </c>
      <c r="E11" s="31">
        <v>17</v>
      </c>
    </row>
    <row r="12" spans="1:5" x14ac:dyDescent="0.35">
      <c r="A12" s="29" t="s">
        <v>180</v>
      </c>
      <c r="B12" s="30" t="s">
        <v>32</v>
      </c>
      <c r="C12" s="29" t="s">
        <v>10</v>
      </c>
      <c r="D12" s="29" t="s">
        <v>1</v>
      </c>
      <c r="E12" s="31">
        <v>18</v>
      </c>
    </row>
    <row r="13" spans="1:5" x14ac:dyDescent="0.35">
      <c r="A13" s="29" t="s">
        <v>181</v>
      </c>
      <c r="B13" s="30" t="s">
        <v>32</v>
      </c>
      <c r="C13" s="29" t="s">
        <v>11</v>
      </c>
      <c r="D13" s="29" t="s">
        <v>4</v>
      </c>
      <c r="E13" s="31">
        <v>20</v>
      </c>
    </row>
    <row r="14" spans="1:5" x14ac:dyDescent="0.35">
      <c r="A14" s="29" t="s">
        <v>182</v>
      </c>
      <c r="B14" s="30" t="s">
        <v>32</v>
      </c>
      <c r="C14" s="29" t="s">
        <v>12</v>
      </c>
      <c r="D14" s="29" t="s">
        <v>2</v>
      </c>
      <c r="E14" s="31">
        <v>17</v>
      </c>
    </row>
    <row r="15" spans="1:5" x14ac:dyDescent="0.35">
      <c r="A15" s="29" t="s">
        <v>183</v>
      </c>
      <c r="B15" s="30" t="s">
        <v>32</v>
      </c>
      <c r="C15" s="29" t="s">
        <v>13</v>
      </c>
      <c r="D15" s="29" t="s">
        <v>10</v>
      </c>
      <c r="E15" s="31">
        <v>24</v>
      </c>
    </row>
    <row r="16" spans="1:5" x14ac:dyDescent="0.35">
      <c r="A16" s="29" t="s">
        <v>184</v>
      </c>
      <c r="B16" s="30" t="s">
        <v>32</v>
      </c>
      <c r="C16" s="29" t="s">
        <v>14</v>
      </c>
      <c r="D16" s="29" t="s">
        <v>12</v>
      </c>
      <c r="E16" s="31">
        <v>25</v>
      </c>
    </row>
    <row r="17" spans="1:5" x14ac:dyDescent="0.35">
      <c r="A17" s="29" t="s">
        <v>185</v>
      </c>
      <c r="B17" s="30" t="s">
        <v>32</v>
      </c>
      <c r="C17" s="29" t="s">
        <v>15</v>
      </c>
      <c r="D17" s="29" t="s">
        <v>19</v>
      </c>
      <c r="E17" s="31">
        <v>5</v>
      </c>
    </row>
    <row r="18" spans="1:5" x14ac:dyDescent="0.35">
      <c r="A18" s="29" t="s">
        <v>186</v>
      </c>
      <c r="B18" s="30" t="s">
        <v>32</v>
      </c>
      <c r="C18" s="29" t="s">
        <v>16</v>
      </c>
      <c r="D18" s="29" t="s">
        <v>7</v>
      </c>
      <c r="E18" s="31">
        <v>18</v>
      </c>
    </row>
    <row r="19" spans="1:5" x14ac:dyDescent="0.35">
      <c r="A19" s="29" t="s">
        <v>187</v>
      </c>
      <c r="B19" s="30" t="s">
        <v>32</v>
      </c>
      <c r="C19" s="29" t="s">
        <v>17</v>
      </c>
      <c r="D19" s="29" t="s">
        <v>23</v>
      </c>
      <c r="E19" s="31">
        <v>7</v>
      </c>
    </row>
    <row r="20" spans="1:5" x14ac:dyDescent="0.35">
      <c r="A20" s="29" t="s">
        <v>188</v>
      </c>
      <c r="B20" s="30" t="s">
        <v>32</v>
      </c>
      <c r="C20" s="29" t="s">
        <v>18</v>
      </c>
      <c r="D20" s="29" t="s">
        <v>18</v>
      </c>
      <c r="E20" s="31">
        <v>1</v>
      </c>
    </row>
    <row r="21" spans="1:5" x14ac:dyDescent="0.35">
      <c r="A21" s="29" t="s">
        <v>189</v>
      </c>
      <c r="B21" s="30" t="s">
        <v>32</v>
      </c>
      <c r="C21" s="29" t="s">
        <v>19</v>
      </c>
      <c r="D21" s="29" t="s">
        <v>11</v>
      </c>
      <c r="E21" s="31">
        <v>19</v>
      </c>
    </row>
    <row r="22" spans="1:5" x14ac:dyDescent="0.35">
      <c r="A22" s="29" t="s">
        <v>190</v>
      </c>
      <c r="B22" s="30" t="s">
        <v>32</v>
      </c>
      <c r="C22" s="29" t="s">
        <v>20</v>
      </c>
      <c r="D22" s="29" t="s">
        <v>17</v>
      </c>
      <c r="E22" s="31">
        <v>24</v>
      </c>
    </row>
    <row r="23" spans="1:5" x14ac:dyDescent="0.35">
      <c r="A23" s="29" t="s">
        <v>191</v>
      </c>
      <c r="B23" s="30" t="s">
        <v>32</v>
      </c>
      <c r="C23" s="29" t="s">
        <v>21</v>
      </c>
      <c r="D23" s="29" t="s">
        <v>8</v>
      </c>
      <c r="E23" s="31">
        <v>14</v>
      </c>
    </row>
    <row r="24" spans="1:5" x14ac:dyDescent="0.35">
      <c r="A24" s="29" t="s">
        <v>192</v>
      </c>
      <c r="B24" s="30" t="s">
        <v>32</v>
      </c>
      <c r="C24" s="29" t="s">
        <v>22</v>
      </c>
      <c r="D24" s="29" t="s">
        <v>13</v>
      </c>
      <c r="E24" s="31">
        <v>18</v>
      </c>
    </row>
    <row r="25" spans="1:5" x14ac:dyDescent="0.35">
      <c r="A25" s="29" t="s">
        <v>193</v>
      </c>
      <c r="B25" s="30" t="s">
        <v>32</v>
      </c>
      <c r="C25" s="29" t="s">
        <v>23</v>
      </c>
      <c r="D25" s="29" t="s">
        <v>16</v>
      </c>
      <c r="E25" s="31">
        <v>20</v>
      </c>
    </row>
    <row r="26" spans="1:5" x14ac:dyDescent="0.35">
      <c r="A26" s="29" t="s">
        <v>194</v>
      </c>
      <c r="B26" s="30" t="s">
        <v>32</v>
      </c>
      <c r="C26" s="29" t="s">
        <v>24</v>
      </c>
      <c r="D26" s="29" t="s">
        <v>14</v>
      </c>
      <c r="E26" s="31">
        <v>17</v>
      </c>
    </row>
    <row r="27" spans="1:5" x14ac:dyDescent="0.35">
      <c r="A27" s="29" t="s">
        <v>195</v>
      </c>
      <c r="B27" s="30" t="s">
        <v>32</v>
      </c>
      <c r="C27" s="29" t="s">
        <v>25</v>
      </c>
      <c r="D27" s="29" t="s">
        <v>9</v>
      </c>
      <c r="E27" s="31">
        <v>11</v>
      </c>
    </row>
    <row r="28" spans="1:5" x14ac:dyDescent="0.35">
      <c r="A28" s="29" t="s">
        <v>196</v>
      </c>
      <c r="B28" s="30" t="s">
        <v>33</v>
      </c>
      <c r="C28" s="29" t="s">
        <v>0</v>
      </c>
      <c r="D28" s="29" t="s">
        <v>0</v>
      </c>
      <c r="E28" s="31">
        <v>1</v>
      </c>
    </row>
    <row r="29" spans="1:5" x14ac:dyDescent="0.35">
      <c r="A29" s="29" t="s">
        <v>197</v>
      </c>
      <c r="B29" s="30" t="s">
        <v>33</v>
      </c>
      <c r="C29" s="29" t="s">
        <v>1</v>
      </c>
      <c r="D29" s="29" t="s">
        <v>9</v>
      </c>
      <c r="E29" s="31">
        <v>9</v>
      </c>
    </row>
    <row r="30" spans="1:5" x14ac:dyDescent="0.35">
      <c r="A30" s="29" t="s">
        <v>198</v>
      </c>
      <c r="B30" s="30" t="s">
        <v>33</v>
      </c>
      <c r="C30" s="29" t="s">
        <v>2</v>
      </c>
      <c r="D30" s="29" t="s">
        <v>15</v>
      </c>
      <c r="E30" s="31">
        <v>14</v>
      </c>
    </row>
    <row r="31" spans="1:5" x14ac:dyDescent="0.35">
      <c r="A31" s="29" t="s">
        <v>199</v>
      </c>
      <c r="B31" s="30" t="s">
        <v>33</v>
      </c>
      <c r="C31" s="29" t="s">
        <v>3</v>
      </c>
      <c r="D31" s="29" t="s">
        <v>2</v>
      </c>
      <c r="E31" s="31">
        <v>26</v>
      </c>
    </row>
    <row r="32" spans="1:5" x14ac:dyDescent="0.35">
      <c r="A32" s="29" t="s">
        <v>200</v>
      </c>
      <c r="B32" s="30" t="s">
        <v>33</v>
      </c>
      <c r="C32" s="29" t="s">
        <v>4</v>
      </c>
      <c r="D32" s="29" t="s">
        <v>25</v>
      </c>
      <c r="E32" s="31">
        <v>22</v>
      </c>
    </row>
    <row r="33" spans="1:5" x14ac:dyDescent="0.35">
      <c r="A33" s="29" t="s">
        <v>201</v>
      </c>
      <c r="B33" s="30" t="s">
        <v>33</v>
      </c>
      <c r="C33" s="29" t="s">
        <v>5</v>
      </c>
      <c r="D33" s="29" t="s">
        <v>22</v>
      </c>
      <c r="E33" s="31">
        <v>18</v>
      </c>
    </row>
    <row r="34" spans="1:5" x14ac:dyDescent="0.35">
      <c r="A34" s="29" t="s">
        <v>202</v>
      </c>
      <c r="B34" s="30" t="s">
        <v>33</v>
      </c>
      <c r="C34" s="29" t="s">
        <v>6</v>
      </c>
      <c r="D34" s="29" t="s">
        <v>17</v>
      </c>
      <c r="E34" s="31">
        <v>12</v>
      </c>
    </row>
    <row r="35" spans="1:5" x14ac:dyDescent="0.35">
      <c r="A35" s="29" t="s">
        <v>203</v>
      </c>
      <c r="B35" s="30" t="s">
        <v>33</v>
      </c>
      <c r="C35" s="29" t="s">
        <v>7</v>
      </c>
      <c r="D35" s="29" t="s">
        <v>11</v>
      </c>
      <c r="E35" s="31">
        <v>5</v>
      </c>
    </row>
    <row r="36" spans="1:5" x14ac:dyDescent="0.35">
      <c r="A36" s="29" t="s">
        <v>204</v>
      </c>
      <c r="B36" s="30" t="s">
        <v>33</v>
      </c>
      <c r="C36" s="29" t="s">
        <v>8</v>
      </c>
      <c r="D36" s="29" t="s">
        <v>5</v>
      </c>
      <c r="E36" s="31">
        <v>24</v>
      </c>
    </row>
    <row r="37" spans="1:5" x14ac:dyDescent="0.35">
      <c r="A37" s="29" t="s">
        <v>205</v>
      </c>
      <c r="B37" s="30" t="s">
        <v>33</v>
      </c>
      <c r="C37" s="29" t="s">
        <v>9</v>
      </c>
      <c r="D37" s="29" t="s">
        <v>1</v>
      </c>
      <c r="E37" s="31">
        <v>19</v>
      </c>
    </row>
    <row r="38" spans="1:5" x14ac:dyDescent="0.35">
      <c r="A38" s="29" t="s">
        <v>206</v>
      </c>
      <c r="B38" s="30" t="s">
        <v>33</v>
      </c>
      <c r="C38" s="29" t="s">
        <v>10</v>
      </c>
      <c r="D38" s="29" t="s">
        <v>3</v>
      </c>
      <c r="E38" s="31">
        <v>20</v>
      </c>
    </row>
    <row r="39" spans="1:5" x14ac:dyDescent="0.35">
      <c r="A39" s="29" t="s">
        <v>207</v>
      </c>
      <c r="B39" s="30" t="s">
        <v>33</v>
      </c>
      <c r="C39" s="29" t="s">
        <v>11</v>
      </c>
      <c r="D39" s="29" t="s">
        <v>10</v>
      </c>
      <c r="E39" s="31">
        <v>26</v>
      </c>
    </row>
    <row r="40" spans="1:5" x14ac:dyDescent="0.35">
      <c r="A40" s="29" t="s">
        <v>208</v>
      </c>
      <c r="B40" s="30" t="s">
        <v>33</v>
      </c>
      <c r="C40" s="29" t="s">
        <v>12</v>
      </c>
      <c r="D40" s="29" t="s">
        <v>14</v>
      </c>
      <c r="E40" s="31">
        <v>3</v>
      </c>
    </row>
    <row r="41" spans="1:5" x14ac:dyDescent="0.35">
      <c r="A41" s="29" t="s">
        <v>209</v>
      </c>
      <c r="B41" s="30" t="s">
        <v>33</v>
      </c>
      <c r="C41" s="29" t="s">
        <v>13</v>
      </c>
      <c r="D41" s="29" t="s">
        <v>19</v>
      </c>
      <c r="E41" s="31">
        <v>7</v>
      </c>
    </row>
    <row r="42" spans="1:5" x14ac:dyDescent="0.35">
      <c r="A42" s="29" t="s">
        <v>210</v>
      </c>
      <c r="B42" s="30" t="s">
        <v>33</v>
      </c>
      <c r="C42" s="29" t="s">
        <v>14</v>
      </c>
      <c r="D42" s="29" t="s">
        <v>24</v>
      </c>
      <c r="E42" s="31">
        <v>11</v>
      </c>
    </row>
    <row r="43" spans="1:5" x14ac:dyDescent="0.35">
      <c r="A43" s="29" t="s">
        <v>211</v>
      </c>
      <c r="B43" s="30" t="s">
        <v>33</v>
      </c>
      <c r="C43" s="29" t="s">
        <v>15</v>
      </c>
      <c r="D43" s="29" t="s">
        <v>20</v>
      </c>
      <c r="E43" s="31">
        <v>6</v>
      </c>
    </row>
    <row r="44" spans="1:5" x14ac:dyDescent="0.35">
      <c r="A44" s="29" t="s">
        <v>212</v>
      </c>
      <c r="B44" s="30" t="s">
        <v>33</v>
      </c>
      <c r="C44" s="29" t="s">
        <v>16</v>
      </c>
      <c r="D44" s="29" t="s">
        <v>16</v>
      </c>
      <c r="E44" s="31">
        <v>1</v>
      </c>
    </row>
    <row r="45" spans="1:5" x14ac:dyDescent="0.35">
      <c r="A45" s="29" t="s">
        <v>213</v>
      </c>
      <c r="B45" s="30" t="s">
        <v>33</v>
      </c>
      <c r="C45" s="29" t="s">
        <v>17</v>
      </c>
      <c r="D45" s="29" t="s">
        <v>6</v>
      </c>
      <c r="E45" s="31">
        <v>16</v>
      </c>
    </row>
    <row r="46" spans="1:5" x14ac:dyDescent="0.35">
      <c r="A46" s="29" t="s">
        <v>214</v>
      </c>
      <c r="B46" s="30" t="s">
        <v>33</v>
      </c>
      <c r="C46" s="29" t="s">
        <v>18</v>
      </c>
      <c r="D46" s="29" t="s">
        <v>4</v>
      </c>
      <c r="E46" s="31">
        <v>13</v>
      </c>
    </row>
    <row r="47" spans="1:5" x14ac:dyDescent="0.35">
      <c r="A47" s="29" t="s">
        <v>215</v>
      </c>
      <c r="B47" s="30" t="s">
        <v>33</v>
      </c>
      <c r="C47" s="29" t="s">
        <v>19</v>
      </c>
      <c r="D47" s="29" t="s">
        <v>13</v>
      </c>
      <c r="E47" s="31">
        <v>21</v>
      </c>
    </row>
    <row r="48" spans="1:5" x14ac:dyDescent="0.35">
      <c r="A48" s="29" t="s">
        <v>216</v>
      </c>
      <c r="B48" s="30" t="s">
        <v>33</v>
      </c>
      <c r="C48" s="29" t="s">
        <v>20</v>
      </c>
      <c r="D48" s="29" t="s">
        <v>7</v>
      </c>
      <c r="E48" s="31">
        <v>14</v>
      </c>
    </row>
    <row r="49" spans="1:5" x14ac:dyDescent="0.35">
      <c r="A49" s="29" t="s">
        <v>217</v>
      </c>
      <c r="B49" s="30" t="s">
        <v>33</v>
      </c>
      <c r="C49" s="29" t="s">
        <v>21</v>
      </c>
      <c r="D49" s="29" t="s">
        <v>23</v>
      </c>
      <c r="E49" s="31">
        <v>3</v>
      </c>
    </row>
    <row r="50" spans="1:5" x14ac:dyDescent="0.35">
      <c r="A50" s="29" t="s">
        <v>218</v>
      </c>
      <c r="B50" s="30" t="s">
        <v>33</v>
      </c>
      <c r="C50" s="29" t="s">
        <v>22</v>
      </c>
      <c r="D50" s="29" t="s">
        <v>12</v>
      </c>
      <c r="E50" s="31">
        <v>17</v>
      </c>
    </row>
    <row r="51" spans="1:5" x14ac:dyDescent="0.35">
      <c r="A51" s="29" t="s">
        <v>219</v>
      </c>
      <c r="B51" s="30" t="s">
        <v>33</v>
      </c>
      <c r="C51" s="29" t="s">
        <v>23</v>
      </c>
      <c r="D51" s="29" t="s">
        <v>8</v>
      </c>
      <c r="E51" s="31">
        <v>12</v>
      </c>
    </row>
    <row r="52" spans="1:5" x14ac:dyDescent="0.35">
      <c r="A52" s="29" t="s">
        <v>220</v>
      </c>
      <c r="B52" s="30" t="s">
        <v>33</v>
      </c>
      <c r="C52" s="29" t="s">
        <v>24</v>
      </c>
      <c r="D52" s="29" t="s">
        <v>21</v>
      </c>
      <c r="E52" s="31">
        <v>24</v>
      </c>
    </row>
    <row r="53" spans="1:5" x14ac:dyDescent="0.35">
      <c r="A53" s="29" t="s">
        <v>221</v>
      </c>
      <c r="B53" s="30" t="s">
        <v>33</v>
      </c>
      <c r="C53" s="29" t="s">
        <v>25</v>
      </c>
      <c r="D53" s="29" t="s">
        <v>18</v>
      </c>
      <c r="E53" s="31">
        <v>20</v>
      </c>
    </row>
    <row r="54" spans="1:5" x14ac:dyDescent="0.35">
      <c r="A54" s="29" t="s">
        <v>222</v>
      </c>
      <c r="B54" s="30" t="s">
        <v>34</v>
      </c>
      <c r="C54" s="29" t="s">
        <v>0</v>
      </c>
      <c r="D54" s="29" t="s">
        <v>19</v>
      </c>
      <c r="E54" s="31">
        <v>20</v>
      </c>
    </row>
    <row r="55" spans="1:5" x14ac:dyDescent="0.35">
      <c r="A55" s="29" t="s">
        <v>223</v>
      </c>
      <c r="B55" s="30" t="s">
        <v>34</v>
      </c>
      <c r="C55" s="29" t="s">
        <v>1</v>
      </c>
      <c r="D55" s="29" t="s">
        <v>0</v>
      </c>
      <c r="E55" s="31">
        <v>26</v>
      </c>
    </row>
    <row r="56" spans="1:5" x14ac:dyDescent="0.35">
      <c r="A56" s="29" t="s">
        <v>224</v>
      </c>
      <c r="B56" s="30" t="s">
        <v>34</v>
      </c>
      <c r="C56" s="29" t="s">
        <v>2</v>
      </c>
      <c r="D56" s="29" t="s">
        <v>6</v>
      </c>
      <c r="E56" s="31">
        <v>5</v>
      </c>
    </row>
    <row r="57" spans="1:5" x14ac:dyDescent="0.35">
      <c r="A57" s="29" t="s">
        <v>225</v>
      </c>
      <c r="B57" s="30" t="s">
        <v>34</v>
      </c>
      <c r="C57" s="29" t="s">
        <v>3</v>
      </c>
      <c r="D57" s="29" t="s">
        <v>1</v>
      </c>
      <c r="E57" s="31">
        <v>25</v>
      </c>
    </row>
    <row r="58" spans="1:5" x14ac:dyDescent="0.35">
      <c r="A58" s="29" t="s">
        <v>226</v>
      </c>
      <c r="B58" s="30" t="s">
        <v>34</v>
      </c>
      <c r="C58" s="29" t="s">
        <v>4</v>
      </c>
      <c r="D58" s="29" t="s">
        <v>15</v>
      </c>
      <c r="E58" s="31">
        <v>12</v>
      </c>
    </row>
    <row r="59" spans="1:5" x14ac:dyDescent="0.35">
      <c r="A59" s="29" t="s">
        <v>227</v>
      </c>
      <c r="B59" s="30" t="s">
        <v>34</v>
      </c>
      <c r="C59" s="29" t="s">
        <v>5</v>
      </c>
      <c r="D59" s="29" t="s">
        <v>2</v>
      </c>
      <c r="E59" s="31">
        <v>24</v>
      </c>
    </row>
    <row r="60" spans="1:5" x14ac:dyDescent="0.35">
      <c r="A60" s="29" t="s">
        <v>228</v>
      </c>
      <c r="B60" s="30" t="s">
        <v>34</v>
      </c>
      <c r="C60" s="29" t="s">
        <v>6</v>
      </c>
      <c r="D60" s="29" t="s">
        <v>18</v>
      </c>
      <c r="E60" s="31">
        <v>13</v>
      </c>
    </row>
    <row r="61" spans="1:5" x14ac:dyDescent="0.35">
      <c r="A61" s="29" t="s">
        <v>229</v>
      </c>
      <c r="B61" s="30" t="s">
        <v>34</v>
      </c>
      <c r="C61" s="29" t="s">
        <v>7</v>
      </c>
      <c r="D61" s="29" t="s">
        <v>3</v>
      </c>
      <c r="E61" s="31">
        <v>23</v>
      </c>
    </row>
    <row r="62" spans="1:5" x14ac:dyDescent="0.35">
      <c r="A62" s="29" t="s">
        <v>230</v>
      </c>
      <c r="B62" s="30" t="s">
        <v>34</v>
      </c>
      <c r="C62" s="29" t="s">
        <v>8</v>
      </c>
      <c r="D62" s="29" t="s">
        <v>16</v>
      </c>
      <c r="E62" s="31">
        <v>9</v>
      </c>
    </row>
    <row r="63" spans="1:5" x14ac:dyDescent="0.35">
      <c r="A63" s="29" t="s">
        <v>231</v>
      </c>
      <c r="B63" s="30" t="s">
        <v>34</v>
      </c>
      <c r="C63" s="29" t="s">
        <v>9</v>
      </c>
      <c r="D63" s="29" t="s">
        <v>4</v>
      </c>
      <c r="E63" s="31">
        <v>22</v>
      </c>
    </row>
    <row r="64" spans="1:5" x14ac:dyDescent="0.35">
      <c r="A64" s="29" t="s">
        <v>232</v>
      </c>
      <c r="B64" s="30" t="s">
        <v>34</v>
      </c>
      <c r="C64" s="29" t="s">
        <v>10</v>
      </c>
      <c r="D64" s="29" t="s">
        <v>20</v>
      </c>
      <c r="E64" s="31">
        <v>11</v>
      </c>
    </row>
    <row r="65" spans="1:5" x14ac:dyDescent="0.35">
      <c r="A65" s="29" t="s">
        <v>233</v>
      </c>
      <c r="B65" s="30" t="s">
        <v>34</v>
      </c>
      <c r="C65" s="29" t="s">
        <v>11</v>
      </c>
      <c r="D65" s="29" t="s">
        <v>5</v>
      </c>
      <c r="E65" s="31">
        <v>21</v>
      </c>
    </row>
    <row r="66" spans="1:5" x14ac:dyDescent="0.35">
      <c r="A66" s="29" t="s">
        <v>234</v>
      </c>
      <c r="B66" s="30" t="s">
        <v>34</v>
      </c>
      <c r="C66" s="29" t="s">
        <v>12</v>
      </c>
      <c r="D66" s="29" t="s">
        <v>21</v>
      </c>
      <c r="E66" s="31">
        <v>10</v>
      </c>
    </row>
    <row r="67" spans="1:5" x14ac:dyDescent="0.35">
      <c r="A67" s="29" t="s">
        <v>235</v>
      </c>
      <c r="B67" s="30" t="s">
        <v>34</v>
      </c>
      <c r="C67" s="29" t="s">
        <v>13</v>
      </c>
      <c r="D67" s="29" t="s">
        <v>13</v>
      </c>
      <c r="E67" s="31">
        <v>1</v>
      </c>
    </row>
    <row r="68" spans="1:5" x14ac:dyDescent="0.35">
      <c r="A68" s="29" t="s">
        <v>236</v>
      </c>
      <c r="B68" s="30" t="s">
        <v>34</v>
      </c>
      <c r="C68" s="29" t="s">
        <v>14</v>
      </c>
      <c r="D68" s="29" t="s">
        <v>25</v>
      </c>
      <c r="E68" s="31">
        <v>12</v>
      </c>
    </row>
    <row r="69" spans="1:5" x14ac:dyDescent="0.35">
      <c r="A69" s="29" t="s">
        <v>237</v>
      </c>
      <c r="B69" s="30" t="s">
        <v>34</v>
      </c>
      <c r="C69" s="29" t="s">
        <v>15</v>
      </c>
      <c r="D69" s="29" t="s">
        <v>7</v>
      </c>
      <c r="E69" s="31">
        <v>19</v>
      </c>
    </row>
    <row r="70" spans="1:5" x14ac:dyDescent="0.35">
      <c r="A70" s="29" t="s">
        <v>238</v>
      </c>
      <c r="B70" s="30" t="s">
        <v>34</v>
      </c>
      <c r="C70" s="29" t="s">
        <v>16</v>
      </c>
      <c r="D70" s="29" t="s">
        <v>24</v>
      </c>
      <c r="E70" s="31">
        <v>9</v>
      </c>
    </row>
    <row r="71" spans="1:5" x14ac:dyDescent="0.35">
      <c r="A71" s="29" t="s">
        <v>239</v>
      </c>
      <c r="B71" s="30" t="s">
        <v>34</v>
      </c>
      <c r="C71" s="29" t="s">
        <v>17</v>
      </c>
      <c r="D71" s="29" t="s">
        <v>8</v>
      </c>
      <c r="E71" s="31">
        <v>18</v>
      </c>
    </row>
    <row r="72" spans="1:5" x14ac:dyDescent="0.35">
      <c r="A72" s="29" t="s">
        <v>240</v>
      </c>
      <c r="B72" s="30" t="s">
        <v>34</v>
      </c>
      <c r="C72" s="29" t="s">
        <v>18</v>
      </c>
      <c r="D72" s="29" t="s">
        <v>23</v>
      </c>
      <c r="E72" s="31">
        <v>6</v>
      </c>
    </row>
    <row r="73" spans="1:5" x14ac:dyDescent="0.35">
      <c r="A73" s="29" t="s">
        <v>241</v>
      </c>
      <c r="B73" s="30" t="s">
        <v>34</v>
      </c>
      <c r="C73" s="29" t="s">
        <v>19</v>
      </c>
      <c r="D73" s="29" t="s">
        <v>9</v>
      </c>
      <c r="E73" s="31">
        <v>17</v>
      </c>
    </row>
    <row r="74" spans="1:5" x14ac:dyDescent="0.35">
      <c r="A74" s="29" t="s">
        <v>242</v>
      </c>
      <c r="B74" s="30" t="s">
        <v>34</v>
      </c>
      <c r="C74" s="29" t="s">
        <v>20</v>
      </c>
      <c r="D74" s="29" t="s">
        <v>22</v>
      </c>
      <c r="E74" s="31">
        <v>3</v>
      </c>
    </row>
    <row r="75" spans="1:5" x14ac:dyDescent="0.35">
      <c r="A75" s="29" t="s">
        <v>243</v>
      </c>
      <c r="B75" s="30" t="s">
        <v>34</v>
      </c>
      <c r="C75" s="29" t="s">
        <v>21</v>
      </c>
      <c r="D75" s="29" t="s">
        <v>11</v>
      </c>
      <c r="E75" s="31">
        <v>17</v>
      </c>
    </row>
    <row r="76" spans="1:5" x14ac:dyDescent="0.35">
      <c r="A76" s="29" t="s">
        <v>244</v>
      </c>
      <c r="B76" s="30" t="s">
        <v>34</v>
      </c>
      <c r="C76" s="29" t="s">
        <v>22</v>
      </c>
      <c r="D76" s="29" t="s">
        <v>17</v>
      </c>
      <c r="E76" s="31">
        <v>22</v>
      </c>
    </row>
    <row r="77" spans="1:5" x14ac:dyDescent="0.35">
      <c r="A77" s="29" t="s">
        <v>245</v>
      </c>
      <c r="B77" s="30" t="s">
        <v>34</v>
      </c>
      <c r="C77" s="29" t="s">
        <v>23</v>
      </c>
      <c r="D77" s="29" t="s">
        <v>10</v>
      </c>
      <c r="E77" s="31">
        <v>14</v>
      </c>
    </row>
    <row r="78" spans="1:5" x14ac:dyDescent="0.35">
      <c r="A78" s="29" t="s">
        <v>246</v>
      </c>
      <c r="B78" s="30" t="s">
        <v>34</v>
      </c>
      <c r="C78" s="29" t="s">
        <v>24</v>
      </c>
      <c r="D78" s="29" t="s">
        <v>14</v>
      </c>
      <c r="E78" s="31">
        <v>17</v>
      </c>
    </row>
    <row r="79" spans="1:5" x14ac:dyDescent="0.35">
      <c r="A79" s="29" t="s">
        <v>247</v>
      </c>
      <c r="B79" s="30" t="s">
        <v>34</v>
      </c>
      <c r="C79" s="29" t="s">
        <v>25</v>
      </c>
      <c r="D79" s="29" t="s">
        <v>12</v>
      </c>
      <c r="E79" s="31">
        <v>14</v>
      </c>
    </row>
    <row r="80" spans="1:5" x14ac:dyDescent="0.35">
      <c r="A80" s="29" t="s">
        <v>248</v>
      </c>
      <c r="B80" s="30" t="s">
        <v>35</v>
      </c>
      <c r="C80" s="29" t="s">
        <v>0</v>
      </c>
      <c r="D80" s="29" t="s">
        <v>7</v>
      </c>
      <c r="E80" s="31">
        <v>8</v>
      </c>
    </row>
    <row r="81" spans="1:5" x14ac:dyDescent="0.35">
      <c r="A81" s="29" t="s">
        <v>249</v>
      </c>
      <c r="B81" s="30" t="s">
        <v>35</v>
      </c>
      <c r="C81" s="29" t="s">
        <v>1</v>
      </c>
      <c r="D81" s="29" t="s">
        <v>25</v>
      </c>
      <c r="E81" s="31">
        <v>25</v>
      </c>
    </row>
    <row r="82" spans="1:5" x14ac:dyDescent="0.35">
      <c r="A82" s="29" t="s">
        <v>250</v>
      </c>
      <c r="B82" s="30" t="s">
        <v>35</v>
      </c>
      <c r="C82" s="29" t="s">
        <v>2</v>
      </c>
      <c r="D82" s="29" t="s">
        <v>22</v>
      </c>
      <c r="E82" s="31">
        <v>21</v>
      </c>
    </row>
    <row r="83" spans="1:5" x14ac:dyDescent="0.35">
      <c r="A83" s="29" t="s">
        <v>251</v>
      </c>
      <c r="B83" s="30" t="s">
        <v>35</v>
      </c>
      <c r="C83" s="29" t="s">
        <v>3</v>
      </c>
      <c r="D83" s="29" t="s">
        <v>21</v>
      </c>
      <c r="E83" s="31">
        <v>19</v>
      </c>
    </row>
    <row r="84" spans="1:5" x14ac:dyDescent="0.35">
      <c r="A84" s="29" t="s">
        <v>252</v>
      </c>
      <c r="B84" s="30" t="s">
        <v>35</v>
      </c>
      <c r="C84" s="29" t="s">
        <v>4</v>
      </c>
      <c r="D84" s="29" t="s">
        <v>0</v>
      </c>
      <c r="E84" s="31">
        <v>23</v>
      </c>
    </row>
    <row r="85" spans="1:5" x14ac:dyDescent="0.35">
      <c r="A85" s="29" t="s">
        <v>253</v>
      </c>
      <c r="B85" s="30" t="s">
        <v>35</v>
      </c>
      <c r="C85" s="29" t="s">
        <v>5</v>
      </c>
      <c r="D85" s="29" t="s">
        <v>17</v>
      </c>
      <c r="E85" s="31">
        <v>13</v>
      </c>
    </row>
    <row r="86" spans="1:5" x14ac:dyDescent="0.35">
      <c r="A86" s="29" t="s">
        <v>254</v>
      </c>
      <c r="B86" s="30" t="s">
        <v>35</v>
      </c>
      <c r="C86" s="29" t="s">
        <v>6</v>
      </c>
      <c r="D86" s="29" t="s">
        <v>19</v>
      </c>
      <c r="E86" s="31">
        <v>14</v>
      </c>
    </row>
    <row r="87" spans="1:5" x14ac:dyDescent="0.35">
      <c r="A87" s="29" t="s">
        <v>255</v>
      </c>
      <c r="B87" s="30" t="s">
        <v>35</v>
      </c>
      <c r="C87" s="29" t="s">
        <v>7</v>
      </c>
      <c r="D87" s="29" t="s">
        <v>13</v>
      </c>
      <c r="E87" s="31">
        <v>7</v>
      </c>
    </row>
    <row r="88" spans="1:5" x14ac:dyDescent="0.35">
      <c r="A88" s="29" t="s">
        <v>256</v>
      </c>
      <c r="B88" s="30" t="s">
        <v>35</v>
      </c>
      <c r="C88" s="29" t="s">
        <v>8</v>
      </c>
      <c r="D88" s="29" t="s">
        <v>11</v>
      </c>
      <c r="E88" s="31">
        <v>4</v>
      </c>
    </row>
    <row r="89" spans="1:5" x14ac:dyDescent="0.35">
      <c r="A89" s="29" t="s">
        <v>257</v>
      </c>
      <c r="B89" s="30" t="s">
        <v>35</v>
      </c>
      <c r="C89" s="29" t="s">
        <v>9</v>
      </c>
      <c r="D89" s="29" t="s">
        <v>6</v>
      </c>
      <c r="E89" s="31">
        <v>24</v>
      </c>
    </row>
    <row r="90" spans="1:5" x14ac:dyDescent="0.35">
      <c r="A90" s="29" t="s">
        <v>258</v>
      </c>
      <c r="B90" s="30" t="s">
        <v>35</v>
      </c>
      <c r="C90" s="29" t="s">
        <v>10</v>
      </c>
      <c r="D90" s="29" t="s">
        <v>20</v>
      </c>
      <c r="E90" s="31">
        <v>11</v>
      </c>
    </row>
    <row r="91" spans="1:5" x14ac:dyDescent="0.35">
      <c r="A91" s="29" t="s">
        <v>259</v>
      </c>
      <c r="B91" s="30" t="s">
        <v>35</v>
      </c>
      <c r="C91" s="29" t="s">
        <v>11</v>
      </c>
      <c r="D91" s="29" t="s">
        <v>15</v>
      </c>
      <c r="E91" s="31">
        <v>5</v>
      </c>
    </row>
    <row r="92" spans="1:5" x14ac:dyDescent="0.35">
      <c r="A92" s="29" t="s">
        <v>260</v>
      </c>
      <c r="B92" s="30" t="s">
        <v>35</v>
      </c>
      <c r="C92" s="29" t="s">
        <v>12</v>
      </c>
      <c r="D92" s="29" t="s">
        <v>23</v>
      </c>
      <c r="E92" s="31">
        <v>12</v>
      </c>
    </row>
    <row r="93" spans="1:5" x14ac:dyDescent="0.35">
      <c r="A93" s="29" t="s">
        <v>261</v>
      </c>
      <c r="B93" s="30" t="s">
        <v>35</v>
      </c>
      <c r="C93" s="29" t="s">
        <v>13</v>
      </c>
      <c r="D93" s="29" t="s">
        <v>16</v>
      </c>
      <c r="E93" s="31">
        <v>4</v>
      </c>
    </row>
    <row r="94" spans="1:5" x14ac:dyDescent="0.35">
      <c r="A94" s="29" t="s">
        <v>262</v>
      </c>
      <c r="B94" s="30" t="s">
        <v>35</v>
      </c>
      <c r="C94" s="29" t="s">
        <v>14</v>
      </c>
      <c r="D94" s="29" t="s">
        <v>2</v>
      </c>
      <c r="E94" s="31">
        <v>15</v>
      </c>
    </row>
    <row r="95" spans="1:5" x14ac:dyDescent="0.35">
      <c r="A95" s="29" t="s">
        <v>263</v>
      </c>
      <c r="B95" s="30" t="s">
        <v>35</v>
      </c>
      <c r="C95" s="29" t="s">
        <v>15</v>
      </c>
      <c r="D95" s="29" t="s">
        <v>4</v>
      </c>
      <c r="E95" s="31">
        <v>16</v>
      </c>
    </row>
    <row r="96" spans="1:5" x14ac:dyDescent="0.35">
      <c r="A96" s="29" t="s">
        <v>264</v>
      </c>
      <c r="B96" s="30" t="s">
        <v>35</v>
      </c>
      <c r="C96" s="29" t="s">
        <v>16</v>
      </c>
      <c r="D96" s="29" t="s">
        <v>9</v>
      </c>
      <c r="E96" s="31">
        <v>20</v>
      </c>
    </row>
    <row r="97" spans="1:5" x14ac:dyDescent="0.35">
      <c r="A97" s="29" t="s">
        <v>265</v>
      </c>
      <c r="B97" s="30" t="s">
        <v>35</v>
      </c>
      <c r="C97" s="29" t="s">
        <v>17</v>
      </c>
      <c r="D97" s="29" t="s">
        <v>12</v>
      </c>
      <c r="E97" s="31">
        <v>22</v>
      </c>
    </row>
    <row r="98" spans="1:5" x14ac:dyDescent="0.35">
      <c r="A98" s="29" t="s">
        <v>266</v>
      </c>
      <c r="B98" s="30" t="s">
        <v>35</v>
      </c>
      <c r="C98" s="29" t="s">
        <v>18</v>
      </c>
      <c r="D98" s="29" t="s">
        <v>1</v>
      </c>
      <c r="E98" s="31">
        <v>10</v>
      </c>
    </row>
    <row r="99" spans="1:5" x14ac:dyDescent="0.35">
      <c r="A99" s="29" t="s">
        <v>267</v>
      </c>
      <c r="B99" s="30" t="s">
        <v>35</v>
      </c>
      <c r="C99" s="29" t="s">
        <v>19</v>
      </c>
      <c r="D99" s="29" t="s">
        <v>18</v>
      </c>
      <c r="E99" s="31">
        <v>26</v>
      </c>
    </row>
    <row r="100" spans="1:5" x14ac:dyDescent="0.35">
      <c r="A100" s="29" t="s">
        <v>268</v>
      </c>
      <c r="B100" s="30" t="s">
        <v>35</v>
      </c>
      <c r="C100" s="29" t="s">
        <v>20</v>
      </c>
      <c r="D100" s="29" t="s">
        <v>10</v>
      </c>
      <c r="E100" s="31">
        <v>17</v>
      </c>
    </row>
    <row r="101" spans="1:5" x14ac:dyDescent="0.35">
      <c r="A101" s="29" t="s">
        <v>269</v>
      </c>
      <c r="B101" s="30" t="s">
        <v>35</v>
      </c>
      <c r="C101" s="29" t="s">
        <v>21</v>
      </c>
      <c r="D101" s="29" t="s">
        <v>3</v>
      </c>
      <c r="E101" s="31">
        <v>9</v>
      </c>
    </row>
    <row r="102" spans="1:5" x14ac:dyDescent="0.35">
      <c r="A102" s="29" t="s">
        <v>270</v>
      </c>
      <c r="B102" s="30" t="s">
        <v>35</v>
      </c>
      <c r="C102" s="29" t="s">
        <v>22</v>
      </c>
      <c r="D102" s="29" t="s">
        <v>24</v>
      </c>
      <c r="E102" s="31">
        <v>3</v>
      </c>
    </row>
    <row r="103" spans="1:5" x14ac:dyDescent="0.35">
      <c r="A103" s="29" t="s">
        <v>271</v>
      </c>
      <c r="B103" s="30" t="s">
        <v>35</v>
      </c>
      <c r="C103" s="29" t="s">
        <v>23</v>
      </c>
      <c r="D103" s="29" t="s">
        <v>14</v>
      </c>
      <c r="E103" s="31">
        <v>18</v>
      </c>
    </row>
    <row r="104" spans="1:5" x14ac:dyDescent="0.35">
      <c r="A104" s="29" t="s">
        <v>272</v>
      </c>
      <c r="B104" s="30" t="s">
        <v>35</v>
      </c>
      <c r="C104" s="29" t="s">
        <v>24</v>
      </c>
      <c r="D104" s="29" t="s">
        <v>8</v>
      </c>
      <c r="E104" s="31">
        <v>11</v>
      </c>
    </row>
    <row r="105" spans="1:5" x14ac:dyDescent="0.35">
      <c r="A105" s="29" t="s">
        <v>273</v>
      </c>
      <c r="B105" s="30" t="s">
        <v>35</v>
      </c>
      <c r="C105" s="29" t="s">
        <v>25</v>
      </c>
      <c r="D105" s="29" t="s">
        <v>5</v>
      </c>
      <c r="E105" s="31">
        <v>7</v>
      </c>
    </row>
    <row r="106" spans="1:5" x14ac:dyDescent="0.35">
      <c r="A106" s="29" t="s">
        <v>274</v>
      </c>
      <c r="B106" s="30" t="s">
        <v>36</v>
      </c>
      <c r="C106" s="29" t="s">
        <v>0</v>
      </c>
      <c r="D106" s="29" t="s">
        <v>16</v>
      </c>
      <c r="E106" s="31">
        <v>17</v>
      </c>
    </row>
    <row r="107" spans="1:5" x14ac:dyDescent="0.35">
      <c r="A107" s="29" t="s">
        <v>275</v>
      </c>
      <c r="B107" s="30" t="s">
        <v>36</v>
      </c>
      <c r="C107" s="29" t="s">
        <v>1</v>
      </c>
      <c r="D107" s="29" t="s">
        <v>2</v>
      </c>
      <c r="E107" s="31">
        <v>2</v>
      </c>
    </row>
    <row r="108" spans="1:5" x14ac:dyDescent="0.35">
      <c r="A108" s="29" t="s">
        <v>276</v>
      </c>
      <c r="B108" s="30" t="s">
        <v>36</v>
      </c>
      <c r="C108" s="29" t="s">
        <v>2</v>
      </c>
      <c r="D108" s="29" t="s">
        <v>24</v>
      </c>
      <c r="E108" s="31">
        <v>23</v>
      </c>
    </row>
    <row r="109" spans="1:5" x14ac:dyDescent="0.35">
      <c r="A109" s="29" t="s">
        <v>277</v>
      </c>
      <c r="B109" s="30" t="s">
        <v>36</v>
      </c>
      <c r="C109" s="29" t="s">
        <v>3</v>
      </c>
      <c r="D109" s="29" t="s">
        <v>11</v>
      </c>
      <c r="E109" s="31">
        <v>9</v>
      </c>
    </row>
    <row r="110" spans="1:5" x14ac:dyDescent="0.35">
      <c r="A110" s="29" t="s">
        <v>278</v>
      </c>
      <c r="B110" s="30" t="s">
        <v>36</v>
      </c>
      <c r="C110" s="29" t="s">
        <v>4</v>
      </c>
      <c r="D110" s="29" t="s">
        <v>23</v>
      </c>
      <c r="E110" s="31">
        <v>20</v>
      </c>
    </row>
    <row r="111" spans="1:5" x14ac:dyDescent="0.35">
      <c r="A111" s="29" t="s">
        <v>279</v>
      </c>
      <c r="B111" s="30" t="s">
        <v>36</v>
      </c>
      <c r="C111" s="29" t="s">
        <v>5</v>
      </c>
      <c r="D111" s="29" t="s">
        <v>22</v>
      </c>
      <c r="E111" s="31">
        <v>18</v>
      </c>
    </row>
    <row r="112" spans="1:5" x14ac:dyDescent="0.35">
      <c r="A112" s="29" t="s">
        <v>280</v>
      </c>
      <c r="B112" s="30" t="s">
        <v>36</v>
      </c>
      <c r="C112" s="29" t="s">
        <v>6</v>
      </c>
      <c r="D112" s="29" t="s">
        <v>4</v>
      </c>
      <c r="E112" s="31">
        <v>25</v>
      </c>
    </row>
    <row r="113" spans="1:5" x14ac:dyDescent="0.35">
      <c r="A113" s="29" t="s">
        <v>281</v>
      </c>
      <c r="B113" s="30" t="s">
        <v>36</v>
      </c>
      <c r="C113" s="29" t="s">
        <v>7</v>
      </c>
      <c r="D113" s="29" t="s">
        <v>13</v>
      </c>
      <c r="E113" s="31">
        <v>7</v>
      </c>
    </row>
    <row r="114" spans="1:5" x14ac:dyDescent="0.35">
      <c r="A114" s="29" t="s">
        <v>282</v>
      </c>
      <c r="B114" s="30" t="s">
        <v>36</v>
      </c>
      <c r="C114" s="29" t="s">
        <v>8</v>
      </c>
      <c r="D114" s="29" t="s">
        <v>5</v>
      </c>
      <c r="E114" s="31">
        <v>24</v>
      </c>
    </row>
    <row r="115" spans="1:5" x14ac:dyDescent="0.35">
      <c r="A115" s="29" t="s">
        <v>283</v>
      </c>
      <c r="B115" s="30" t="s">
        <v>36</v>
      </c>
      <c r="C115" s="29" t="s">
        <v>9</v>
      </c>
      <c r="D115" s="29" t="s">
        <v>19</v>
      </c>
      <c r="E115" s="31">
        <v>11</v>
      </c>
    </row>
    <row r="116" spans="1:5" x14ac:dyDescent="0.35">
      <c r="A116" s="29" t="s">
        <v>284</v>
      </c>
      <c r="B116" s="30" t="s">
        <v>36</v>
      </c>
      <c r="C116" s="29" t="s">
        <v>10</v>
      </c>
      <c r="D116" s="29" t="s">
        <v>25</v>
      </c>
      <c r="E116" s="31">
        <v>16</v>
      </c>
    </row>
    <row r="117" spans="1:5" x14ac:dyDescent="0.35">
      <c r="A117" s="29" t="s">
        <v>285</v>
      </c>
      <c r="B117" s="30" t="s">
        <v>36</v>
      </c>
      <c r="C117" s="29" t="s">
        <v>11</v>
      </c>
      <c r="D117" s="29" t="s">
        <v>14</v>
      </c>
      <c r="E117" s="31">
        <v>4</v>
      </c>
    </row>
    <row r="118" spans="1:5" x14ac:dyDescent="0.35">
      <c r="A118" s="29" t="s">
        <v>286</v>
      </c>
      <c r="B118" s="30" t="s">
        <v>36</v>
      </c>
      <c r="C118" s="29" t="s">
        <v>12</v>
      </c>
      <c r="D118" s="29" t="s">
        <v>18</v>
      </c>
      <c r="E118" s="31">
        <v>7</v>
      </c>
    </row>
    <row r="119" spans="1:5" x14ac:dyDescent="0.35">
      <c r="A119" s="29" t="s">
        <v>287</v>
      </c>
      <c r="B119" s="30" t="s">
        <v>36</v>
      </c>
      <c r="C119" s="29" t="s">
        <v>13</v>
      </c>
      <c r="D119" s="29" t="s">
        <v>12</v>
      </c>
      <c r="E119" s="31">
        <v>26</v>
      </c>
    </row>
    <row r="120" spans="1:5" x14ac:dyDescent="0.35">
      <c r="A120" s="29" t="s">
        <v>288</v>
      </c>
      <c r="B120" s="30" t="s">
        <v>36</v>
      </c>
      <c r="C120" s="29" t="s">
        <v>14</v>
      </c>
      <c r="D120" s="29" t="s">
        <v>21</v>
      </c>
      <c r="E120" s="31">
        <v>8</v>
      </c>
    </row>
    <row r="121" spans="1:5" x14ac:dyDescent="0.35">
      <c r="A121" s="29" t="s">
        <v>289</v>
      </c>
      <c r="B121" s="30" t="s">
        <v>36</v>
      </c>
      <c r="C121" s="29" t="s">
        <v>15</v>
      </c>
      <c r="D121" s="29" t="s">
        <v>9</v>
      </c>
      <c r="E121" s="31">
        <v>21</v>
      </c>
    </row>
    <row r="122" spans="1:5" x14ac:dyDescent="0.35">
      <c r="A122" s="29" t="s">
        <v>290</v>
      </c>
      <c r="B122" s="30" t="s">
        <v>36</v>
      </c>
      <c r="C122" s="29" t="s">
        <v>16</v>
      </c>
      <c r="D122" s="29" t="s">
        <v>20</v>
      </c>
      <c r="E122" s="31">
        <v>5</v>
      </c>
    </row>
    <row r="123" spans="1:5" x14ac:dyDescent="0.35">
      <c r="A123" s="29" t="s">
        <v>291</v>
      </c>
      <c r="B123" s="30" t="s">
        <v>36</v>
      </c>
      <c r="C123" s="29" t="s">
        <v>17</v>
      </c>
      <c r="D123" s="29" t="s">
        <v>3</v>
      </c>
      <c r="E123" s="31">
        <v>13</v>
      </c>
    </row>
    <row r="124" spans="1:5" x14ac:dyDescent="0.35">
      <c r="A124" s="29" t="s">
        <v>292</v>
      </c>
      <c r="B124" s="30" t="s">
        <v>36</v>
      </c>
      <c r="C124" s="29" t="s">
        <v>18</v>
      </c>
      <c r="D124" s="29" t="s">
        <v>10</v>
      </c>
      <c r="E124" s="31">
        <v>19</v>
      </c>
    </row>
    <row r="125" spans="1:5" x14ac:dyDescent="0.35">
      <c r="A125" s="29" t="s">
        <v>293</v>
      </c>
      <c r="B125" s="30" t="s">
        <v>36</v>
      </c>
      <c r="C125" s="29" t="s">
        <v>19</v>
      </c>
      <c r="D125" s="29" t="s">
        <v>6</v>
      </c>
      <c r="E125" s="31">
        <v>14</v>
      </c>
    </row>
    <row r="126" spans="1:5" x14ac:dyDescent="0.35">
      <c r="A126" s="29" t="s">
        <v>294</v>
      </c>
      <c r="B126" s="30" t="s">
        <v>36</v>
      </c>
      <c r="C126" s="29" t="s">
        <v>20</v>
      </c>
      <c r="D126" s="29" t="s">
        <v>8</v>
      </c>
      <c r="E126" s="31">
        <v>15</v>
      </c>
    </row>
    <row r="127" spans="1:5" x14ac:dyDescent="0.35">
      <c r="A127" s="29" t="s">
        <v>295</v>
      </c>
      <c r="B127" s="30" t="s">
        <v>36</v>
      </c>
      <c r="C127" s="29" t="s">
        <v>21</v>
      </c>
      <c r="D127" s="29" t="s">
        <v>0</v>
      </c>
      <c r="E127" s="31">
        <v>6</v>
      </c>
    </row>
    <row r="128" spans="1:5" x14ac:dyDescent="0.35">
      <c r="A128" s="29" t="s">
        <v>296</v>
      </c>
      <c r="B128" s="30" t="s">
        <v>36</v>
      </c>
      <c r="C128" s="29" t="s">
        <v>22</v>
      </c>
      <c r="D128" s="29" t="s">
        <v>17</v>
      </c>
      <c r="E128" s="31">
        <v>22</v>
      </c>
    </row>
    <row r="129" spans="1:5" x14ac:dyDescent="0.35">
      <c r="A129" s="29" t="s">
        <v>297</v>
      </c>
      <c r="B129" s="30" t="s">
        <v>36</v>
      </c>
      <c r="C129" s="29" t="s">
        <v>23</v>
      </c>
      <c r="D129" s="29" t="s">
        <v>15</v>
      </c>
      <c r="E129" s="31">
        <v>19</v>
      </c>
    </row>
    <row r="130" spans="1:5" x14ac:dyDescent="0.35">
      <c r="A130" s="29" t="s">
        <v>298</v>
      </c>
      <c r="B130" s="30" t="s">
        <v>36</v>
      </c>
      <c r="C130" s="29" t="s">
        <v>24</v>
      </c>
      <c r="D130" s="29" t="s">
        <v>7</v>
      </c>
      <c r="E130" s="31">
        <v>10</v>
      </c>
    </row>
    <row r="131" spans="1:5" x14ac:dyDescent="0.35">
      <c r="A131" s="29" t="s">
        <v>299</v>
      </c>
      <c r="B131" s="30" t="s">
        <v>36</v>
      </c>
      <c r="C131" s="29" t="s">
        <v>25</v>
      </c>
      <c r="D131" s="29" t="s">
        <v>1</v>
      </c>
      <c r="E131" s="31">
        <v>3</v>
      </c>
    </row>
    <row r="132" spans="1:5" x14ac:dyDescent="0.35">
      <c r="A132" s="29" t="s">
        <v>505</v>
      </c>
      <c r="B132" s="30" t="s">
        <v>506</v>
      </c>
      <c r="C132" s="29" t="s">
        <v>0</v>
      </c>
      <c r="D132" s="29" t="s">
        <v>18</v>
      </c>
      <c r="E132" s="31">
        <v>19</v>
      </c>
    </row>
    <row r="133" spans="1:5" x14ac:dyDescent="0.35">
      <c r="A133" s="29" t="s">
        <v>507</v>
      </c>
      <c r="B133" s="30" t="s">
        <v>506</v>
      </c>
      <c r="C133" s="29" t="s">
        <v>1</v>
      </c>
      <c r="D133" s="29" t="s">
        <v>10</v>
      </c>
      <c r="E133" s="31">
        <v>10</v>
      </c>
    </row>
    <row r="134" spans="1:5" x14ac:dyDescent="0.35">
      <c r="A134" s="29" t="s">
        <v>508</v>
      </c>
      <c r="B134" s="30" t="s">
        <v>506</v>
      </c>
      <c r="C134" s="29" t="s">
        <v>2</v>
      </c>
      <c r="D134" s="29" t="s">
        <v>23</v>
      </c>
      <c r="E134" s="31">
        <v>22</v>
      </c>
    </row>
    <row r="135" spans="1:5" x14ac:dyDescent="0.35">
      <c r="A135" s="29" t="s">
        <v>509</v>
      </c>
      <c r="B135" s="30" t="s">
        <v>506</v>
      </c>
      <c r="C135" s="29" t="s">
        <v>3</v>
      </c>
      <c r="D135" s="29" t="s">
        <v>16</v>
      </c>
      <c r="E135" s="31">
        <v>14</v>
      </c>
    </row>
    <row r="136" spans="1:5" x14ac:dyDescent="0.35">
      <c r="A136" s="29" t="s">
        <v>510</v>
      </c>
      <c r="B136" s="30" t="s">
        <v>506</v>
      </c>
      <c r="C136" s="29" t="s">
        <v>4</v>
      </c>
      <c r="D136" s="29" t="s">
        <v>11</v>
      </c>
      <c r="E136" s="31">
        <v>8</v>
      </c>
    </row>
    <row r="137" spans="1:5" x14ac:dyDescent="0.35">
      <c r="A137" s="29" t="s">
        <v>511</v>
      </c>
      <c r="B137" s="30" t="s">
        <v>506</v>
      </c>
      <c r="C137" s="29" t="s">
        <v>5</v>
      </c>
      <c r="D137" s="29" t="s">
        <v>7</v>
      </c>
      <c r="E137" s="31">
        <v>3</v>
      </c>
    </row>
    <row r="138" spans="1:5" x14ac:dyDescent="0.35">
      <c r="A138" s="29" t="s">
        <v>512</v>
      </c>
      <c r="B138" s="30" t="s">
        <v>506</v>
      </c>
      <c r="C138" s="29" t="s">
        <v>6</v>
      </c>
      <c r="D138" s="29" t="s">
        <v>2</v>
      </c>
      <c r="E138" s="31">
        <v>23</v>
      </c>
    </row>
    <row r="139" spans="1:5" x14ac:dyDescent="0.35">
      <c r="A139" s="29" t="s">
        <v>513</v>
      </c>
      <c r="B139" s="30" t="s">
        <v>506</v>
      </c>
      <c r="C139" s="29" t="s">
        <v>7</v>
      </c>
      <c r="D139" s="29" t="s">
        <v>13</v>
      </c>
      <c r="E139" s="31">
        <v>7</v>
      </c>
    </row>
    <row r="140" spans="1:5" x14ac:dyDescent="0.35">
      <c r="A140" s="29" t="s">
        <v>514</v>
      </c>
      <c r="B140" s="30" t="s">
        <v>506</v>
      </c>
      <c r="C140" s="29" t="s">
        <v>8</v>
      </c>
      <c r="D140" s="29" t="s">
        <v>22</v>
      </c>
      <c r="E140" s="31">
        <v>15</v>
      </c>
    </row>
    <row r="141" spans="1:5" x14ac:dyDescent="0.35">
      <c r="A141" s="29" t="s">
        <v>515</v>
      </c>
      <c r="B141" s="30" t="s">
        <v>506</v>
      </c>
      <c r="C141" s="29" t="s">
        <v>9</v>
      </c>
      <c r="D141" s="29" t="s">
        <v>0</v>
      </c>
      <c r="E141" s="31">
        <v>18</v>
      </c>
    </row>
    <row r="142" spans="1:5" x14ac:dyDescent="0.35">
      <c r="A142" s="29" t="s">
        <v>516</v>
      </c>
      <c r="B142" s="30" t="s">
        <v>506</v>
      </c>
      <c r="C142" s="29" t="s">
        <v>10</v>
      </c>
      <c r="D142" s="29" t="s">
        <v>17</v>
      </c>
      <c r="E142" s="31">
        <v>8</v>
      </c>
    </row>
    <row r="143" spans="1:5" x14ac:dyDescent="0.35">
      <c r="A143" s="29" t="s">
        <v>517</v>
      </c>
      <c r="B143" s="30" t="s">
        <v>506</v>
      </c>
      <c r="C143" s="29" t="s">
        <v>11</v>
      </c>
      <c r="D143" s="29" t="s">
        <v>21</v>
      </c>
      <c r="E143" s="31">
        <v>11</v>
      </c>
    </row>
    <row r="144" spans="1:5" x14ac:dyDescent="0.35">
      <c r="A144" s="29" t="s">
        <v>518</v>
      </c>
      <c r="B144" s="30" t="s">
        <v>506</v>
      </c>
      <c r="C144" s="29" t="s">
        <v>12</v>
      </c>
      <c r="D144" s="29" t="s">
        <v>6</v>
      </c>
      <c r="E144" s="31">
        <v>21</v>
      </c>
    </row>
    <row r="145" spans="1:5" x14ac:dyDescent="0.35">
      <c r="A145" s="29" t="s">
        <v>519</v>
      </c>
      <c r="B145" s="30" t="s">
        <v>506</v>
      </c>
      <c r="C145" s="29" t="s">
        <v>13</v>
      </c>
      <c r="D145" s="29" t="s">
        <v>12</v>
      </c>
      <c r="E145" s="31">
        <v>26</v>
      </c>
    </row>
    <row r="146" spans="1:5" x14ac:dyDescent="0.35">
      <c r="A146" s="29" t="s">
        <v>520</v>
      </c>
      <c r="B146" s="30" t="s">
        <v>506</v>
      </c>
      <c r="C146" s="29" t="s">
        <v>14</v>
      </c>
      <c r="D146" s="29" t="s">
        <v>4</v>
      </c>
      <c r="E146" s="31">
        <v>17</v>
      </c>
    </row>
    <row r="147" spans="1:5" x14ac:dyDescent="0.35">
      <c r="A147" s="29" t="s">
        <v>521</v>
      </c>
      <c r="B147" s="30" t="s">
        <v>506</v>
      </c>
      <c r="C147" s="29" t="s">
        <v>15</v>
      </c>
      <c r="D147" s="29" t="s">
        <v>1</v>
      </c>
      <c r="E147" s="31">
        <v>13</v>
      </c>
    </row>
    <row r="148" spans="1:5" x14ac:dyDescent="0.35">
      <c r="A148" s="29" t="s">
        <v>522</v>
      </c>
      <c r="B148" s="30" t="s">
        <v>506</v>
      </c>
      <c r="C148" s="29" t="s">
        <v>16</v>
      </c>
      <c r="D148" s="29" t="s">
        <v>9</v>
      </c>
      <c r="E148" s="31">
        <v>20</v>
      </c>
    </row>
    <row r="149" spans="1:5" x14ac:dyDescent="0.35">
      <c r="A149" s="29" t="s">
        <v>523</v>
      </c>
      <c r="B149" s="30" t="s">
        <v>506</v>
      </c>
      <c r="C149" s="29" t="s">
        <v>17</v>
      </c>
      <c r="D149" s="29" t="s">
        <v>15</v>
      </c>
      <c r="E149" s="31">
        <v>25</v>
      </c>
    </row>
    <row r="150" spans="1:5" x14ac:dyDescent="0.35">
      <c r="A150" s="29" t="s">
        <v>524</v>
      </c>
      <c r="B150" s="30" t="s">
        <v>506</v>
      </c>
      <c r="C150" s="29" t="s">
        <v>18</v>
      </c>
      <c r="D150" s="29" t="s">
        <v>19</v>
      </c>
      <c r="E150" s="31">
        <v>2</v>
      </c>
    </row>
    <row r="151" spans="1:5" x14ac:dyDescent="0.35">
      <c r="A151" s="29" t="s">
        <v>525</v>
      </c>
      <c r="B151" s="30" t="s">
        <v>506</v>
      </c>
      <c r="C151" s="29" t="s">
        <v>19</v>
      </c>
      <c r="D151" s="29" t="s">
        <v>24</v>
      </c>
      <c r="E151" s="31">
        <v>6</v>
      </c>
    </row>
    <row r="152" spans="1:5" x14ac:dyDescent="0.35">
      <c r="A152" s="29" t="s">
        <v>526</v>
      </c>
      <c r="B152" s="30" t="s">
        <v>506</v>
      </c>
      <c r="C152" s="29" t="s">
        <v>20</v>
      </c>
      <c r="D152" s="29" t="s">
        <v>5</v>
      </c>
      <c r="E152" s="31">
        <v>12</v>
      </c>
    </row>
    <row r="153" spans="1:5" x14ac:dyDescent="0.35">
      <c r="A153" s="29" t="s">
        <v>527</v>
      </c>
      <c r="B153" s="30" t="s">
        <v>506</v>
      </c>
      <c r="C153" s="29" t="s">
        <v>21</v>
      </c>
      <c r="D153" s="29" t="s">
        <v>3</v>
      </c>
      <c r="E153" s="31">
        <v>9</v>
      </c>
    </row>
    <row r="154" spans="1:5" x14ac:dyDescent="0.35">
      <c r="A154" s="29" t="s">
        <v>528</v>
      </c>
      <c r="B154" s="30" t="s">
        <v>506</v>
      </c>
      <c r="C154" s="29" t="s">
        <v>22</v>
      </c>
      <c r="D154" s="29" t="s">
        <v>25</v>
      </c>
      <c r="E154" s="31">
        <v>4</v>
      </c>
    </row>
    <row r="155" spans="1:5" x14ac:dyDescent="0.35">
      <c r="A155" s="29" t="s">
        <v>529</v>
      </c>
      <c r="B155" s="30" t="s">
        <v>506</v>
      </c>
      <c r="C155" s="29" t="s">
        <v>23</v>
      </c>
      <c r="D155" s="29" t="s">
        <v>20</v>
      </c>
      <c r="E155" s="31">
        <v>24</v>
      </c>
    </row>
    <row r="156" spans="1:5" x14ac:dyDescent="0.35">
      <c r="A156" s="29" t="s">
        <v>530</v>
      </c>
      <c r="B156" s="30" t="s">
        <v>506</v>
      </c>
      <c r="C156" s="29" t="s">
        <v>24</v>
      </c>
      <c r="D156" s="29" t="s">
        <v>8</v>
      </c>
      <c r="E156" s="31">
        <v>11</v>
      </c>
    </row>
    <row r="157" spans="1:5" x14ac:dyDescent="0.35">
      <c r="A157" s="29" t="s">
        <v>531</v>
      </c>
      <c r="B157" s="30" t="s">
        <v>506</v>
      </c>
      <c r="C157" s="29" t="s">
        <v>25</v>
      </c>
      <c r="D157" s="29" t="s">
        <v>14</v>
      </c>
      <c r="E157" s="31">
        <v>16</v>
      </c>
    </row>
    <row r="158" spans="1:5" x14ac:dyDescent="0.35">
      <c r="A158" s="29" t="s">
        <v>532</v>
      </c>
      <c r="B158" s="30" t="s">
        <v>533</v>
      </c>
      <c r="C158" s="29" t="s">
        <v>0</v>
      </c>
      <c r="D158" s="29" t="s">
        <v>16</v>
      </c>
      <c r="E158" s="31">
        <v>17</v>
      </c>
    </row>
    <row r="159" spans="1:5" x14ac:dyDescent="0.35">
      <c r="A159" s="29" t="s">
        <v>534</v>
      </c>
      <c r="B159" s="30" t="s">
        <v>533</v>
      </c>
      <c r="C159" s="29" t="s">
        <v>1</v>
      </c>
      <c r="D159" s="29" t="s">
        <v>12</v>
      </c>
      <c r="E159" s="31">
        <v>12</v>
      </c>
    </row>
    <row r="160" spans="1:5" x14ac:dyDescent="0.35">
      <c r="A160" s="29" t="s">
        <v>535</v>
      </c>
      <c r="B160" s="30" t="s">
        <v>533</v>
      </c>
      <c r="C160" s="29" t="s">
        <v>2</v>
      </c>
      <c r="D160" s="29" t="s">
        <v>6</v>
      </c>
      <c r="E160" s="31">
        <v>5</v>
      </c>
    </row>
    <row r="161" spans="1:5" x14ac:dyDescent="0.35">
      <c r="A161" s="29" t="s">
        <v>536</v>
      </c>
      <c r="B161" s="30" t="s">
        <v>533</v>
      </c>
      <c r="C161" s="29" t="s">
        <v>3</v>
      </c>
      <c r="D161" s="29" t="s">
        <v>24</v>
      </c>
      <c r="E161" s="31">
        <v>22</v>
      </c>
    </row>
    <row r="162" spans="1:5" x14ac:dyDescent="0.35">
      <c r="A162" s="29" t="s">
        <v>537</v>
      </c>
      <c r="B162" s="30" t="s">
        <v>533</v>
      </c>
      <c r="C162" s="29" t="s">
        <v>4</v>
      </c>
      <c r="D162" s="29" t="s">
        <v>21</v>
      </c>
      <c r="E162" s="31">
        <v>18</v>
      </c>
    </row>
    <row r="163" spans="1:5" x14ac:dyDescent="0.35">
      <c r="A163" s="29" t="s">
        <v>538</v>
      </c>
      <c r="B163" s="30" t="s">
        <v>533</v>
      </c>
      <c r="C163" s="29" t="s">
        <v>5</v>
      </c>
      <c r="D163" s="29" t="s">
        <v>15</v>
      </c>
      <c r="E163" s="31">
        <v>11</v>
      </c>
    </row>
    <row r="164" spans="1:5" x14ac:dyDescent="0.35">
      <c r="A164" s="29" t="s">
        <v>539</v>
      </c>
      <c r="B164" s="30" t="s">
        <v>533</v>
      </c>
      <c r="C164" s="29" t="s">
        <v>6</v>
      </c>
      <c r="D164" s="29" t="s">
        <v>4</v>
      </c>
      <c r="E164" s="31">
        <v>25</v>
      </c>
    </row>
    <row r="165" spans="1:5" x14ac:dyDescent="0.35">
      <c r="A165" s="29" t="s">
        <v>540</v>
      </c>
      <c r="B165" s="30" t="s">
        <v>533</v>
      </c>
      <c r="C165" s="29" t="s">
        <v>7</v>
      </c>
      <c r="D165" s="29" t="s">
        <v>3</v>
      </c>
      <c r="E165" s="31">
        <v>23</v>
      </c>
    </row>
    <row r="166" spans="1:5" x14ac:dyDescent="0.35">
      <c r="A166" s="29" t="s">
        <v>541</v>
      </c>
      <c r="B166" s="30" t="s">
        <v>533</v>
      </c>
      <c r="C166" s="29" t="s">
        <v>8</v>
      </c>
      <c r="D166" s="29" t="s">
        <v>17</v>
      </c>
      <c r="E166" s="31">
        <v>10</v>
      </c>
    </row>
    <row r="167" spans="1:5" x14ac:dyDescent="0.35">
      <c r="A167" s="29" t="s">
        <v>542</v>
      </c>
      <c r="B167" s="30" t="s">
        <v>533</v>
      </c>
      <c r="C167" s="29" t="s">
        <v>9</v>
      </c>
      <c r="D167" s="29" t="s">
        <v>2</v>
      </c>
      <c r="E167" s="31">
        <v>20</v>
      </c>
    </row>
    <row r="168" spans="1:5" x14ac:dyDescent="0.35">
      <c r="A168" s="29" t="s">
        <v>543</v>
      </c>
      <c r="B168" s="30" t="s">
        <v>533</v>
      </c>
      <c r="C168" s="29" t="s">
        <v>10</v>
      </c>
      <c r="D168" s="29" t="s">
        <v>22</v>
      </c>
      <c r="E168" s="31">
        <v>13</v>
      </c>
    </row>
    <row r="169" spans="1:5" x14ac:dyDescent="0.35">
      <c r="A169" s="29" t="s">
        <v>544</v>
      </c>
      <c r="B169" s="30" t="s">
        <v>533</v>
      </c>
      <c r="C169" s="29" t="s">
        <v>11</v>
      </c>
      <c r="D169" s="29" t="s">
        <v>19</v>
      </c>
      <c r="E169" s="31">
        <v>9</v>
      </c>
    </row>
    <row r="170" spans="1:5" x14ac:dyDescent="0.35">
      <c r="A170" s="29" t="s">
        <v>545</v>
      </c>
      <c r="B170" s="30" t="s">
        <v>533</v>
      </c>
      <c r="C170" s="29" t="s">
        <v>12</v>
      </c>
      <c r="D170" s="29" t="s">
        <v>8</v>
      </c>
      <c r="E170" s="31">
        <v>23</v>
      </c>
    </row>
    <row r="171" spans="1:5" x14ac:dyDescent="0.35">
      <c r="A171" s="29" t="s">
        <v>546</v>
      </c>
      <c r="B171" s="30" t="s">
        <v>533</v>
      </c>
      <c r="C171" s="29" t="s">
        <v>13</v>
      </c>
      <c r="D171" s="29" t="s">
        <v>0</v>
      </c>
      <c r="E171" s="31">
        <v>14</v>
      </c>
    </row>
    <row r="172" spans="1:5" x14ac:dyDescent="0.35">
      <c r="A172" s="29" t="s">
        <v>547</v>
      </c>
      <c r="B172" s="30" t="s">
        <v>533</v>
      </c>
      <c r="C172" s="29" t="s">
        <v>14</v>
      </c>
      <c r="D172" s="29" t="s">
        <v>13</v>
      </c>
      <c r="E172" s="31">
        <v>26</v>
      </c>
    </row>
    <row r="173" spans="1:5" x14ac:dyDescent="0.35">
      <c r="A173" s="29" t="s">
        <v>548</v>
      </c>
      <c r="B173" s="30" t="s">
        <v>533</v>
      </c>
      <c r="C173" s="29" t="s">
        <v>15</v>
      </c>
      <c r="D173" s="29" t="s">
        <v>20</v>
      </c>
      <c r="E173" s="31">
        <v>6</v>
      </c>
    </row>
    <row r="174" spans="1:5" x14ac:dyDescent="0.35">
      <c r="A174" s="29" t="s">
        <v>549</v>
      </c>
      <c r="B174" s="30" t="s">
        <v>533</v>
      </c>
      <c r="C174" s="29" t="s">
        <v>16</v>
      </c>
      <c r="D174" s="29" t="s">
        <v>23</v>
      </c>
      <c r="E174" s="31">
        <v>8</v>
      </c>
    </row>
    <row r="175" spans="1:5" x14ac:dyDescent="0.35">
      <c r="A175" s="29" t="s">
        <v>550</v>
      </c>
      <c r="B175" s="30" t="s">
        <v>533</v>
      </c>
      <c r="C175" s="29" t="s">
        <v>17</v>
      </c>
      <c r="D175" s="29" t="s">
        <v>5</v>
      </c>
      <c r="E175" s="31">
        <v>15</v>
      </c>
    </row>
    <row r="176" spans="1:5" x14ac:dyDescent="0.35">
      <c r="A176" s="29" t="s">
        <v>551</v>
      </c>
      <c r="B176" s="30" t="s">
        <v>533</v>
      </c>
      <c r="C176" s="29" t="s">
        <v>18</v>
      </c>
      <c r="D176" s="29" t="s">
        <v>10</v>
      </c>
      <c r="E176" s="31">
        <v>19</v>
      </c>
    </row>
    <row r="177" spans="1:5" x14ac:dyDescent="0.35">
      <c r="A177" s="29" t="s">
        <v>552</v>
      </c>
      <c r="B177" s="30" t="s">
        <v>533</v>
      </c>
      <c r="C177" s="29" t="s">
        <v>19</v>
      </c>
      <c r="D177" s="29" t="s">
        <v>25</v>
      </c>
      <c r="E177" s="31">
        <v>7</v>
      </c>
    </row>
    <row r="178" spans="1:5" x14ac:dyDescent="0.35">
      <c r="A178" s="29" t="s">
        <v>553</v>
      </c>
      <c r="B178" s="30" t="s">
        <v>533</v>
      </c>
      <c r="C178" s="29" t="s">
        <v>20</v>
      </c>
      <c r="D178" s="29" t="s">
        <v>14</v>
      </c>
      <c r="E178" s="31">
        <v>21</v>
      </c>
    </row>
    <row r="179" spans="1:5" x14ac:dyDescent="0.35">
      <c r="A179" s="29" t="s">
        <v>554</v>
      </c>
      <c r="B179" s="30" t="s">
        <v>533</v>
      </c>
      <c r="C179" s="29" t="s">
        <v>21</v>
      </c>
      <c r="D179" s="29" t="s">
        <v>18</v>
      </c>
      <c r="E179" s="31">
        <v>24</v>
      </c>
    </row>
    <row r="180" spans="1:5" x14ac:dyDescent="0.35">
      <c r="A180" s="29" t="s">
        <v>555</v>
      </c>
      <c r="B180" s="30" t="s">
        <v>533</v>
      </c>
      <c r="C180" s="29" t="s">
        <v>22</v>
      </c>
      <c r="D180" s="29" t="s">
        <v>11</v>
      </c>
      <c r="E180" s="31">
        <v>16</v>
      </c>
    </row>
    <row r="181" spans="1:5" x14ac:dyDescent="0.35">
      <c r="A181" s="29" t="s">
        <v>556</v>
      </c>
      <c r="B181" s="30" t="s">
        <v>533</v>
      </c>
      <c r="C181" s="29" t="s">
        <v>23</v>
      </c>
      <c r="D181" s="29" t="s">
        <v>7</v>
      </c>
      <c r="E181" s="31">
        <v>11</v>
      </c>
    </row>
    <row r="182" spans="1:5" x14ac:dyDescent="0.35">
      <c r="A182" s="29" t="s">
        <v>557</v>
      </c>
      <c r="B182" s="30" t="s">
        <v>533</v>
      </c>
      <c r="C182" s="29" t="s">
        <v>24</v>
      </c>
      <c r="D182" s="29" t="s">
        <v>9</v>
      </c>
      <c r="E182" s="31">
        <v>12</v>
      </c>
    </row>
    <row r="183" spans="1:5" x14ac:dyDescent="0.35">
      <c r="A183" s="29" t="s">
        <v>558</v>
      </c>
      <c r="B183" s="30" t="s">
        <v>533</v>
      </c>
      <c r="C183" s="29" t="s">
        <v>25</v>
      </c>
      <c r="D183" s="29" t="s">
        <v>1</v>
      </c>
      <c r="E183" s="31">
        <v>3</v>
      </c>
    </row>
    <row r="184" spans="1:5" x14ac:dyDescent="0.35">
      <c r="A184" s="29" t="s">
        <v>559</v>
      </c>
      <c r="B184" s="30" t="s">
        <v>560</v>
      </c>
      <c r="C184" s="29" t="s">
        <v>0</v>
      </c>
      <c r="D184" s="29" t="s">
        <v>16</v>
      </c>
      <c r="E184" s="31">
        <v>17</v>
      </c>
    </row>
    <row r="185" spans="1:5" x14ac:dyDescent="0.35">
      <c r="A185" s="29" t="s">
        <v>561</v>
      </c>
      <c r="B185" s="30" t="s">
        <v>560</v>
      </c>
      <c r="C185" s="29" t="s">
        <v>1</v>
      </c>
      <c r="D185" s="29" t="s">
        <v>9</v>
      </c>
      <c r="E185" s="31">
        <v>9</v>
      </c>
    </row>
    <row r="186" spans="1:5" x14ac:dyDescent="0.35">
      <c r="A186" s="29" t="s">
        <v>562</v>
      </c>
      <c r="B186" s="30" t="s">
        <v>560</v>
      </c>
      <c r="C186" s="29" t="s">
        <v>2</v>
      </c>
      <c r="D186" s="29" t="s">
        <v>8</v>
      </c>
      <c r="E186" s="31">
        <v>7</v>
      </c>
    </row>
    <row r="187" spans="1:5" x14ac:dyDescent="0.35">
      <c r="A187" s="29" t="s">
        <v>563</v>
      </c>
      <c r="B187" s="30" t="s">
        <v>560</v>
      </c>
      <c r="C187" s="29" t="s">
        <v>3</v>
      </c>
      <c r="D187" s="29" t="s">
        <v>13</v>
      </c>
      <c r="E187" s="31">
        <v>11</v>
      </c>
    </row>
    <row r="188" spans="1:5" x14ac:dyDescent="0.35">
      <c r="A188" s="29" t="s">
        <v>564</v>
      </c>
      <c r="B188" s="30" t="s">
        <v>560</v>
      </c>
      <c r="C188" s="29" t="s">
        <v>4</v>
      </c>
      <c r="D188" s="29" t="s">
        <v>18</v>
      </c>
      <c r="E188" s="31">
        <v>15</v>
      </c>
    </row>
    <row r="189" spans="1:5" x14ac:dyDescent="0.35">
      <c r="A189" s="29" t="s">
        <v>565</v>
      </c>
      <c r="B189" s="30" t="s">
        <v>560</v>
      </c>
      <c r="C189" s="29" t="s">
        <v>5</v>
      </c>
      <c r="D189" s="29" t="s">
        <v>0</v>
      </c>
      <c r="E189" s="31">
        <v>22</v>
      </c>
    </row>
    <row r="190" spans="1:5" x14ac:dyDescent="0.35">
      <c r="A190" s="29" t="s">
        <v>566</v>
      </c>
      <c r="B190" s="30" t="s">
        <v>560</v>
      </c>
      <c r="C190" s="29" t="s">
        <v>6</v>
      </c>
      <c r="D190" s="29" t="s">
        <v>24</v>
      </c>
      <c r="E190" s="31">
        <v>19</v>
      </c>
    </row>
    <row r="191" spans="1:5" x14ac:dyDescent="0.35">
      <c r="A191" s="29" t="s">
        <v>567</v>
      </c>
      <c r="B191" s="30" t="s">
        <v>560</v>
      </c>
      <c r="C191" s="29" t="s">
        <v>7</v>
      </c>
      <c r="D191" s="29" t="s">
        <v>3</v>
      </c>
      <c r="E191" s="31">
        <v>23</v>
      </c>
    </row>
    <row r="192" spans="1:5" x14ac:dyDescent="0.35">
      <c r="A192" s="29" t="s">
        <v>568</v>
      </c>
      <c r="B192" s="30" t="s">
        <v>560</v>
      </c>
      <c r="C192" s="29" t="s">
        <v>8</v>
      </c>
      <c r="D192" s="29" t="s">
        <v>21</v>
      </c>
      <c r="E192" s="31">
        <v>14</v>
      </c>
    </row>
    <row r="193" spans="1:5" x14ac:dyDescent="0.35">
      <c r="A193" s="29" t="s">
        <v>569</v>
      </c>
      <c r="B193" s="30" t="s">
        <v>560</v>
      </c>
      <c r="C193" s="29" t="s">
        <v>9</v>
      </c>
      <c r="D193" s="29" t="s">
        <v>10</v>
      </c>
      <c r="E193" s="31">
        <v>2</v>
      </c>
    </row>
    <row r="194" spans="1:5" x14ac:dyDescent="0.35">
      <c r="A194" s="29" t="s">
        <v>570</v>
      </c>
      <c r="B194" s="30" t="s">
        <v>560</v>
      </c>
      <c r="C194" s="29" t="s">
        <v>10</v>
      </c>
      <c r="D194" s="29" t="s">
        <v>1</v>
      </c>
      <c r="E194" s="31">
        <v>18</v>
      </c>
    </row>
    <row r="195" spans="1:5" x14ac:dyDescent="0.35">
      <c r="A195" s="29" t="s">
        <v>571</v>
      </c>
      <c r="B195" s="30" t="s">
        <v>560</v>
      </c>
      <c r="C195" s="29" t="s">
        <v>11</v>
      </c>
      <c r="D195" s="29" t="s">
        <v>5</v>
      </c>
      <c r="E195" s="31">
        <v>21</v>
      </c>
    </row>
    <row r="196" spans="1:5" x14ac:dyDescent="0.35">
      <c r="A196" s="29" t="s">
        <v>572</v>
      </c>
      <c r="B196" s="30" t="s">
        <v>560</v>
      </c>
      <c r="C196" s="29" t="s">
        <v>12</v>
      </c>
      <c r="D196" s="29" t="s">
        <v>17</v>
      </c>
      <c r="E196" s="31">
        <v>6</v>
      </c>
    </row>
    <row r="197" spans="1:5" x14ac:dyDescent="0.35">
      <c r="A197" s="29" t="s">
        <v>573</v>
      </c>
      <c r="B197" s="30" t="s">
        <v>560</v>
      </c>
      <c r="C197" s="29" t="s">
        <v>13</v>
      </c>
      <c r="D197" s="29" t="s">
        <v>20</v>
      </c>
      <c r="E197" s="31">
        <v>8</v>
      </c>
    </row>
    <row r="198" spans="1:5" x14ac:dyDescent="0.35">
      <c r="A198" s="29" t="s">
        <v>574</v>
      </c>
      <c r="B198" s="30" t="s">
        <v>560</v>
      </c>
      <c r="C198" s="29" t="s">
        <v>14</v>
      </c>
      <c r="D198" s="29" t="s">
        <v>7</v>
      </c>
      <c r="E198" s="31">
        <v>20</v>
      </c>
    </row>
    <row r="199" spans="1:5" x14ac:dyDescent="0.35">
      <c r="A199" s="29" t="s">
        <v>575</v>
      </c>
      <c r="B199" s="30" t="s">
        <v>560</v>
      </c>
      <c r="C199" s="29" t="s">
        <v>15</v>
      </c>
      <c r="D199" s="29" t="s">
        <v>12</v>
      </c>
      <c r="E199" s="31">
        <v>24</v>
      </c>
    </row>
    <row r="200" spans="1:5" x14ac:dyDescent="0.35">
      <c r="A200" s="29" t="s">
        <v>576</v>
      </c>
      <c r="B200" s="30" t="s">
        <v>560</v>
      </c>
      <c r="C200" s="29" t="s">
        <v>16</v>
      </c>
      <c r="D200" s="29" t="s">
        <v>2</v>
      </c>
      <c r="E200" s="31">
        <v>13</v>
      </c>
    </row>
    <row r="201" spans="1:5" x14ac:dyDescent="0.35">
      <c r="A201" s="29" t="s">
        <v>577</v>
      </c>
      <c r="B201" s="30" t="s">
        <v>560</v>
      </c>
      <c r="C201" s="29" t="s">
        <v>17</v>
      </c>
      <c r="D201" s="29" t="s">
        <v>15</v>
      </c>
      <c r="E201" s="31">
        <v>25</v>
      </c>
    </row>
    <row r="202" spans="1:5" x14ac:dyDescent="0.35">
      <c r="A202" s="29" t="s">
        <v>578</v>
      </c>
      <c r="B202" s="30" t="s">
        <v>560</v>
      </c>
      <c r="C202" s="29" t="s">
        <v>18</v>
      </c>
      <c r="D202" s="29" t="s">
        <v>11</v>
      </c>
      <c r="E202" s="31">
        <v>20</v>
      </c>
    </row>
    <row r="203" spans="1:5" x14ac:dyDescent="0.35">
      <c r="A203" s="29" t="s">
        <v>579</v>
      </c>
      <c r="B203" s="30" t="s">
        <v>560</v>
      </c>
      <c r="C203" s="29" t="s">
        <v>19</v>
      </c>
      <c r="D203" s="29" t="s">
        <v>4</v>
      </c>
      <c r="E203" s="31">
        <v>12</v>
      </c>
    </row>
    <row r="204" spans="1:5" x14ac:dyDescent="0.35">
      <c r="A204" s="29" t="s">
        <v>580</v>
      </c>
      <c r="B204" s="30" t="s">
        <v>560</v>
      </c>
      <c r="C204" s="29" t="s">
        <v>20</v>
      </c>
      <c r="D204" s="29" t="s">
        <v>22</v>
      </c>
      <c r="E204" s="31">
        <v>3</v>
      </c>
    </row>
    <row r="205" spans="1:5" x14ac:dyDescent="0.35">
      <c r="A205" s="29" t="s">
        <v>581</v>
      </c>
      <c r="B205" s="30" t="s">
        <v>560</v>
      </c>
      <c r="C205" s="29" t="s">
        <v>21</v>
      </c>
      <c r="D205" s="29" t="s">
        <v>25</v>
      </c>
      <c r="E205" s="31">
        <v>5</v>
      </c>
    </row>
    <row r="206" spans="1:5" x14ac:dyDescent="0.35">
      <c r="A206" s="29" t="s">
        <v>582</v>
      </c>
      <c r="B206" s="30" t="s">
        <v>560</v>
      </c>
      <c r="C206" s="29" t="s">
        <v>22</v>
      </c>
      <c r="D206" s="29" t="s">
        <v>19</v>
      </c>
      <c r="E206" s="31">
        <v>24</v>
      </c>
    </row>
    <row r="207" spans="1:5" x14ac:dyDescent="0.35">
      <c r="A207" s="29" t="s">
        <v>583</v>
      </c>
      <c r="B207" s="30" t="s">
        <v>560</v>
      </c>
      <c r="C207" s="29" t="s">
        <v>23</v>
      </c>
      <c r="D207" s="29" t="s">
        <v>6</v>
      </c>
      <c r="E207" s="31">
        <v>10</v>
      </c>
    </row>
    <row r="208" spans="1:5" x14ac:dyDescent="0.35">
      <c r="A208" s="29" t="s">
        <v>584</v>
      </c>
      <c r="B208" s="30" t="s">
        <v>560</v>
      </c>
      <c r="C208" s="29" t="s">
        <v>24</v>
      </c>
      <c r="D208" s="29" t="s">
        <v>23</v>
      </c>
      <c r="E208" s="31">
        <v>26</v>
      </c>
    </row>
    <row r="209" spans="1:5" x14ac:dyDescent="0.35">
      <c r="A209" s="29" t="s">
        <v>585</v>
      </c>
      <c r="B209" s="30" t="s">
        <v>560</v>
      </c>
      <c r="C209" s="29" t="s">
        <v>25</v>
      </c>
      <c r="D209" s="29" t="s">
        <v>14</v>
      </c>
      <c r="E209" s="31">
        <v>16</v>
      </c>
    </row>
  </sheetData>
  <sheetProtection sheet="1" objects="1" scenarios="1"/>
  <mergeCells count="1">
    <mergeCell ref="A1:E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5"/>
  <dimension ref="A1:D79"/>
  <sheetViews>
    <sheetView showGridLines="0" showRowColHeaders="0" workbookViewId="0">
      <selection sqref="A1:D1"/>
    </sheetView>
  </sheetViews>
  <sheetFormatPr defaultRowHeight="14.5" x14ac:dyDescent="0.35"/>
  <cols>
    <col min="1" max="4" width="9.1796875" customWidth="1"/>
  </cols>
  <sheetData>
    <row r="1" spans="1:4" x14ac:dyDescent="0.35">
      <c r="A1" s="108" t="s">
        <v>26</v>
      </c>
      <c r="B1" s="109"/>
      <c r="C1" s="109"/>
      <c r="D1" s="110"/>
    </row>
    <row r="2" spans="1:4" x14ac:dyDescent="0.35">
      <c r="A2" s="29" t="s">
        <v>300</v>
      </c>
      <c r="B2" s="30" t="s">
        <v>37</v>
      </c>
      <c r="C2" s="29" t="s">
        <v>0</v>
      </c>
      <c r="D2" s="29" t="s">
        <v>4</v>
      </c>
    </row>
    <row r="3" spans="1:4" x14ac:dyDescent="0.35">
      <c r="A3" s="29" t="s">
        <v>301</v>
      </c>
      <c r="B3" s="30" t="s">
        <v>37</v>
      </c>
      <c r="C3" s="29" t="s">
        <v>1</v>
      </c>
      <c r="D3" s="29" t="s">
        <v>9</v>
      </c>
    </row>
    <row r="4" spans="1:4" x14ac:dyDescent="0.35">
      <c r="A4" s="29" t="s">
        <v>302</v>
      </c>
      <c r="B4" s="30" t="s">
        <v>37</v>
      </c>
      <c r="C4" s="29" t="s">
        <v>2</v>
      </c>
      <c r="D4" s="29" t="s">
        <v>12</v>
      </c>
    </row>
    <row r="5" spans="1:4" x14ac:dyDescent="0.35">
      <c r="A5" s="29" t="s">
        <v>303</v>
      </c>
      <c r="B5" s="30" t="s">
        <v>37</v>
      </c>
      <c r="C5" s="29" t="s">
        <v>3</v>
      </c>
      <c r="D5" s="29" t="s">
        <v>25</v>
      </c>
    </row>
    <row r="6" spans="1:4" x14ac:dyDescent="0.35">
      <c r="A6" s="29" t="s">
        <v>304</v>
      </c>
      <c r="B6" s="30" t="s">
        <v>37</v>
      </c>
      <c r="C6" s="29" t="s">
        <v>4</v>
      </c>
      <c r="D6" s="29" t="s">
        <v>0</v>
      </c>
    </row>
    <row r="7" spans="1:4" x14ac:dyDescent="0.35">
      <c r="A7" s="29" t="s">
        <v>305</v>
      </c>
      <c r="B7" s="30" t="s">
        <v>37</v>
      </c>
      <c r="C7" s="29" t="s">
        <v>5</v>
      </c>
      <c r="D7" s="29" t="s">
        <v>11</v>
      </c>
    </row>
    <row r="8" spans="1:4" x14ac:dyDescent="0.35">
      <c r="A8" s="29" t="s">
        <v>306</v>
      </c>
      <c r="B8" s="30" t="s">
        <v>37</v>
      </c>
      <c r="C8" s="29" t="s">
        <v>6</v>
      </c>
      <c r="D8" s="29" t="s">
        <v>24</v>
      </c>
    </row>
    <row r="9" spans="1:4" x14ac:dyDescent="0.35">
      <c r="A9" s="29" t="s">
        <v>307</v>
      </c>
      <c r="B9" s="30" t="s">
        <v>37</v>
      </c>
      <c r="C9" s="29" t="s">
        <v>7</v>
      </c>
      <c r="D9" s="29" t="s">
        <v>23</v>
      </c>
    </row>
    <row r="10" spans="1:4" x14ac:dyDescent="0.35">
      <c r="A10" s="29" t="s">
        <v>308</v>
      </c>
      <c r="B10" s="30" t="s">
        <v>37</v>
      </c>
      <c r="C10" s="29" t="s">
        <v>8</v>
      </c>
      <c r="D10" s="29" t="s">
        <v>21</v>
      </c>
    </row>
    <row r="11" spans="1:4" x14ac:dyDescent="0.35">
      <c r="A11" s="29" t="s">
        <v>309</v>
      </c>
      <c r="B11" s="30" t="s">
        <v>37</v>
      </c>
      <c r="C11" s="29" t="s">
        <v>9</v>
      </c>
      <c r="D11" s="29" t="s">
        <v>1</v>
      </c>
    </row>
    <row r="12" spans="1:4" x14ac:dyDescent="0.35">
      <c r="A12" s="29" t="s">
        <v>310</v>
      </c>
      <c r="B12" s="30" t="s">
        <v>37</v>
      </c>
      <c r="C12" s="29" t="s">
        <v>10</v>
      </c>
      <c r="D12" s="29" t="s">
        <v>22</v>
      </c>
    </row>
    <row r="13" spans="1:4" x14ac:dyDescent="0.35">
      <c r="A13" s="29" t="s">
        <v>311</v>
      </c>
      <c r="B13" s="30" t="s">
        <v>37</v>
      </c>
      <c r="C13" s="29" t="s">
        <v>11</v>
      </c>
      <c r="D13" s="29" t="s">
        <v>5</v>
      </c>
    </row>
    <row r="14" spans="1:4" x14ac:dyDescent="0.35">
      <c r="A14" s="29" t="s">
        <v>312</v>
      </c>
      <c r="B14" s="30" t="s">
        <v>37</v>
      </c>
      <c r="C14" s="29" t="s">
        <v>12</v>
      </c>
      <c r="D14" s="29" t="s">
        <v>2</v>
      </c>
    </row>
    <row r="15" spans="1:4" x14ac:dyDescent="0.35">
      <c r="A15" s="29" t="s">
        <v>313</v>
      </c>
      <c r="B15" s="30" t="s">
        <v>37</v>
      </c>
      <c r="C15" s="29" t="s">
        <v>13</v>
      </c>
      <c r="D15" s="29" t="s">
        <v>17</v>
      </c>
    </row>
    <row r="16" spans="1:4" x14ac:dyDescent="0.35">
      <c r="A16" s="29" t="s">
        <v>314</v>
      </c>
      <c r="B16" s="30" t="s">
        <v>37</v>
      </c>
      <c r="C16" s="29" t="s">
        <v>14</v>
      </c>
      <c r="D16" s="29" t="s">
        <v>16</v>
      </c>
    </row>
    <row r="17" spans="1:4" x14ac:dyDescent="0.35">
      <c r="A17" s="29" t="s">
        <v>315</v>
      </c>
      <c r="B17" s="30" t="s">
        <v>37</v>
      </c>
      <c r="C17" s="29" t="s">
        <v>15</v>
      </c>
      <c r="D17" s="29" t="s">
        <v>20</v>
      </c>
    </row>
    <row r="18" spans="1:4" x14ac:dyDescent="0.35">
      <c r="A18" s="29" t="s">
        <v>316</v>
      </c>
      <c r="B18" s="30" t="s">
        <v>37</v>
      </c>
      <c r="C18" s="29" t="s">
        <v>16</v>
      </c>
      <c r="D18" s="29" t="s">
        <v>14</v>
      </c>
    </row>
    <row r="19" spans="1:4" x14ac:dyDescent="0.35">
      <c r="A19" s="29" t="s">
        <v>317</v>
      </c>
      <c r="B19" s="30" t="s">
        <v>37</v>
      </c>
      <c r="C19" s="29" t="s">
        <v>17</v>
      </c>
      <c r="D19" s="29" t="s">
        <v>13</v>
      </c>
    </row>
    <row r="20" spans="1:4" x14ac:dyDescent="0.35">
      <c r="A20" s="29" t="s">
        <v>318</v>
      </c>
      <c r="B20" s="30" t="s">
        <v>37</v>
      </c>
      <c r="C20" s="29" t="s">
        <v>18</v>
      </c>
      <c r="D20" s="29" t="s">
        <v>19</v>
      </c>
    </row>
    <row r="21" spans="1:4" x14ac:dyDescent="0.35">
      <c r="A21" s="29" t="s">
        <v>319</v>
      </c>
      <c r="B21" s="30" t="s">
        <v>37</v>
      </c>
      <c r="C21" s="29" t="s">
        <v>19</v>
      </c>
      <c r="D21" s="29" t="s">
        <v>18</v>
      </c>
    </row>
    <row r="22" spans="1:4" x14ac:dyDescent="0.35">
      <c r="A22" s="29" t="s">
        <v>320</v>
      </c>
      <c r="B22" s="30" t="s">
        <v>37</v>
      </c>
      <c r="C22" s="29" t="s">
        <v>20</v>
      </c>
      <c r="D22" s="29" t="s">
        <v>15</v>
      </c>
    </row>
    <row r="23" spans="1:4" x14ac:dyDescent="0.35">
      <c r="A23" s="29" t="s">
        <v>321</v>
      </c>
      <c r="B23" s="30" t="s">
        <v>37</v>
      </c>
      <c r="C23" s="29" t="s">
        <v>21</v>
      </c>
      <c r="D23" s="29" t="s">
        <v>8</v>
      </c>
    </row>
    <row r="24" spans="1:4" x14ac:dyDescent="0.35">
      <c r="A24" s="29" t="s">
        <v>322</v>
      </c>
      <c r="B24" s="30" t="s">
        <v>37</v>
      </c>
      <c r="C24" s="29" t="s">
        <v>22</v>
      </c>
      <c r="D24" s="29" t="s">
        <v>10</v>
      </c>
    </row>
    <row r="25" spans="1:4" x14ac:dyDescent="0.35">
      <c r="A25" s="29" t="s">
        <v>323</v>
      </c>
      <c r="B25" s="30" t="s">
        <v>37</v>
      </c>
      <c r="C25" s="29" t="s">
        <v>23</v>
      </c>
      <c r="D25" s="29" t="s">
        <v>7</v>
      </c>
    </row>
    <row r="26" spans="1:4" x14ac:dyDescent="0.35">
      <c r="A26" s="29" t="s">
        <v>324</v>
      </c>
      <c r="B26" s="30" t="s">
        <v>37</v>
      </c>
      <c r="C26" s="29" t="s">
        <v>24</v>
      </c>
      <c r="D26" s="29" t="s">
        <v>6</v>
      </c>
    </row>
    <row r="27" spans="1:4" x14ac:dyDescent="0.35">
      <c r="A27" s="29" t="s">
        <v>325</v>
      </c>
      <c r="B27" s="30" t="s">
        <v>37</v>
      </c>
      <c r="C27" s="29" t="s">
        <v>25</v>
      </c>
      <c r="D27" s="29" t="s">
        <v>3</v>
      </c>
    </row>
    <row r="28" spans="1:4" x14ac:dyDescent="0.35">
      <c r="A28" s="29" t="s">
        <v>326</v>
      </c>
      <c r="B28" s="30" t="s">
        <v>38</v>
      </c>
      <c r="C28" s="29" t="s">
        <v>0</v>
      </c>
      <c r="D28" s="29" t="s">
        <v>24</v>
      </c>
    </row>
    <row r="29" spans="1:4" x14ac:dyDescent="0.35">
      <c r="A29" s="29" t="s">
        <v>327</v>
      </c>
      <c r="B29" s="30" t="s">
        <v>38</v>
      </c>
      <c r="C29" s="29" t="s">
        <v>1</v>
      </c>
      <c r="D29" s="29" t="s">
        <v>17</v>
      </c>
    </row>
    <row r="30" spans="1:4" x14ac:dyDescent="0.35">
      <c r="A30" s="29" t="s">
        <v>328</v>
      </c>
      <c r="B30" s="30" t="s">
        <v>38</v>
      </c>
      <c r="C30" s="29" t="s">
        <v>2</v>
      </c>
      <c r="D30" s="29" t="s">
        <v>20</v>
      </c>
    </row>
    <row r="31" spans="1:4" x14ac:dyDescent="0.35">
      <c r="A31" s="29" t="s">
        <v>329</v>
      </c>
      <c r="B31" s="30" t="s">
        <v>38</v>
      </c>
      <c r="C31" s="29" t="s">
        <v>3</v>
      </c>
      <c r="D31" s="29" t="s">
        <v>7</v>
      </c>
    </row>
    <row r="32" spans="1:4" x14ac:dyDescent="0.35">
      <c r="A32" s="29" t="s">
        <v>330</v>
      </c>
      <c r="B32" s="30" t="s">
        <v>38</v>
      </c>
      <c r="C32" s="29" t="s">
        <v>4</v>
      </c>
      <c r="D32" s="29" t="s">
        <v>16</v>
      </c>
    </row>
    <row r="33" spans="1:4" x14ac:dyDescent="0.35">
      <c r="A33" s="29" t="s">
        <v>331</v>
      </c>
      <c r="B33" s="30" t="s">
        <v>38</v>
      </c>
      <c r="C33" s="29" t="s">
        <v>5</v>
      </c>
      <c r="D33" s="29" t="s">
        <v>18</v>
      </c>
    </row>
    <row r="34" spans="1:4" x14ac:dyDescent="0.35">
      <c r="A34" s="29" t="s">
        <v>332</v>
      </c>
      <c r="B34" s="30" t="s">
        <v>38</v>
      </c>
      <c r="C34" s="29" t="s">
        <v>6</v>
      </c>
      <c r="D34" s="29" t="s">
        <v>11</v>
      </c>
    </row>
    <row r="35" spans="1:4" x14ac:dyDescent="0.35">
      <c r="A35" s="29" t="s">
        <v>333</v>
      </c>
      <c r="B35" s="30" t="s">
        <v>38</v>
      </c>
      <c r="C35" s="29" t="s">
        <v>7</v>
      </c>
      <c r="D35" s="29" t="s">
        <v>3</v>
      </c>
    </row>
    <row r="36" spans="1:4" x14ac:dyDescent="0.35">
      <c r="A36" s="29" t="s">
        <v>334</v>
      </c>
      <c r="B36" s="30" t="s">
        <v>38</v>
      </c>
      <c r="C36" s="29" t="s">
        <v>8</v>
      </c>
      <c r="D36" s="29" t="s">
        <v>15</v>
      </c>
    </row>
    <row r="37" spans="1:4" x14ac:dyDescent="0.35">
      <c r="A37" s="29" t="s">
        <v>335</v>
      </c>
      <c r="B37" s="30" t="s">
        <v>38</v>
      </c>
      <c r="C37" s="29" t="s">
        <v>9</v>
      </c>
      <c r="D37" s="29" t="s">
        <v>23</v>
      </c>
    </row>
    <row r="38" spans="1:4" x14ac:dyDescent="0.35">
      <c r="A38" s="29" t="s">
        <v>336</v>
      </c>
      <c r="B38" s="30" t="s">
        <v>38</v>
      </c>
      <c r="C38" s="29" t="s">
        <v>10</v>
      </c>
      <c r="D38" s="29" t="s">
        <v>13</v>
      </c>
    </row>
    <row r="39" spans="1:4" x14ac:dyDescent="0.35">
      <c r="A39" s="29" t="s">
        <v>337</v>
      </c>
      <c r="B39" s="30" t="s">
        <v>38</v>
      </c>
      <c r="C39" s="29" t="s">
        <v>11</v>
      </c>
      <c r="D39" s="29" t="s">
        <v>6</v>
      </c>
    </row>
    <row r="40" spans="1:4" x14ac:dyDescent="0.35">
      <c r="A40" s="29" t="s">
        <v>338</v>
      </c>
      <c r="B40" s="30" t="s">
        <v>38</v>
      </c>
      <c r="C40" s="29" t="s">
        <v>12</v>
      </c>
      <c r="D40" s="29" t="s">
        <v>14</v>
      </c>
    </row>
    <row r="41" spans="1:4" x14ac:dyDescent="0.35">
      <c r="A41" s="29" t="s">
        <v>339</v>
      </c>
      <c r="B41" s="30" t="s">
        <v>38</v>
      </c>
      <c r="C41" s="29" t="s">
        <v>13</v>
      </c>
      <c r="D41" s="29" t="s">
        <v>10</v>
      </c>
    </row>
    <row r="42" spans="1:4" x14ac:dyDescent="0.35">
      <c r="A42" s="29" t="s">
        <v>340</v>
      </c>
      <c r="B42" s="30" t="s">
        <v>38</v>
      </c>
      <c r="C42" s="29" t="s">
        <v>14</v>
      </c>
      <c r="D42" s="29" t="s">
        <v>12</v>
      </c>
    </row>
    <row r="43" spans="1:4" x14ac:dyDescent="0.35">
      <c r="A43" s="29" t="s">
        <v>341</v>
      </c>
      <c r="B43" s="30" t="s">
        <v>38</v>
      </c>
      <c r="C43" s="29" t="s">
        <v>15</v>
      </c>
      <c r="D43" s="29" t="s">
        <v>8</v>
      </c>
    </row>
    <row r="44" spans="1:4" x14ac:dyDescent="0.35">
      <c r="A44" s="29" t="s">
        <v>342</v>
      </c>
      <c r="B44" s="30" t="s">
        <v>38</v>
      </c>
      <c r="C44" s="29" t="s">
        <v>16</v>
      </c>
      <c r="D44" s="29" t="s">
        <v>4</v>
      </c>
    </row>
    <row r="45" spans="1:4" x14ac:dyDescent="0.35">
      <c r="A45" s="29" t="s">
        <v>343</v>
      </c>
      <c r="B45" s="30" t="s">
        <v>38</v>
      </c>
      <c r="C45" s="29" t="s">
        <v>17</v>
      </c>
      <c r="D45" s="29" t="s">
        <v>1</v>
      </c>
    </row>
    <row r="46" spans="1:4" x14ac:dyDescent="0.35">
      <c r="A46" s="29" t="s">
        <v>344</v>
      </c>
      <c r="B46" s="30" t="s">
        <v>38</v>
      </c>
      <c r="C46" s="29" t="s">
        <v>18</v>
      </c>
      <c r="D46" s="29" t="s">
        <v>5</v>
      </c>
    </row>
    <row r="47" spans="1:4" x14ac:dyDescent="0.35">
      <c r="A47" s="29" t="s">
        <v>345</v>
      </c>
      <c r="B47" s="30" t="s">
        <v>38</v>
      </c>
      <c r="C47" s="29" t="s">
        <v>19</v>
      </c>
      <c r="D47" s="29" t="s">
        <v>25</v>
      </c>
    </row>
    <row r="48" spans="1:4" x14ac:dyDescent="0.35">
      <c r="A48" s="29" t="s">
        <v>346</v>
      </c>
      <c r="B48" s="30" t="s">
        <v>38</v>
      </c>
      <c r="C48" s="29" t="s">
        <v>20</v>
      </c>
      <c r="D48" s="29" t="s">
        <v>2</v>
      </c>
    </row>
    <row r="49" spans="1:4" x14ac:dyDescent="0.35">
      <c r="A49" s="29" t="s">
        <v>347</v>
      </c>
      <c r="B49" s="30" t="s">
        <v>38</v>
      </c>
      <c r="C49" s="29" t="s">
        <v>21</v>
      </c>
      <c r="D49" s="29" t="s">
        <v>22</v>
      </c>
    </row>
    <row r="50" spans="1:4" x14ac:dyDescent="0.35">
      <c r="A50" s="29" t="s">
        <v>348</v>
      </c>
      <c r="B50" s="30" t="s">
        <v>38</v>
      </c>
      <c r="C50" s="29" t="s">
        <v>22</v>
      </c>
      <c r="D50" s="29" t="s">
        <v>21</v>
      </c>
    </row>
    <row r="51" spans="1:4" x14ac:dyDescent="0.35">
      <c r="A51" s="29" t="s">
        <v>349</v>
      </c>
      <c r="B51" s="30" t="s">
        <v>38</v>
      </c>
      <c r="C51" s="29" t="s">
        <v>23</v>
      </c>
      <c r="D51" s="29" t="s">
        <v>9</v>
      </c>
    </row>
    <row r="52" spans="1:4" x14ac:dyDescent="0.35">
      <c r="A52" s="29" t="s">
        <v>350</v>
      </c>
      <c r="B52" s="30" t="s">
        <v>38</v>
      </c>
      <c r="C52" s="29" t="s">
        <v>24</v>
      </c>
      <c r="D52" s="29" t="s">
        <v>0</v>
      </c>
    </row>
    <row r="53" spans="1:4" x14ac:dyDescent="0.35">
      <c r="A53" s="29" t="s">
        <v>351</v>
      </c>
      <c r="B53" s="30" t="s">
        <v>38</v>
      </c>
      <c r="C53" s="29" t="s">
        <v>25</v>
      </c>
      <c r="D53" s="29" t="s">
        <v>19</v>
      </c>
    </row>
    <row r="54" spans="1:4" x14ac:dyDescent="0.35">
      <c r="A54" s="29" t="s">
        <v>352</v>
      </c>
      <c r="B54" s="30" t="s">
        <v>39</v>
      </c>
      <c r="C54" s="29" t="s">
        <v>0</v>
      </c>
      <c r="D54" s="29" t="s">
        <v>5</v>
      </c>
    </row>
    <row r="55" spans="1:4" x14ac:dyDescent="0.35">
      <c r="A55" s="29" t="s">
        <v>353</v>
      </c>
      <c r="B55" s="30" t="s">
        <v>39</v>
      </c>
      <c r="C55" s="29" t="s">
        <v>1</v>
      </c>
      <c r="D55" s="29" t="s">
        <v>21</v>
      </c>
    </row>
    <row r="56" spans="1:4" x14ac:dyDescent="0.35">
      <c r="A56" s="29" t="s">
        <v>354</v>
      </c>
      <c r="B56" s="30" t="s">
        <v>39</v>
      </c>
      <c r="C56" s="29" t="s">
        <v>2</v>
      </c>
      <c r="D56" s="29" t="s">
        <v>15</v>
      </c>
    </row>
    <row r="57" spans="1:4" x14ac:dyDescent="0.35">
      <c r="A57" s="29" t="s">
        <v>355</v>
      </c>
      <c r="B57" s="30" t="s">
        <v>39</v>
      </c>
      <c r="C57" s="29" t="s">
        <v>3</v>
      </c>
      <c r="D57" s="29" t="s">
        <v>9</v>
      </c>
    </row>
    <row r="58" spans="1:4" x14ac:dyDescent="0.35">
      <c r="A58" s="29" t="s">
        <v>356</v>
      </c>
      <c r="B58" s="30" t="s">
        <v>39</v>
      </c>
      <c r="C58" s="29" t="s">
        <v>4</v>
      </c>
      <c r="D58" s="29" t="s">
        <v>8</v>
      </c>
    </row>
    <row r="59" spans="1:4" x14ac:dyDescent="0.35">
      <c r="A59" s="29" t="s">
        <v>357</v>
      </c>
      <c r="B59" s="30" t="s">
        <v>39</v>
      </c>
      <c r="C59" s="29" t="s">
        <v>5</v>
      </c>
      <c r="D59" s="29" t="s">
        <v>0</v>
      </c>
    </row>
    <row r="60" spans="1:4" x14ac:dyDescent="0.35">
      <c r="A60" s="29" t="s">
        <v>358</v>
      </c>
      <c r="B60" s="30" t="s">
        <v>39</v>
      </c>
      <c r="C60" s="29" t="s">
        <v>6</v>
      </c>
      <c r="D60" s="29" t="s">
        <v>14</v>
      </c>
    </row>
    <row r="61" spans="1:4" x14ac:dyDescent="0.35">
      <c r="A61" s="29" t="s">
        <v>359</v>
      </c>
      <c r="B61" s="30" t="s">
        <v>39</v>
      </c>
      <c r="C61" s="29" t="s">
        <v>7</v>
      </c>
      <c r="D61" s="29" t="s">
        <v>24</v>
      </c>
    </row>
    <row r="62" spans="1:4" x14ac:dyDescent="0.35">
      <c r="A62" s="29" t="s">
        <v>360</v>
      </c>
      <c r="B62" s="30" t="s">
        <v>39</v>
      </c>
      <c r="C62" s="29" t="s">
        <v>8</v>
      </c>
      <c r="D62" s="29" t="s">
        <v>4</v>
      </c>
    </row>
    <row r="63" spans="1:4" x14ac:dyDescent="0.35">
      <c r="A63" s="29" t="s">
        <v>361</v>
      </c>
      <c r="B63" s="30" t="s">
        <v>39</v>
      </c>
      <c r="C63" s="29" t="s">
        <v>9</v>
      </c>
      <c r="D63" s="29" t="s">
        <v>3</v>
      </c>
    </row>
    <row r="64" spans="1:4" x14ac:dyDescent="0.35">
      <c r="A64" s="29" t="s">
        <v>362</v>
      </c>
      <c r="B64" s="30" t="s">
        <v>39</v>
      </c>
      <c r="C64" s="29" t="s">
        <v>10</v>
      </c>
      <c r="D64" s="29" t="s">
        <v>17</v>
      </c>
    </row>
    <row r="65" spans="1:4" x14ac:dyDescent="0.35">
      <c r="A65" s="29" t="s">
        <v>363</v>
      </c>
      <c r="B65" s="30" t="s">
        <v>39</v>
      </c>
      <c r="C65" s="29" t="s">
        <v>11</v>
      </c>
      <c r="D65" s="29" t="s">
        <v>25</v>
      </c>
    </row>
    <row r="66" spans="1:4" x14ac:dyDescent="0.35">
      <c r="A66" s="29" t="s">
        <v>364</v>
      </c>
      <c r="B66" s="30" t="s">
        <v>39</v>
      </c>
      <c r="C66" s="29" t="s">
        <v>12</v>
      </c>
      <c r="D66" s="29" t="s">
        <v>23</v>
      </c>
    </row>
    <row r="67" spans="1:4" x14ac:dyDescent="0.35">
      <c r="A67" s="29" t="s">
        <v>365</v>
      </c>
      <c r="B67" s="30" t="s">
        <v>39</v>
      </c>
      <c r="C67" s="29" t="s">
        <v>13</v>
      </c>
      <c r="D67" s="29" t="s">
        <v>22</v>
      </c>
    </row>
    <row r="68" spans="1:4" x14ac:dyDescent="0.35">
      <c r="A68" s="29" t="s">
        <v>366</v>
      </c>
      <c r="B68" s="30" t="s">
        <v>39</v>
      </c>
      <c r="C68" s="29" t="s">
        <v>14</v>
      </c>
      <c r="D68" s="29" t="s">
        <v>6</v>
      </c>
    </row>
    <row r="69" spans="1:4" x14ac:dyDescent="0.35">
      <c r="A69" s="29" t="s">
        <v>367</v>
      </c>
      <c r="B69" s="30" t="s">
        <v>39</v>
      </c>
      <c r="C69" s="29" t="s">
        <v>15</v>
      </c>
      <c r="D69" s="29" t="s">
        <v>2</v>
      </c>
    </row>
    <row r="70" spans="1:4" x14ac:dyDescent="0.35">
      <c r="A70" s="29" t="s">
        <v>368</v>
      </c>
      <c r="B70" s="30" t="s">
        <v>39</v>
      </c>
      <c r="C70" s="29" t="s">
        <v>16</v>
      </c>
      <c r="D70" s="29" t="s">
        <v>19</v>
      </c>
    </row>
    <row r="71" spans="1:4" x14ac:dyDescent="0.35">
      <c r="A71" s="29" t="s">
        <v>369</v>
      </c>
      <c r="B71" s="30" t="s">
        <v>39</v>
      </c>
      <c r="C71" s="29" t="s">
        <v>17</v>
      </c>
      <c r="D71" s="29" t="s">
        <v>10</v>
      </c>
    </row>
    <row r="72" spans="1:4" x14ac:dyDescent="0.35">
      <c r="A72" s="29" t="s">
        <v>370</v>
      </c>
      <c r="B72" s="30" t="s">
        <v>39</v>
      </c>
      <c r="C72" s="29" t="s">
        <v>18</v>
      </c>
      <c r="D72" s="29" t="s">
        <v>20</v>
      </c>
    </row>
    <row r="73" spans="1:4" x14ac:dyDescent="0.35">
      <c r="A73" s="29" t="s">
        <v>371</v>
      </c>
      <c r="B73" s="30" t="s">
        <v>39</v>
      </c>
      <c r="C73" s="29" t="s">
        <v>19</v>
      </c>
      <c r="D73" s="29" t="s">
        <v>16</v>
      </c>
    </row>
    <row r="74" spans="1:4" x14ac:dyDescent="0.35">
      <c r="A74" s="29" t="s">
        <v>372</v>
      </c>
      <c r="B74" s="30" t="s">
        <v>39</v>
      </c>
      <c r="C74" s="29" t="s">
        <v>20</v>
      </c>
      <c r="D74" s="29" t="s">
        <v>18</v>
      </c>
    </row>
    <row r="75" spans="1:4" x14ac:dyDescent="0.35">
      <c r="A75" s="29" t="s">
        <v>373</v>
      </c>
      <c r="B75" s="30" t="s">
        <v>39</v>
      </c>
      <c r="C75" s="29" t="s">
        <v>21</v>
      </c>
      <c r="D75" s="29" t="s">
        <v>1</v>
      </c>
    </row>
    <row r="76" spans="1:4" x14ac:dyDescent="0.35">
      <c r="A76" s="29" t="s">
        <v>374</v>
      </c>
      <c r="B76" s="30" t="s">
        <v>39</v>
      </c>
      <c r="C76" s="29" t="s">
        <v>22</v>
      </c>
      <c r="D76" s="29" t="s">
        <v>13</v>
      </c>
    </row>
    <row r="77" spans="1:4" x14ac:dyDescent="0.35">
      <c r="A77" s="29" t="s">
        <v>375</v>
      </c>
      <c r="B77" s="30" t="s">
        <v>39</v>
      </c>
      <c r="C77" s="29" t="s">
        <v>23</v>
      </c>
      <c r="D77" s="29" t="s">
        <v>12</v>
      </c>
    </row>
    <row r="78" spans="1:4" x14ac:dyDescent="0.35">
      <c r="A78" s="29" t="s">
        <v>376</v>
      </c>
      <c r="B78" s="30" t="s">
        <v>39</v>
      </c>
      <c r="C78" s="29" t="s">
        <v>24</v>
      </c>
      <c r="D78" s="29" t="s">
        <v>7</v>
      </c>
    </row>
    <row r="79" spans="1:4" x14ac:dyDescent="0.35">
      <c r="A79" s="29" t="s">
        <v>377</v>
      </c>
      <c r="B79" s="30" t="s">
        <v>39</v>
      </c>
      <c r="C79" s="29" t="s">
        <v>25</v>
      </c>
      <c r="D79" s="29" t="s">
        <v>11</v>
      </c>
    </row>
  </sheetData>
  <sheetProtection sheet="1" objects="1" scenarios="1"/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19</vt:i4>
      </vt:variant>
      <vt:variant>
        <vt:lpstr>Intervalli denominati</vt:lpstr>
      </vt:variant>
      <vt:variant>
        <vt:i4>233</vt:i4>
      </vt:variant>
    </vt:vector>
  </HeadingPairs>
  <TitlesOfParts>
    <vt:vector size="252" baseType="lpstr">
      <vt:lpstr>About</vt:lpstr>
      <vt:lpstr>Enigma01</vt:lpstr>
      <vt:lpstr>Enigma02</vt:lpstr>
      <vt:lpstr>Enigma03</vt:lpstr>
      <vt:lpstr>Enigma04</vt:lpstr>
      <vt:lpstr>Enigma05</vt:lpstr>
      <vt:lpstr>Enigma06</vt:lpstr>
      <vt:lpstr>Enigma07</vt:lpstr>
      <vt:lpstr>Enigma08</vt:lpstr>
      <vt:lpstr>Enigma09</vt:lpstr>
      <vt:lpstr>Enigma10</vt:lpstr>
      <vt:lpstr>Enigma11</vt:lpstr>
      <vt:lpstr>Enigma12</vt:lpstr>
      <vt:lpstr>Wires</vt:lpstr>
      <vt:lpstr>Settings</vt:lpstr>
      <vt:lpstr>Tables</vt:lpstr>
      <vt:lpstr>Rotors</vt:lpstr>
      <vt:lpstr>RotorsReverse</vt:lpstr>
      <vt:lpstr>Reflectors</vt:lpstr>
      <vt:lpstr>n_CounterFrom</vt:lpstr>
      <vt:lpstr>n_CounterPositions</vt:lpstr>
      <vt:lpstr>n_CounterTo</vt:lpstr>
      <vt:lpstr>n_CurrentInputLetter</vt:lpstr>
      <vt:lpstr>n_CurrentWire</vt:lpstr>
      <vt:lpstr>n_DisplayLiveWires</vt:lpstr>
      <vt:lpstr>n_IL01</vt:lpstr>
      <vt:lpstr>n_IL02</vt:lpstr>
      <vt:lpstr>n_IL03</vt:lpstr>
      <vt:lpstr>n_IL04</vt:lpstr>
      <vt:lpstr>n_IL05</vt:lpstr>
      <vt:lpstr>n_IL06</vt:lpstr>
      <vt:lpstr>n_IL07</vt:lpstr>
      <vt:lpstr>n_IL08</vt:lpstr>
      <vt:lpstr>n_IL09</vt:lpstr>
      <vt:lpstr>n_IL10</vt:lpstr>
      <vt:lpstr>n_IL11</vt:lpstr>
      <vt:lpstr>n_IL12</vt:lpstr>
      <vt:lpstr>n_OL01</vt:lpstr>
      <vt:lpstr>n_OL02</vt:lpstr>
      <vt:lpstr>n_OL03</vt:lpstr>
      <vt:lpstr>n_OL04</vt:lpstr>
      <vt:lpstr>n_OL05</vt:lpstr>
      <vt:lpstr>n_OL06</vt:lpstr>
      <vt:lpstr>n_OL07</vt:lpstr>
      <vt:lpstr>n_OL08</vt:lpstr>
      <vt:lpstr>n_OL09</vt:lpstr>
      <vt:lpstr>n_OL10</vt:lpstr>
      <vt:lpstr>n_OL11</vt:lpstr>
      <vt:lpstr>n_OL12</vt:lpstr>
      <vt:lpstr>n_Reflector</vt:lpstr>
      <vt:lpstr>n_RingPosL</vt:lpstr>
      <vt:lpstr>n_RingPosM</vt:lpstr>
      <vt:lpstr>n_RingPosR</vt:lpstr>
      <vt:lpstr>n_RO01</vt:lpstr>
      <vt:lpstr>n_RO02</vt:lpstr>
      <vt:lpstr>n_RO03</vt:lpstr>
      <vt:lpstr>n_RO04</vt:lpstr>
      <vt:lpstr>n_RO05</vt:lpstr>
      <vt:lpstr>n_RO06</vt:lpstr>
      <vt:lpstr>n_RO07</vt:lpstr>
      <vt:lpstr>n_RO08</vt:lpstr>
      <vt:lpstr>n_RO09</vt:lpstr>
      <vt:lpstr>n_RO10</vt:lpstr>
      <vt:lpstr>n_RO11</vt:lpstr>
      <vt:lpstr>n_RO12</vt:lpstr>
      <vt:lpstr>n_RotorL</vt:lpstr>
      <vt:lpstr>n_RotorM</vt:lpstr>
      <vt:lpstr>n_RotorR</vt:lpstr>
      <vt:lpstr>n_RowOffset</vt:lpstr>
      <vt:lpstr>n_WiresSheetZoom</vt:lpstr>
      <vt:lpstr>nAvailableReflectors</vt:lpstr>
      <vt:lpstr>nAvailableRotors</vt:lpstr>
      <vt:lpstr>nBooleanChoiceYesNo</vt:lpstr>
      <vt:lpstr>Enigma02!nCharOffset</vt:lpstr>
      <vt:lpstr>Enigma03!nCharOffset</vt:lpstr>
      <vt:lpstr>Enigma04!nCharOffset</vt:lpstr>
      <vt:lpstr>Enigma05!nCharOffset</vt:lpstr>
      <vt:lpstr>Enigma06!nCharOffset</vt:lpstr>
      <vt:lpstr>Enigma07!nCharOffset</vt:lpstr>
      <vt:lpstr>Enigma08!nCharOffset</vt:lpstr>
      <vt:lpstr>Enigma09!nCharOffset</vt:lpstr>
      <vt:lpstr>Enigma10!nCharOffset</vt:lpstr>
      <vt:lpstr>Enigma11!nCharOffset</vt:lpstr>
      <vt:lpstr>Enigma12!nCharOffset</vt:lpstr>
      <vt:lpstr>nCharOffset</vt:lpstr>
      <vt:lpstr>nCounter</vt:lpstr>
      <vt:lpstr>Enigma02!nCurPosL</vt:lpstr>
      <vt:lpstr>Enigma03!nCurPosL</vt:lpstr>
      <vt:lpstr>Enigma04!nCurPosL</vt:lpstr>
      <vt:lpstr>Enigma05!nCurPosL</vt:lpstr>
      <vt:lpstr>Enigma06!nCurPosL</vt:lpstr>
      <vt:lpstr>Enigma07!nCurPosL</vt:lpstr>
      <vt:lpstr>Enigma08!nCurPosL</vt:lpstr>
      <vt:lpstr>Enigma09!nCurPosL</vt:lpstr>
      <vt:lpstr>Enigma10!nCurPosL</vt:lpstr>
      <vt:lpstr>Enigma11!nCurPosL</vt:lpstr>
      <vt:lpstr>Enigma12!nCurPosL</vt:lpstr>
      <vt:lpstr>nCurPosL</vt:lpstr>
      <vt:lpstr>Enigma02!nCurPosM</vt:lpstr>
      <vt:lpstr>Enigma03!nCurPosM</vt:lpstr>
      <vt:lpstr>Enigma04!nCurPosM</vt:lpstr>
      <vt:lpstr>Enigma05!nCurPosM</vt:lpstr>
      <vt:lpstr>Enigma06!nCurPosM</vt:lpstr>
      <vt:lpstr>Enigma07!nCurPosM</vt:lpstr>
      <vt:lpstr>Enigma08!nCurPosM</vt:lpstr>
      <vt:lpstr>Enigma09!nCurPosM</vt:lpstr>
      <vt:lpstr>Enigma10!nCurPosM</vt:lpstr>
      <vt:lpstr>Enigma11!nCurPosM</vt:lpstr>
      <vt:lpstr>Enigma12!nCurPosM</vt:lpstr>
      <vt:lpstr>nCurPosM</vt:lpstr>
      <vt:lpstr>Enigma02!nCurPosR</vt:lpstr>
      <vt:lpstr>Enigma03!nCurPosR</vt:lpstr>
      <vt:lpstr>Enigma04!nCurPosR</vt:lpstr>
      <vt:lpstr>Enigma05!nCurPosR</vt:lpstr>
      <vt:lpstr>Enigma06!nCurPosR</vt:lpstr>
      <vt:lpstr>Enigma07!nCurPosR</vt:lpstr>
      <vt:lpstr>Enigma08!nCurPosR</vt:lpstr>
      <vt:lpstr>Enigma09!nCurPosR</vt:lpstr>
      <vt:lpstr>Enigma10!nCurPosR</vt:lpstr>
      <vt:lpstr>Enigma11!nCurPosR</vt:lpstr>
      <vt:lpstr>Enigma12!nCurPosR</vt:lpstr>
      <vt:lpstr>nCurPosR</vt:lpstr>
      <vt:lpstr>nLetter26Lowercase</vt:lpstr>
      <vt:lpstr>nLetter26Uppercase</vt:lpstr>
      <vt:lpstr>nLettersUppercase</vt:lpstr>
      <vt:lpstr>nNextLetter</vt:lpstr>
      <vt:lpstr>nNum2Let</vt:lpstr>
      <vt:lpstr>Enigma02!nReflector</vt:lpstr>
      <vt:lpstr>Enigma03!nReflector</vt:lpstr>
      <vt:lpstr>Enigma04!nReflector</vt:lpstr>
      <vt:lpstr>Enigma05!nReflector</vt:lpstr>
      <vt:lpstr>Enigma06!nReflector</vt:lpstr>
      <vt:lpstr>Enigma07!nReflector</vt:lpstr>
      <vt:lpstr>Enigma08!nReflector</vt:lpstr>
      <vt:lpstr>Enigma09!nReflector</vt:lpstr>
      <vt:lpstr>Enigma10!nReflector</vt:lpstr>
      <vt:lpstr>Enigma11!nReflector</vt:lpstr>
      <vt:lpstr>Enigma12!nReflector</vt:lpstr>
      <vt:lpstr>nReflector</vt:lpstr>
      <vt:lpstr>nReflectorWide</vt:lpstr>
      <vt:lpstr>nRingOffset</vt:lpstr>
      <vt:lpstr>Enigma02!nRingOffsetL</vt:lpstr>
      <vt:lpstr>Enigma03!nRingOffsetL</vt:lpstr>
      <vt:lpstr>Enigma04!nRingOffsetL</vt:lpstr>
      <vt:lpstr>Enigma05!nRingOffsetL</vt:lpstr>
      <vt:lpstr>Enigma06!nRingOffsetL</vt:lpstr>
      <vt:lpstr>Enigma07!nRingOffsetL</vt:lpstr>
      <vt:lpstr>Enigma08!nRingOffsetL</vt:lpstr>
      <vt:lpstr>Enigma09!nRingOffsetL</vt:lpstr>
      <vt:lpstr>Enigma10!nRingOffsetL</vt:lpstr>
      <vt:lpstr>Enigma11!nRingOffsetL</vt:lpstr>
      <vt:lpstr>Enigma12!nRingOffsetL</vt:lpstr>
      <vt:lpstr>nRingOffsetL</vt:lpstr>
      <vt:lpstr>Enigma02!nRingOffsetM</vt:lpstr>
      <vt:lpstr>Enigma03!nRingOffsetM</vt:lpstr>
      <vt:lpstr>Enigma04!nRingOffsetM</vt:lpstr>
      <vt:lpstr>Enigma05!nRingOffsetM</vt:lpstr>
      <vt:lpstr>Enigma06!nRingOffsetM</vt:lpstr>
      <vt:lpstr>Enigma07!nRingOffsetM</vt:lpstr>
      <vt:lpstr>Enigma08!nRingOffsetM</vt:lpstr>
      <vt:lpstr>Enigma09!nRingOffsetM</vt:lpstr>
      <vt:lpstr>Enigma10!nRingOffsetM</vt:lpstr>
      <vt:lpstr>Enigma11!nRingOffsetM</vt:lpstr>
      <vt:lpstr>Enigma12!nRingOffsetM</vt:lpstr>
      <vt:lpstr>nRingOffsetM</vt:lpstr>
      <vt:lpstr>Enigma02!nRingOffsetR</vt:lpstr>
      <vt:lpstr>Enigma03!nRingOffsetR</vt:lpstr>
      <vt:lpstr>Enigma04!nRingOffsetR</vt:lpstr>
      <vt:lpstr>Enigma05!nRingOffsetR</vt:lpstr>
      <vt:lpstr>Enigma06!nRingOffsetR</vt:lpstr>
      <vt:lpstr>Enigma07!nRingOffsetR</vt:lpstr>
      <vt:lpstr>Enigma08!nRingOffsetR</vt:lpstr>
      <vt:lpstr>Enigma09!nRingOffsetR</vt:lpstr>
      <vt:lpstr>Enigma10!nRingOffsetR</vt:lpstr>
      <vt:lpstr>Enigma11!nRingOffsetR</vt:lpstr>
      <vt:lpstr>Enigma12!nRingOffsetR</vt:lpstr>
      <vt:lpstr>nRingOffsetR</vt:lpstr>
      <vt:lpstr>nRotor</vt:lpstr>
      <vt:lpstr>Enigma02!nRotorL</vt:lpstr>
      <vt:lpstr>Enigma03!nRotorL</vt:lpstr>
      <vt:lpstr>Enigma04!nRotorL</vt:lpstr>
      <vt:lpstr>Enigma05!nRotorL</vt:lpstr>
      <vt:lpstr>Enigma06!nRotorL</vt:lpstr>
      <vt:lpstr>Enigma07!nRotorL</vt:lpstr>
      <vt:lpstr>Enigma08!nRotorL</vt:lpstr>
      <vt:lpstr>Enigma09!nRotorL</vt:lpstr>
      <vt:lpstr>Enigma10!nRotorL</vt:lpstr>
      <vt:lpstr>Enigma11!nRotorL</vt:lpstr>
      <vt:lpstr>Enigma12!nRotorL</vt:lpstr>
      <vt:lpstr>nRotorL</vt:lpstr>
      <vt:lpstr>Enigma02!nRotorL_Rev</vt:lpstr>
      <vt:lpstr>Enigma03!nRotorL_Rev</vt:lpstr>
      <vt:lpstr>Enigma04!nRotorL_Rev</vt:lpstr>
      <vt:lpstr>Enigma05!nRotorL_Rev</vt:lpstr>
      <vt:lpstr>Enigma06!nRotorL_Rev</vt:lpstr>
      <vt:lpstr>Enigma07!nRotorL_Rev</vt:lpstr>
      <vt:lpstr>Enigma08!nRotorL_Rev</vt:lpstr>
      <vt:lpstr>Enigma09!nRotorL_Rev</vt:lpstr>
      <vt:lpstr>Enigma10!nRotorL_Rev</vt:lpstr>
      <vt:lpstr>Enigma11!nRotorL_Rev</vt:lpstr>
      <vt:lpstr>Enigma12!nRotorL_Rev</vt:lpstr>
      <vt:lpstr>nRotorL_Rev</vt:lpstr>
      <vt:lpstr>Enigma02!nRotorM</vt:lpstr>
      <vt:lpstr>Enigma03!nRotorM</vt:lpstr>
      <vt:lpstr>Enigma04!nRotorM</vt:lpstr>
      <vt:lpstr>Enigma05!nRotorM</vt:lpstr>
      <vt:lpstr>Enigma06!nRotorM</vt:lpstr>
      <vt:lpstr>Enigma07!nRotorM</vt:lpstr>
      <vt:lpstr>Enigma08!nRotorM</vt:lpstr>
      <vt:lpstr>Enigma09!nRotorM</vt:lpstr>
      <vt:lpstr>Enigma10!nRotorM</vt:lpstr>
      <vt:lpstr>Enigma11!nRotorM</vt:lpstr>
      <vt:lpstr>Enigma12!nRotorM</vt:lpstr>
      <vt:lpstr>nRotorM</vt:lpstr>
      <vt:lpstr>Enigma02!nRotorM_Rev</vt:lpstr>
      <vt:lpstr>Enigma03!nRotorM_Rev</vt:lpstr>
      <vt:lpstr>Enigma04!nRotorM_Rev</vt:lpstr>
      <vt:lpstr>Enigma05!nRotorM_Rev</vt:lpstr>
      <vt:lpstr>Enigma06!nRotorM_Rev</vt:lpstr>
      <vt:lpstr>Enigma07!nRotorM_Rev</vt:lpstr>
      <vt:lpstr>Enigma08!nRotorM_Rev</vt:lpstr>
      <vt:lpstr>Enigma09!nRotorM_Rev</vt:lpstr>
      <vt:lpstr>Enigma10!nRotorM_Rev</vt:lpstr>
      <vt:lpstr>Enigma11!nRotorM_Rev</vt:lpstr>
      <vt:lpstr>Enigma12!nRotorM_Rev</vt:lpstr>
      <vt:lpstr>nRotorM_Rev</vt:lpstr>
      <vt:lpstr>Enigma02!nRotorR</vt:lpstr>
      <vt:lpstr>Enigma03!nRotorR</vt:lpstr>
      <vt:lpstr>Enigma04!nRotorR</vt:lpstr>
      <vt:lpstr>Enigma05!nRotorR</vt:lpstr>
      <vt:lpstr>Enigma06!nRotorR</vt:lpstr>
      <vt:lpstr>Enigma07!nRotorR</vt:lpstr>
      <vt:lpstr>Enigma08!nRotorR</vt:lpstr>
      <vt:lpstr>Enigma09!nRotorR</vt:lpstr>
      <vt:lpstr>Enigma10!nRotorR</vt:lpstr>
      <vt:lpstr>Enigma11!nRotorR</vt:lpstr>
      <vt:lpstr>Enigma12!nRotorR</vt:lpstr>
      <vt:lpstr>nRotorR</vt:lpstr>
      <vt:lpstr>Enigma02!nRotorR_Rev</vt:lpstr>
      <vt:lpstr>Enigma03!nRotorR_Rev</vt:lpstr>
      <vt:lpstr>Enigma04!nRotorR_Rev</vt:lpstr>
      <vt:lpstr>Enigma05!nRotorR_Rev</vt:lpstr>
      <vt:lpstr>Enigma06!nRotorR_Rev</vt:lpstr>
      <vt:lpstr>Enigma07!nRotorR_Rev</vt:lpstr>
      <vt:lpstr>Enigma08!nRotorR_Rev</vt:lpstr>
      <vt:lpstr>Enigma09!nRotorR_Rev</vt:lpstr>
      <vt:lpstr>Enigma10!nRotorR_Rev</vt:lpstr>
      <vt:lpstr>Enigma11!nRotorR_Rev</vt:lpstr>
      <vt:lpstr>Enigma12!nRotorR_Rev</vt:lpstr>
      <vt:lpstr>nRotorR_Rev</vt:lpstr>
      <vt:lpstr>nRotorRev</vt:lpstr>
      <vt:lpstr>nWireLetter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Alberto Bernasconi</cp:lastModifiedBy>
  <cp:lastPrinted>2017-03-06T15:25:41Z</cp:lastPrinted>
  <dcterms:created xsi:type="dcterms:W3CDTF">2006-09-16T00:00:00Z</dcterms:created>
  <dcterms:modified xsi:type="dcterms:W3CDTF">2024-06-18T19:02:41Z</dcterms:modified>
</cp:coreProperties>
</file>